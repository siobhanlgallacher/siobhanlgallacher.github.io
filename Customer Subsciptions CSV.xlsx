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093\EXCELCNV\2df88426-ee71-4a5d-8f8b-5e058fb4c45b\"/>
    </mc:Choice>
  </mc:AlternateContent>
  <xr:revisionPtr revIDLastSave="0" documentId="8_{0E2B990C-B9EB-41F8-AADC-00322A47DD0E}" xr6:coauthVersionLast="47" xr6:coauthVersionMax="47" xr10:uidLastSave="{00000000-0000-0000-0000-000000000000}"/>
  <bookViews>
    <workbookView xWindow="-60" yWindow="-60" windowWidth="15480" windowHeight="11640" firstSheet="2" activeTab="1" xr2:uid="{3DAF28F0-A8DA-4B32-BE60-E26790B79F41}"/>
  </bookViews>
  <sheets>
    <sheet name="Raw Data" sheetId="1" r:id="rId1"/>
    <sheet name="Spreadsheet" sheetId="2" r:id="rId2"/>
    <sheet name="Sheet1" sheetId="3" r:id="rId3"/>
  </sheets>
  <definedNames>
    <definedName name="_xlnm._FilterDatabase" localSheetId="1" hidden="1">Spreadsheet!$A$1:$N$2801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N2" i="2" a="1"/>
  <c r="N2" i="2"/>
  <c r="N3" i="2" a="1"/>
  <c r="N3" i="2"/>
  <c r="N4" i="2" a="1"/>
  <c r="N4" i="2"/>
  <c r="N5" i="2" a="1"/>
  <c r="N5" i="2"/>
  <c r="N6" i="2" a="1"/>
  <c r="N6" i="2"/>
  <c r="N7" i="2" a="1"/>
  <c r="N7" i="2"/>
  <c r="N8" i="2" a="1"/>
  <c r="N8" i="2"/>
  <c r="N9" i="2" a="1"/>
  <c r="N9" i="2"/>
  <c r="N10" i="2" a="1"/>
  <c r="N10" i="2"/>
  <c r="N11" i="2" a="1"/>
  <c r="N11" i="2"/>
  <c r="N12" i="2" a="1"/>
  <c r="N12" i="2"/>
  <c r="N13" i="2" a="1"/>
  <c r="N13" i="2"/>
  <c r="N14" i="2" a="1"/>
  <c r="N14" i="2"/>
  <c r="N15" i="2" a="1"/>
  <c r="N15" i="2"/>
  <c r="N16" i="2" a="1"/>
  <c r="N16" i="2"/>
  <c r="N17" i="2" a="1"/>
  <c r="N17" i="2"/>
  <c r="N18" i="2" a="1"/>
  <c r="N18" i="2"/>
  <c r="N19" i="2" a="1"/>
  <c r="N19" i="2"/>
  <c r="N20" i="2" a="1"/>
  <c r="N20" i="2"/>
  <c r="N21" i="2" a="1"/>
  <c r="N21" i="2"/>
  <c r="N22" i="2" a="1"/>
  <c r="N22" i="2"/>
  <c r="N23" i="2" a="1"/>
  <c r="N23" i="2"/>
  <c r="N24" i="2" a="1"/>
  <c r="N24" i="2"/>
  <c r="N25" i="2" a="1"/>
  <c r="N25" i="2"/>
  <c r="N26" i="2" a="1"/>
  <c r="N26" i="2"/>
  <c r="N27" i="2" a="1"/>
  <c r="N27" i="2"/>
  <c r="N28" i="2" a="1"/>
  <c r="N28" i="2"/>
  <c r="N29" i="2" a="1"/>
  <c r="N29" i="2"/>
  <c r="N30" i="2" a="1"/>
  <c r="N30" i="2"/>
  <c r="N31" i="2" a="1"/>
  <c r="N31" i="2"/>
  <c r="N32" i="2" a="1"/>
  <c r="N32" i="2"/>
  <c r="N33" i="2" a="1"/>
  <c r="N33" i="2"/>
  <c r="N34" i="2" a="1"/>
  <c r="N34" i="2"/>
  <c r="N35" i="2" a="1"/>
  <c r="N35" i="2"/>
  <c r="N36" i="2" a="1"/>
  <c r="N36" i="2"/>
  <c r="N37" i="2" a="1"/>
  <c r="N37" i="2"/>
  <c r="N38" i="2" a="1"/>
  <c r="N38" i="2"/>
  <c r="N39" i="2" a="1"/>
  <c r="N39" i="2"/>
  <c r="N40" i="2" a="1"/>
  <c r="N40" i="2"/>
  <c r="N41" i="2" a="1"/>
  <c r="N41" i="2"/>
  <c r="N42" i="2" a="1"/>
  <c r="N42" i="2"/>
  <c r="N43" i="2" a="1"/>
  <c r="N43" i="2"/>
  <c r="N44" i="2" a="1"/>
  <c r="N44" i="2"/>
  <c r="N45" i="2" a="1"/>
  <c r="N45" i="2"/>
  <c r="N46" i="2" a="1"/>
  <c r="N46" i="2"/>
  <c r="N47" i="2" a="1"/>
  <c r="N47" i="2"/>
  <c r="N48" i="2" a="1"/>
  <c r="N48" i="2"/>
  <c r="N49" i="2" a="1"/>
  <c r="N49" i="2"/>
  <c r="N50" i="2" a="1"/>
  <c r="N50" i="2"/>
  <c r="N51" i="2" a="1"/>
  <c r="N51" i="2"/>
  <c r="N52" i="2" a="1"/>
  <c r="N52" i="2"/>
  <c r="N53" i="2" a="1"/>
  <c r="N53" i="2"/>
  <c r="N54" i="2" a="1"/>
  <c r="N54" i="2"/>
  <c r="N55" i="2" a="1"/>
  <c r="N55" i="2"/>
  <c r="N56" i="2" a="1"/>
  <c r="N56" i="2"/>
  <c r="N57" i="2" a="1"/>
  <c r="N57" i="2"/>
  <c r="N58" i="2" a="1"/>
  <c r="N58" i="2"/>
  <c r="N59" i="2" a="1"/>
  <c r="N59" i="2"/>
  <c r="N60" i="2" a="1"/>
  <c r="N60" i="2"/>
  <c r="N61" i="2" a="1"/>
  <c r="N61" i="2"/>
  <c r="N62" i="2" a="1"/>
  <c r="N62" i="2"/>
  <c r="N63" i="2" a="1"/>
  <c r="N63" i="2"/>
  <c r="N64" i="2" a="1"/>
  <c r="N64" i="2"/>
  <c r="N65" i="2" a="1"/>
  <c r="N65" i="2"/>
  <c r="N66" i="2" a="1"/>
  <c r="N66" i="2"/>
  <c r="N67" i="2" a="1"/>
  <c r="N67" i="2"/>
  <c r="N68" i="2" a="1"/>
  <c r="N68" i="2"/>
  <c r="N69" i="2" a="1"/>
  <c r="N69" i="2"/>
  <c r="N70" i="2" a="1"/>
  <c r="N70" i="2"/>
  <c r="N71" i="2" a="1"/>
  <c r="N71" i="2"/>
  <c r="N72" i="2" a="1"/>
  <c r="N72" i="2"/>
  <c r="N73" i="2" a="1"/>
  <c r="N73" i="2"/>
  <c r="N74" i="2" a="1"/>
  <c r="N74" i="2"/>
  <c r="N75" i="2" a="1"/>
  <c r="N75" i="2"/>
  <c r="N76" i="2" a="1"/>
  <c r="N76" i="2"/>
  <c r="N77" i="2" a="1"/>
  <c r="N77" i="2"/>
  <c r="N78" i="2" a="1"/>
  <c r="N78" i="2"/>
  <c r="N79" i="2" a="1"/>
  <c r="N79" i="2"/>
  <c r="N80" i="2" a="1"/>
  <c r="N80" i="2"/>
  <c r="N81" i="2" a="1"/>
  <c r="N81" i="2"/>
  <c r="N82" i="2" a="1"/>
  <c r="N82" i="2"/>
  <c r="N83" i="2" a="1"/>
  <c r="N83" i="2"/>
  <c r="N84" i="2" a="1"/>
  <c r="N84" i="2"/>
  <c r="N85" i="2" a="1"/>
  <c r="N85" i="2"/>
  <c r="N86" i="2" a="1"/>
  <c r="N86" i="2"/>
  <c r="N87" i="2" a="1"/>
  <c r="N87" i="2"/>
  <c r="N88" i="2" a="1"/>
  <c r="N88" i="2"/>
  <c r="N89" i="2" a="1"/>
  <c r="N89" i="2"/>
  <c r="N90" i="2" a="1"/>
  <c r="N90" i="2"/>
  <c r="N91" i="2" a="1"/>
  <c r="N91" i="2"/>
  <c r="N92" i="2" a="1"/>
  <c r="N92" i="2"/>
  <c r="N93" i="2" a="1"/>
  <c r="N93" i="2"/>
  <c r="N94" i="2" a="1"/>
  <c r="N94" i="2"/>
  <c r="N95" i="2" a="1"/>
  <c r="N95" i="2"/>
  <c r="N96" i="2" a="1"/>
  <c r="N96" i="2"/>
  <c r="N97" i="2" a="1"/>
  <c r="N97" i="2"/>
  <c r="N98" i="2" a="1"/>
  <c r="N98" i="2"/>
  <c r="N99" i="2" a="1"/>
  <c r="N99" i="2"/>
  <c r="N100" i="2" a="1"/>
  <c r="N100" i="2"/>
  <c r="N101" i="2" a="1"/>
  <c r="N101" i="2"/>
  <c r="N102" i="2" a="1"/>
  <c r="N102" i="2"/>
  <c r="N103" i="2" a="1"/>
  <c r="N103" i="2"/>
  <c r="N104" i="2" a="1"/>
  <c r="N104" i="2"/>
  <c r="N105" i="2" a="1"/>
  <c r="N105" i="2"/>
  <c r="N106" i="2" a="1"/>
  <c r="N106" i="2"/>
  <c r="N107" i="2" a="1"/>
  <c r="N107" i="2"/>
  <c r="N108" i="2" a="1"/>
  <c r="N108" i="2"/>
  <c r="N109" i="2" a="1"/>
  <c r="N109" i="2"/>
  <c r="N110" i="2" a="1"/>
  <c r="N110" i="2"/>
  <c r="N111" i="2" a="1"/>
  <c r="N111" i="2"/>
  <c r="N112" i="2" a="1"/>
  <c r="N112" i="2"/>
  <c r="N113" i="2" a="1"/>
  <c r="N113" i="2"/>
  <c r="N114" i="2" a="1"/>
  <c r="N114" i="2"/>
  <c r="N115" i="2" a="1"/>
  <c r="N115" i="2"/>
  <c r="N116" i="2" a="1"/>
  <c r="N116" i="2"/>
  <c r="N117" i="2" a="1"/>
  <c r="N117" i="2"/>
  <c r="N118" i="2" a="1"/>
  <c r="N118" i="2"/>
  <c r="N119" i="2" a="1"/>
  <c r="N119" i="2"/>
  <c r="N120" i="2" a="1"/>
  <c r="N120" i="2"/>
  <c r="N121" i="2" a="1"/>
  <c r="N121" i="2"/>
  <c r="N122" i="2" a="1"/>
  <c r="N122" i="2"/>
  <c r="N123" i="2" a="1"/>
  <c r="N123" i="2"/>
  <c r="N124" i="2" a="1"/>
  <c r="N124" i="2"/>
  <c r="N125" i="2" a="1"/>
  <c r="N125" i="2"/>
  <c r="N126" i="2" a="1"/>
  <c r="N126" i="2"/>
  <c r="N127" i="2" a="1"/>
  <c r="N127" i="2"/>
  <c r="N128" i="2" a="1"/>
  <c r="N128" i="2"/>
  <c r="N129" i="2" a="1"/>
  <c r="N129" i="2"/>
  <c r="N130" i="2" a="1"/>
  <c r="N130" i="2"/>
  <c r="N131" i="2" a="1"/>
  <c r="N131" i="2"/>
  <c r="N132" i="2" a="1"/>
  <c r="N132" i="2"/>
  <c r="N133" i="2" a="1"/>
  <c r="N133" i="2"/>
  <c r="N134" i="2" a="1"/>
  <c r="N134" i="2"/>
  <c r="N135" i="2" a="1"/>
  <c r="N135" i="2"/>
  <c r="N136" i="2" a="1"/>
  <c r="N136" i="2"/>
  <c r="N137" i="2" a="1"/>
  <c r="N137" i="2"/>
  <c r="N138" i="2" a="1"/>
  <c r="N138" i="2"/>
  <c r="N139" i="2" a="1"/>
  <c r="N139" i="2"/>
  <c r="N140" i="2" a="1"/>
  <c r="N140" i="2"/>
  <c r="N141" i="2" a="1"/>
  <c r="N141" i="2"/>
  <c r="N142" i="2" a="1"/>
  <c r="N142" i="2"/>
  <c r="N143" i="2" a="1"/>
  <c r="N143" i="2"/>
  <c r="N144" i="2" a="1"/>
  <c r="N144" i="2"/>
  <c r="N145" i="2" a="1"/>
  <c r="N145" i="2"/>
  <c r="N146" i="2" a="1"/>
  <c r="N146" i="2"/>
  <c r="N147" i="2" a="1"/>
  <c r="N147" i="2"/>
  <c r="N148" i="2" a="1"/>
  <c r="N148" i="2"/>
  <c r="N149" i="2" a="1"/>
  <c r="N149" i="2"/>
  <c r="N150" i="2" a="1"/>
  <c r="N150" i="2"/>
  <c r="N151" i="2" a="1"/>
  <c r="N151" i="2"/>
  <c r="N152" i="2" a="1"/>
  <c r="N152" i="2"/>
  <c r="N153" i="2" a="1"/>
  <c r="N153" i="2"/>
  <c r="N154" i="2" a="1"/>
  <c r="N154" i="2"/>
  <c r="N155" i="2" a="1"/>
  <c r="N155" i="2"/>
  <c r="N156" i="2" a="1"/>
  <c r="N156" i="2"/>
  <c r="N157" i="2" a="1"/>
  <c r="N157" i="2"/>
  <c r="N158" i="2" a="1"/>
  <c r="N158" i="2"/>
  <c r="N159" i="2" a="1"/>
  <c r="N159" i="2"/>
  <c r="N160" i="2" a="1"/>
  <c r="N160" i="2"/>
  <c r="N161" i="2" a="1"/>
  <c r="N161" i="2"/>
  <c r="N162" i="2" a="1"/>
  <c r="N162" i="2"/>
  <c r="N163" i="2" a="1"/>
  <c r="N163" i="2"/>
  <c r="N164" i="2" a="1"/>
  <c r="N164" i="2"/>
  <c r="N165" i="2" a="1"/>
  <c r="N165" i="2"/>
  <c r="N166" i="2" a="1"/>
  <c r="N166" i="2"/>
  <c r="N167" i="2" a="1"/>
  <c r="N167" i="2"/>
  <c r="N168" i="2" a="1"/>
  <c r="N168" i="2"/>
  <c r="N169" i="2" a="1"/>
  <c r="N169" i="2"/>
  <c r="N170" i="2" a="1"/>
  <c r="N170" i="2"/>
  <c r="N171" i="2" a="1"/>
  <c r="N171" i="2"/>
  <c r="N172" i="2" a="1"/>
  <c r="N172" i="2"/>
  <c r="N173" i="2" a="1"/>
  <c r="N173" i="2"/>
  <c r="N174" i="2" a="1"/>
  <c r="N174" i="2"/>
  <c r="N175" i="2" a="1"/>
  <c r="N175" i="2"/>
  <c r="N176" i="2" a="1"/>
  <c r="N176" i="2"/>
  <c r="N177" i="2" a="1"/>
  <c r="N177" i="2"/>
  <c r="N178" i="2" a="1"/>
  <c r="N178" i="2"/>
  <c r="N179" i="2" a="1"/>
  <c r="N179" i="2"/>
  <c r="N180" i="2" a="1"/>
  <c r="N180" i="2"/>
  <c r="N181" i="2" a="1"/>
  <c r="N181" i="2"/>
  <c r="N182" i="2" a="1"/>
  <c r="N182" i="2"/>
  <c r="N183" i="2" a="1"/>
  <c r="N183" i="2"/>
  <c r="N184" i="2" a="1"/>
  <c r="N184" i="2"/>
  <c r="N185" i="2" a="1"/>
  <c r="N185" i="2"/>
  <c r="N186" i="2" a="1"/>
  <c r="N186" i="2"/>
  <c r="N187" i="2" a="1"/>
  <c r="N187" i="2"/>
  <c r="N188" i="2" a="1"/>
  <c r="N188" i="2"/>
  <c r="N189" i="2" a="1"/>
  <c r="N189" i="2"/>
  <c r="N190" i="2" a="1"/>
  <c r="N190" i="2"/>
  <c r="N191" i="2" a="1"/>
  <c r="N191" i="2"/>
  <c r="N192" i="2" a="1"/>
  <c r="N192" i="2"/>
  <c r="N193" i="2" a="1"/>
  <c r="N193" i="2"/>
  <c r="N194" i="2" a="1"/>
  <c r="N194" i="2"/>
  <c r="N195" i="2" a="1"/>
  <c r="N195" i="2"/>
  <c r="N196" i="2" a="1"/>
  <c r="N196" i="2"/>
  <c r="N197" i="2" a="1"/>
  <c r="N197" i="2"/>
  <c r="N198" i="2" a="1"/>
  <c r="N198" i="2"/>
  <c r="N199" i="2" a="1"/>
  <c r="N199" i="2"/>
  <c r="N200" i="2" a="1"/>
  <c r="N200" i="2"/>
  <c r="N201" i="2" a="1"/>
  <c r="N201" i="2"/>
  <c r="N202" i="2" a="1"/>
  <c r="N202" i="2"/>
  <c r="N203" i="2" a="1"/>
  <c r="N203" i="2"/>
  <c r="N204" i="2" a="1"/>
  <c r="N204" i="2"/>
  <c r="N205" i="2" a="1"/>
  <c r="N205" i="2"/>
  <c r="N206" i="2" a="1"/>
  <c r="N206" i="2"/>
  <c r="N207" i="2" a="1"/>
  <c r="N207" i="2"/>
  <c r="N208" i="2" a="1"/>
  <c r="N208" i="2"/>
  <c r="N209" i="2" a="1"/>
  <c r="N209" i="2"/>
  <c r="N210" i="2" a="1"/>
  <c r="N210" i="2"/>
  <c r="N211" i="2" a="1"/>
  <c r="N211" i="2"/>
  <c r="N212" i="2" a="1"/>
  <c r="N212" i="2"/>
  <c r="N213" i="2" a="1"/>
  <c r="N213" i="2"/>
  <c r="N214" i="2" a="1"/>
  <c r="N214" i="2"/>
  <c r="N215" i="2" a="1"/>
  <c r="N215" i="2"/>
  <c r="N216" i="2" a="1"/>
  <c r="N216" i="2"/>
  <c r="N217" i="2" a="1"/>
  <c r="N217" i="2"/>
  <c r="N218" i="2" a="1"/>
  <c r="N218" i="2"/>
  <c r="N219" i="2" a="1"/>
  <c r="N219" i="2"/>
  <c r="N220" i="2" a="1"/>
  <c r="N220" i="2"/>
  <c r="N221" i="2" a="1"/>
  <c r="N221" i="2"/>
  <c r="N222" i="2" a="1"/>
  <c r="N222" i="2"/>
  <c r="N223" i="2" a="1"/>
  <c r="N223" i="2"/>
  <c r="N224" i="2" a="1"/>
  <c r="N224" i="2"/>
  <c r="N225" i="2" a="1"/>
  <c r="N225" i="2"/>
  <c r="N226" i="2" a="1"/>
  <c r="N226" i="2"/>
  <c r="N227" i="2" a="1"/>
  <c r="N227" i="2"/>
  <c r="N228" i="2" a="1"/>
  <c r="N228" i="2"/>
  <c r="N229" i="2" a="1"/>
  <c r="N229" i="2"/>
  <c r="N230" i="2" a="1"/>
  <c r="N230" i="2"/>
  <c r="N231" i="2" a="1"/>
  <c r="N231" i="2"/>
  <c r="N232" i="2" a="1"/>
  <c r="N232" i="2"/>
  <c r="N233" i="2" a="1"/>
  <c r="N233" i="2"/>
  <c r="N234" i="2" a="1"/>
  <c r="N234" i="2"/>
  <c r="N235" i="2" a="1"/>
  <c r="N235" i="2"/>
  <c r="N236" i="2" a="1"/>
  <c r="N236" i="2"/>
  <c r="N237" i="2" a="1"/>
  <c r="N237" i="2"/>
  <c r="N238" i="2" a="1"/>
  <c r="N238" i="2"/>
  <c r="N239" i="2" a="1"/>
  <c r="N239" i="2"/>
  <c r="N240" i="2" a="1"/>
  <c r="N240" i="2"/>
  <c r="N241" i="2" a="1"/>
  <c r="N241" i="2"/>
  <c r="N242" i="2" a="1"/>
  <c r="N242" i="2"/>
  <c r="N243" i="2" a="1"/>
  <c r="N243" i="2"/>
  <c r="N244" i="2" a="1"/>
  <c r="N244" i="2"/>
  <c r="N245" i="2" a="1"/>
  <c r="N245" i="2"/>
  <c r="N246" i="2" a="1"/>
  <c r="N246" i="2"/>
  <c r="N247" i="2" a="1"/>
  <c r="N247" i="2"/>
  <c r="N248" i="2" a="1"/>
  <c r="N248" i="2"/>
  <c r="N249" i="2" a="1"/>
  <c r="N249" i="2"/>
  <c r="N250" i="2" a="1"/>
  <c r="N250" i="2"/>
  <c r="N251" i="2" a="1"/>
  <c r="N251" i="2"/>
  <c r="N252" i="2" a="1"/>
  <c r="N252" i="2"/>
  <c r="N253" i="2" a="1"/>
  <c r="N253" i="2"/>
  <c r="N254" i="2" a="1"/>
  <c r="N254" i="2"/>
  <c r="N255" i="2" a="1"/>
  <c r="N255" i="2"/>
  <c r="N256" i="2" a="1"/>
  <c r="N256" i="2"/>
  <c r="N257" i="2" a="1"/>
  <c r="N257" i="2"/>
  <c r="N258" i="2" a="1"/>
  <c r="N258" i="2"/>
  <c r="N259" i="2" a="1"/>
  <c r="N259" i="2"/>
  <c r="N260" i="2" a="1"/>
  <c r="N260" i="2"/>
  <c r="N261" i="2" a="1"/>
  <c r="N261" i="2"/>
  <c r="N262" i="2" a="1"/>
  <c r="N262" i="2"/>
  <c r="N263" i="2" a="1"/>
  <c r="N263" i="2"/>
  <c r="N264" i="2" a="1"/>
  <c r="N264" i="2"/>
  <c r="N265" i="2" a="1"/>
  <c r="N265" i="2"/>
  <c r="N266" i="2" a="1"/>
  <c r="N266" i="2"/>
  <c r="N267" i="2" a="1"/>
  <c r="N267" i="2"/>
  <c r="N268" i="2" a="1"/>
  <c r="N268" i="2"/>
  <c r="N269" i="2" a="1"/>
  <c r="N269" i="2"/>
  <c r="N270" i="2" a="1"/>
  <c r="N270" i="2"/>
  <c r="N271" i="2" a="1"/>
  <c r="N271" i="2"/>
  <c r="N272" i="2" a="1"/>
  <c r="N272" i="2"/>
  <c r="N273" i="2" a="1"/>
  <c r="N273" i="2"/>
  <c r="N274" i="2" a="1"/>
  <c r="N274" i="2"/>
  <c r="N275" i="2" a="1"/>
  <c r="N275" i="2"/>
  <c r="N276" i="2" a="1"/>
  <c r="N276" i="2"/>
  <c r="N277" i="2" a="1"/>
  <c r="N277" i="2"/>
  <c r="N278" i="2" a="1"/>
  <c r="N278" i="2"/>
  <c r="N279" i="2" a="1"/>
  <c r="N279" i="2"/>
  <c r="N280" i="2" a="1"/>
  <c r="N280" i="2"/>
  <c r="N281" i="2" a="1"/>
  <c r="N281" i="2"/>
  <c r="N282" i="2" a="1"/>
  <c r="N282" i="2"/>
  <c r="N283" i="2" a="1"/>
  <c r="N283" i="2"/>
  <c r="N284" i="2" a="1"/>
  <c r="N284" i="2"/>
  <c r="N285" i="2" a="1"/>
  <c r="N285" i="2"/>
  <c r="N286" i="2" a="1"/>
  <c r="N286" i="2"/>
  <c r="N287" i="2" a="1"/>
  <c r="N287" i="2"/>
  <c r="N288" i="2" a="1"/>
  <c r="N288" i="2"/>
  <c r="N289" i="2" a="1"/>
  <c r="N289" i="2"/>
  <c r="N290" i="2" a="1"/>
  <c r="N290" i="2"/>
  <c r="N291" i="2" a="1"/>
  <c r="N291" i="2"/>
  <c r="N292" i="2" a="1"/>
  <c r="N292" i="2"/>
  <c r="N293" i="2" a="1"/>
  <c r="N293" i="2"/>
  <c r="N294" i="2" a="1"/>
  <c r="N294" i="2"/>
  <c r="N295" i="2" a="1"/>
  <c r="N295" i="2"/>
  <c r="N296" i="2" a="1"/>
  <c r="N296" i="2"/>
  <c r="N297" i="2" a="1"/>
  <c r="N297" i="2"/>
  <c r="N298" i="2" a="1"/>
  <c r="N298" i="2"/>
  <c r="N299" i="2" a="1"/>
  <c r="N299" i="2"/>
  <c r="N300" i="2" a="1"/>
  <c r="N300" i="2"/>
  <c r="N301" i="2" a="1"/>
  <c r="N301" i="2"/>
  <c r="N302" i="2" a="1"/>
  <c r="N302" i="2"/>
  <c r="N303" i="2" a="1"/>
  <c r="N303" i="2"/>
  <c r="N304" i="2" a="1"/>
  <c r="N304" i="2"/>
  <c r="N305" i="2" a="1"/>
  <c r="N305" i="2"/>
  <c r="N306" i="2" a="1"/>
  <c r="N306" i="2"/>
  <c r="N307" i="2" a="1"/>
  <c r="N307" i="2"/>
  <c r="N308" i="2" a="1"/>
  <c r="N308" i="2"/>
  <c r="N309" i="2" a="1"/>
  <c r="N309" i="2"/>
  <c r="N310" i="2" a="1"/>
  <c r="N310" i="2"/>
  <c r="N311" i="2" a="1"/>
  <c r="N311" i="2"/>
  <c r="N312" i="2" a="1"/>
  <c r="N312" i="2"/>
  <c r="N313" i="2" a="1"/>
  <c r="N313" i="2"/>
  <c r="N314" i="2" a="1"/>
  <c r="N314" i="2"/>
  <c r="N315" i="2" a="1"/>
  <c r="N315" i="2"/>
  <c r="N316" i="2" a="1"/>
  <c r="N316" i="2"/>
  <c r="N317" i="2" a="1"/>
  <c r="N317" i="2"/>
  <c r="N318" i="2" a="1"/>
  <c r="N318" i="2"/>
  <c r="N319" i="2" a="1"/>
  <c r="N319" i="2"/>
  <c r="N320" i="2" a="1"/>
  <c r="N320" i="2"/>
  <c r="N321" i="2" a="1"/>
  <c r="N321" i="2"/>
  <c r="N322" i="2" a="1"/>
  <c r="N322" i="2"/>
  <c r="N323" i="2" a="1"/>
  <c r="N323" i="2"/>
  <c r="N324" i="2" a="1"/>
  <c r="N324" i="2"/>
  <c r="N325" i="2" a="1"/>
  <c r="N325" i="2"/>
  <c r="N326" i="2" a="1"/>
  <c r="N326" i="2"/>
  <c r="N327" i="2" a="1"/>
  <c r="N327" i="2"/>
  <c r="N328" i="2" a="1"/>
  <c r="N328" i="2"/>
  <c r="N329" i="2" a="1"/>
  <c r="N329" i="2"/>
  <c r="N330" i="2" a="1"/>
  <c r="N330" i="2"/>
  <c r="N331" i="2" a="1"/>
  <c r="N331" i="2"/>
  <c r="N332" i="2" a="1"/>
  <c r="N332" i="2"/>
  <c r="N333" i="2" a="1"/>
  <c r="N333" i="2"/>
  <c r="N334" i="2" a="1"/>
  <c r="N334" i="2"/>
  <c r="N335" i="2" a="1"/>
  <c r="N335" i="2"/>
  <c r="N336" i="2" a="1"/>
  <c r="N336" i="2"/>
  <c r="N337" i="2" a="1"/>
  <c r="N337" i="2"/>
  <c r="N338" i="2" a="1"/>
  <c r="N338" i="2"/>
  <c r="N339" i="2" a="1"/>
  <c r="N339" i="2"/>
  <c r="N340" i="2" a="1"/>
  <c r="N340" i="2"/>
  <c r="N341" i="2" a="1"/>
  <c r="N341" i="2"/>
  <c r="N342" i="2" a="1"/>
  <c r="N342" i="2"/>
  <c r="N343" i="2" a="1"/>
  <c r="N343" i="2"/>
  <c r="N344" i="2" a="1"/>
  <c r="N344" i="2"/>
  <c r="N345" i="2" a="1"/>
  <c r="N345" i="2"/>
  <c r="N346" i="2" a="1"/>
  <c r="N346" i="2"/>
  <c r="N347" i="2" a="1"/>
  <c r="N347" i="2"/>
  <c r="N348" i="2" a="1"/>
  <c r="N348" i="2"/>
  <c r="N349" i="2" a="1"/>
  <c r="N349" i="2"/>
  <c r="N350" i="2" a="1"/>
  <c r="N350" i="2"/>
  <c r="N351" i="2" a="1"/>
  <c r="N351" i="2"/>
  <c r="N352" i="2" a="1"/>
  <c r="N352" i="2"/>
  <c r="N353" i="2" a="1"/>
  <c r="N353" i="2"/>
  <c r="N354" i="2" a="1"/>
  <c r="N354" i="2"/>
  <c r="N355" i="2" a="1"/>
  <c r="N355" i="2"/>
  <c r="N356" i="2" a="1"/>
  <c r="N356" i="2"/>
  <c r="N357" i="2" a="1"/>
  <c r="N357" i="2"/>
  <c r="N358" i="2" a="1"/>
  <c r="N358" i="2"/>
  <c r="N359" i="2" a="1"/>
  <c r="N359" i="2"/>
  <c r="N360" i="2" a="1"/>
  <c r="N360" i="2"/>
  <c r="N361" i="2" a="1"/>
  <c r="N361" i="2"/>
  <c r="N362" i="2" a="1"/>
  <c r="N362" i="2"/>
  <c r="N363" i="2" a="1"/>
  <c r="N363" i="2"/>
  <c r="N364" i="2" a="1"/>
  <c r="N364" i="2"/>
  <c r="N365" i="2" a="1"/>
  <c r="N365" i="2"/>
  <c r="N366" i="2" a="1"/>
  <c r="N366" i="2"/>
  <c r="N367" i="2" a="1"/>
  <c r="N367" i="2"/>
  <c r="N368" i="2" a="1"/>
  <c r="N368" i="2"/>
  <c r="N369" i="2" a="1"/>
  <c r="N369" i="2"/>
  <c r="N370" i="2" a="1"/>
  <c r="N370" i="2"/>
  <c r="N371" i="2" a="1"/>
  <c r="N371" i="2"/>
  <c r="N372" i="2" a="1"/>
  <c r="N372" i="2"/>
  <c r="N373" i="2" a="1"/>
  <c r="N373" i="2"/>
  <c r="N374" i="2" a="1"/>
  <c r="N374" i="2"/>
  <c r="N375" i="2" a="1"/>
  <c r="N375" i="2"/>
  <c r="N376" i="2" a="1"/>
  <c r="N376" i="2"/>
  <c r="N377" i="2" a="1"/>
  <c r="N377" i="2"/>
  <c r="N378" i="2" a="1"/>
  <c r="N378" i="2"/>
  <c r="N379" i="2" a="1"/>
  <c r="N379" i="2"/>
  <c r="N380" i="2" a="1"/>
  <c r="N380" i="2"/>
  <c r="N381" i="2" a="1"/>
  <c r="N381" i="2"/>
  <c r="N382" i="2" a="1"/>
  <c r="N382" i="2"/>
  <c r="N383" i="2" a="1"/>
  <c r="N383" i="2"/>
  <c r="N384" i="2" a="1"/>
  <c r="N384" i="2"/>
  <c r="N385" i="2" a="1"/>
  <c r="N385" i="2"/>
  <c r="N386" i="2" a="1"/>
  <c r="N386" i="2"/>
  <c r="N387" i="2" a="1"/>
  <c r="N387" i="2"/>
  <c r="N388" i="2" a="1"/>
  <c r="N388" i="2"/>
  <c r="N389" i="2" a="1"/>
  <c r="N389" i="2"/>
  <c r="N390" i="2" a="1"/>
  <c r="N390" i="2"/>
  <c r="N391" i="2" a="1"/>
  <c r="N391" i="2"/>
  <c r="N392" i="2" a="1"/>
  <c r="N392" i="2"/>
  <c r="N393" i="2" a="1"/>
  <c r="N393" i="2"/>
  <c r="N394" i="2" a="1"/>
  <c r="N394" i="2"/>
  <c r="N395" i="2" a="1"/>
  <c r="N395" i="2"/>
  <c r="N396" i="2" a="1"/>
  <c r="N396" i="2"/>
  <c r="N397" i="2" a="1"/>
  <c r="N397" i="2"/>
  <c r="N398" i="2" a="1"/>
  <c r="N398" i="2"/>
  <c r="N399" i="2" a="1"/>
  <c r="N399" i="2"/>
  <c r="N400" i="2" a="1"/>
  <c r="N400" i="2"/>
  <c r="N401" i="2" a="1"/>
  <c r="N401" i="2"/>
  <c r="N402" i="2" a="1"/>
  <c r="N402" i="2"/>
  <c r="N403" i="2" a="1"/>
  <c r="N403" i="2"/>
  <c r="N404" i="2" a="1"/>
  <c r="N404" i="2"/>
  <c r="N405" i="2" a="1"/>
  <c r="N405" i="2"/>
  <c r="N406" i="2" a="1"/>
  <c r="N406" i="2"/>
  <c r="N407" i="2" a="1"/>
  <c r="N407" i="2"/>
  <c r="N408" i="2" a="1"/>
  <c r="N408" i="2"/>
  <c r="N409" i="2" a="1"/>
  <c r="N409" i="2"/>
  <c r="N410" i="2" a="1"/>
  <c r="N410" i="2"/>
  <c r="N411" i="2" a="1"/>
  <c r="N411" i="2"/>
  <c r="N412" i="2" a="1"/>
  <c r="N412" i="2"/>
  <c r="N413" i="2" a="1"/>
  <c r="N413" i="2"/>
  <c r="N414" i="2" a="1"/>
  <c r="N414" i="2"/>
  <c r="N415" i="2" a="1"/>
  <c r="N415" i="2"/>
  <c r="N416" i="2" a="1"/>
  <c r="N416" i="2"/>
  <c r="N417" i="2" a="1"/>
  <c r="N417" i="2"/>
  <c r="N418" i="2" a="1"/>
  <c r="N418" i="2"/>
  <c r="N419" i="2" a="1"/>
  <c r="N419" i="2"/>
  <c r="N420" i="2" a="1"/>
  <c r="N420" i="2"/>
  <c r="N421" i="2" a="1"/>
  <c r="N421" i="2"/>
  <c r="N422" i="2" a="1"/>
  <c r="N422" i="2"/>
  <c r="N423" i="2" a="1"/>
  <c r="N423" i="2"/>
  <c r="N424" i="2" a="1"/>
  <c r="N424" i="2"/>
  <c r="N425" i="2" a="1"/>
  <c r="N425" i="2"/>
  <c r="N426" i="2" a="1"/>
  <c r="N426" i="2"/>
  <c r="N427" i="2" a="1"/>
  <c r="N427" i="2"/>
  <c r="N428" i="2" a="1"/>
  <c r="N428" i="2"/>
  <c r="N429" i="2" a="1"/>
  <c r="N429" i="2"/>
  <c r="N430" i="2" a="1"/>
  <c r="N430" i="2"/>
  <c r="N431" i="2" a="1"/>
  <c r="N431" i="2"/>
  <c r="N432" i="2" a="1"/>
  <c r="N432" i="2"/>
  <c r="N433" i="2" a="1"/>
  <c r="N433" i="2"/>
  <c r="N434" i="2" a="1"/>
  <c r="N434" i="2"/>
  <c r="N435" i="2" a="1"/>
  <c r="N435" i="2"/>
  <c r="N436" i="2" a="1"/>
  <c r="N436" i="2"/>
  <c r="N437" i="2" a="1"/>
  <c r="N437" i="2"/>
  <c r="N438" i="2" a="1"/>
  <c r="N438" i="2"/>
  <c r="N439" i="2" a="1"/>
  <c r="N439" i="2"/>
  <c r="N440" i="2" a="1"/>
  <c r="N440" i="2"/>
  <c r="N441" i="2" a="1"/>
  <c r="N441" i="2"/>
  <c r="N442" i="2" a="1"/>
  <c r="N442" i="2"/>
  <c r="N443" i="2" a="1"/>
  <c r="N443" i="2"/>
  <c r="N444" i="2" a="1"/>
  <c r="N444" i="2"/>
  <c r="N445" i="2" a="1"/>
  <c r="N445" i="2"/>
  <c r="N446" i="2" a="1"/>
  <c r="N446" i="2"/>
  <c r="N447" i="2" a="1"/>
  <c r="N447" i="2"/>
  <c r="N448" i="2" a="1"/>
  <c r="N448" i="2"/>
  <c r="N449" i="2" a="1"/>
  <c r="N449" i="2"/>
  <c r="N450" i="2" a="1"/>
  <c r="N450" i="2"/>
  <c r="N451" i="2" a="1"/>
  <c r="N451" i="2"/>
  <c r="N452" i="2" a="1"/>
  <c r="N452" i="2"/>
  <c r="N453" i="2" a="1"/>
  <c r="N453" i="2"/>
  <c r="N454" i="2" a="1"/>
  <c r="N454" i="2"/>
  <c r="N455" i="2" a="1"/>
  <c r="N455" i="2"/>
  <c r="N456" i="2" a="1"/>
  <c r="N456" i="2"/>
  <c r="N457" i="2" a="1"/>
  <c r="N457" i="2"/>
  <c r="N458" i="2" a="1"/>
  <c r="N458" i="2"/>
  <c r="N459" i="2" a="1"/>
  <c r="N459" i="2"/>
  <c r="N460" i="2" a="1"/>
  <c r="N460" i="2"/>
  <c r="N461" i="2" a="1"/>
  <c r="N461" i="2"/>
  <c r="N462" i="2" a="1"/>
  <c r="N462" i="2"/>
  <c r="N463" i="2" a="1"/>
  <c r="N463" i="2"/>
  <c r="N464" i="2" a="1"/>
  <c r="N464" i="2"/>
  <c r="N465" i="2" a="1"/>
  <c r="N465" i="2"/>
  <c r="N466" i="2" a="1"/>
  <c r="N466" i="2"/>
  <c r="N467" i="2" a="1"/>
  <c r="N467" i="2"/>
  <c r="N468" i="2" a="1"/>
  <c r="N468" i="2"/>
  <c r="N469" i="2" a="1"/>
  <c r="N469" i="2"/>
  <c r="N470" i="2" a="1"/>
  <c r="N470" i="2"/>
  <c r="N471" i="2" a="1"/>
  <c r="N471" i="2"/>
  <c r="N472" i="2" a="1"/>
  <c r="N472" i="2"/>
  <c r="N473" i="2" a="1"/>
  <c r="N473" i="2"/>
  <c r="N474" i="2" a="1"/>
  <c r="N474" i="2"/>
  <c r="N475" i="2" a="1"/>
  <c r="N475" i="2"/>
  <c r="N476" i="2" a="1"/>
  <c r="N476" i="2"/>
  <c r="N477" i="2" a="1"/>
  <c r="N477" i="2"/>
  <c r="N478" i="2" a="1"/>
  <c r="N478" i="2"/>
  <c r="N479" i="2" a="1"/>
  <c r="N479" i="2"/>
  <c r="N480" i="2" a="1"/>
  <c r="N480" i="2"/>
  <c r="N481" i="2" a="1"/>
  <c r="N481" i="2"/>
  <c r="N482" i="2" a="1"/>
  <c r="N482" i="2"/>
  <c r="N483" i="2" a="1"/>
  <c r="N483" i="2"/>
  <c r="N484" i="2" a="1"/>
  <c r="N484" i="2"/>
  <c r="N485" i="2" a="1"/>
  <c r="N485" i="2"/>
  <c r="N486" i="2" a="1"/>
  <c r="N486" i="2"/>
  <c r="N487" i="2" a="1"/>
  <c r="N487" i="2"/>
  <c r="N488" i="2" a="1"/>
  <c r="N488" i="2"/>
  <c r="N489" i="2" a="1"/>
  <c r="N489" i="2"/>
  <c r="N490" i="2" a="1"/>
  <c r="N490" i="2"/>
  <c r="N491" i="2" a="1"/>
  <c r="N491" i="2"/>
  <c r="N492" i="2" a="1"/>
  <c r="N492" i="2"/>
  <c r="N493" i="2" a="1"/>
  <c r="N493" i="2"/>
  <c r="N494" i="2" a="1"/>
  <c r="N494" i="2"/>
  <c r="N495" i="2" a="1"/>
  <c r="N495" i="2"/>
  <c r="N496" i="2" a="1"/>
  <c r="N496" i="2"/>
  <c r="N497" i="2" a="1"/>
  <c r="N497" i="2"/>
  <c r="N498" i="2" a="1"/>
  <c r="N498" i="2"/>
  <c r="N499" i="2" a="1"/>
  <c r="N499" i="2"/>
  <c r="N500" i="2" a="1"/>
  <c r="N500" i="2"/>
  <c r="N501" i="2" a="1"/>
  <c r="N501" i="2"/>
  <c r="N502" i="2" a="1"/>
  <c r="N502" i="2"/>
  <c r="N503" i="2" a="1"/>
  <c r="N503" i="2"/>
  <c r="N504" i="2" a="1"/>
  <c r="N504" i="2"/>
  <c r="N505" i="2" a="1"/>
  <c r="N505" i="2"/>
  <c r="N506" i="2" a="1"/>
  <c r="N506" i="2"/>
  <c r="N507" i="2" a="1"/>
  <c r="N507" i="2"/>
  <c r="N508" i="2" a="1"/>
  <c r="N508" i="2"/>
  <c r="N509" i="2" a="1"/>
  <c r="N509" i="2"/>
  <c r="N510" i="2" a="1"/>
  <c r="N510" i="2"/>
  <c r="N511" i="2" a="1"/>
  <c r="N511" i="2"/>
  <c r="N512" i="2" a="1"/>
  <c r="N512" i="2"/>
  <c r="N513" i="2" a="1"/>
  <c r="N513" i="2"/>
  <c r="N514" i="2" a="1"/>
  <c r="N514" i="2"/>
  <c r="N515" i="2" a="1"/>
  <c r="N515" i="2"/>
  <c r="N516" i="2" a="1"/>
  <c r="N516" i="2"/>
  <c r="N517" i="2" a="1"/>
  <c r="N517" i="2"/>
  <c r="N518" i="2" a="1"/>
  <c r="N518" i="2"/>
  <c r="N519" i="2" a="1"/>
  <c r="N519" i="2"/>
  <c r="N520" i="2" a="1"/>
  <c r="N520" i="2"/>
  <c r="N521" i="2" a="1"/>
  <c r="N521" i="2"/>
  <c r="N522" i="2" a="1"/>
  <c r="N522" i="2"/>
  <c r="N523" i="2" a="1"/>
  <c r="N523" i="2"/>
  <c r="N524" i="2" a="1"/>
  <c r="N524" i="2"/>
  <c r="N525" i="2" a="1"/>
  <c r="N525" i="2"/>
  <c r="N526" i="2" a="1"/>
  <c r="N526" i="2"/>
  <c r="N527" i="2" a="1"/>
  <c r="N527" i="2"/>
  <c r="N528" i="2" a="1"/>
  <c r="N528" i="2"/>
  <c r="N529" i="2" a="1"/>
  <c r="N529" i="2"/>
  <c r="N530" i="2" a="1"/>
  <c r="N530" i="2"/>
  <c r="N531" i="2" a="1"/>
  <c r="N531" i="2"/>
  <c r="N532" i="2" a="1"/>
  <c r="N532" i="2"/>
  <c r="N533" i="2" a="1"/>
  <c r="N533" i="2"/>
  <c r="N534" i="2" a="1"/>
  <c r="N534" i="2"/>
  <c r="N535" i="2" a="1"/>
  <c r="N535" i="2"/>
  <c r="N536" i="2" a="1"/>
  <c r="N536" i="2"/>
  <c r="N537" i="2" a="1"/>
  <c r="N537" i="2"/>
  <c r="N538" i="2" a="1"/>
  <c r="N538" i="2"/>
  <c r="N539" i="2" a="1"/>
  <c r="N539" i="2"/>
  <c r="N540" i="2" a="1"/>
  <c r="N540" i="2"/>
  <c r="N541" i="2" a="1"/>
  <c r="N541" i="2"/>
  <c r="N542" i="2" a="1"/>
  <c r="N542" i="2"/>
  <c r="N543" i="2" a="1"/>
  <c r="N543" i="2"/>
  <c r="N544" i="2" a="1"/>
  <c r="N544" i="2"/>
  <c r="N545" i="2" a="1"/>
  <c r="N545" i="2"/>
  <c r="N546" i="2" a="1"/>
  <c r="N546" i="2"/>
  <c r="N547" i="2" a="1"/>
  <c r="N547" i="2"/>
  <c r="N548" i="2" a="1"/>
  <c r="N548" i="2"/>
  <c r="N549" i="2" a="1"/>
  <c r="N549" i="2"/>
  <c r="N550" i="2" a="1"/>
  <c r="N550" i="2"/>
  <c r="N551" i="2" a="1"/>
  <c r="N551" i="2"/>
  <c r="N552" i="2" a="1"/>
  <c r="N552" i="2"/>
  <c r="N553" i="2" a="1"/>
  <c r="N553" i="2"/>
  <c r="N554" i="2" a="1"/>
  <c r="N554" i="2"/>
  <c r="N555" i="2" a="1"/>
  <c r="N555" i="2"/>
  <c r="N556" i="2" a="1"/>
  <c r="N556" i="2"/>
  <c r="N557" i="2" a="1"/>
  <c r="N557" i="2"/>
  <c r="N558" i="2" a="1"/>
  <c r="N558" i="2"/>
  <c r="N559" i="2" a="1"/>
  <c r="N559" i="2"/>
  <c r="N560" i="2" a="1"/>
  <c r="N560" i="2"/>
  <c r="N561" i="2" a="1"/>
  <c r="N561" i="2"/>
  <c r="N562" i="2" a="1"/>
  <c r="N562" i="2"/>
  <c r="N563" i="2" a="1"/>
  <c r="N563" i="2"/>
  <c r="N564" i="2" a="1"/>
  <c r="N564" i="2"/>
  <c r="N565" i="2" a="1"/>
  <c r="N565" i="2"/>
  <c r="N566" i="2" a="1"/>
  <c r="N566" i="2"/>
  <c r="N567" i="2" a="1"/>
  <c r="N567" i="2"/>
  <c r="N568" i="2" a="1"/>
  <c r="N568" i="2"/>
  <c r="N569" i="2" a="1"/>
  <c r="N569" i="2"/>
  <c r="N570" i="2" a="1"/>
  <c r="N570" i="2"/>
  <c r="N571" i="2" a="1"/>
  <c r="N571" i="2"/>
  <c r="N572" i="2" a="1"/>
  <c r="N572" i="2"/>
  <c r="N573" i="2" a="1"/>
  <c r="N573" i="2"/>
  <c r="N574" i="2" a="1"/>
  <c r="N574" i="2"/>
  <c r="N575" i="2" a="1"/>
  <c r="N575" i="2"/>
  <c r="N576" i="2" a="1"/>
  <c r="N576" i="2"/>
  <c r="N577" i="2" a="1"/>
  <c r="N577" i="2"/>
  <c r="N578" i="2" a="1"/>
  <c r="N578" i="2"/>
  <c r="N579" i="2" a="1"/>
  <c r="N579" i="2"/>
  <c r="N580" i="2" a="1"/>
  <c r="N580" i="2"/>
  <c r="N581" i="2" a="1"/>
  <c r="N581" i="2"/>
  <c r="N582" i="2" a="1"/>
  <c r="N582" i="2"/>
  <c r="N583" i="2" a="1"/>
  <c r="N583" i="2"/>
  <c r="N584" i="2" a="1"/>
  <c r="N584" i="2"/>
  <c r="N585" i="2" a="1"/>
  <c r="N585" i="2"/>
  <c r="N586" i="2" a="1"/>
  <c r="N586" i="2"/>
  <c r="N587" i="2" a="1"/>
  <c r="N587" i="2"/>
  <c r="N588" i="2" a="1"/>
  <c r="N588" i="2"/>
  <c r="N589" i="2" a="1"/>
  <c r="N589" i="2"/>
  <c r="N590" i="2" a="1"/>
  <c r="N590" i="2"/>
  <c r="N591" i="2" a="1"/>
  <c r="N591" i="2"/>
  <c r="N592" i="2" a="1"/>
  <c r="N592" i="2"/>
  <c r="N593" i="2" a="1"/>
  <c r="N593" i="2"/>
  <c r="N594" i="2" a="1"/>
  <c r="N594" i="2"/>
  <c r="N595" i="2" a="1"/>
  <c r="N595" i="2"/>
  <c r="N596" i="2" a="1"/>
  <c r="N596" i="2"/>
  <c r="N597" i="2" a="1"/>
  <c r="N597" i="2"/>
  <c r="N598" i="2" a="1"/>
  <c r="N598" i="2"/>
  <c r="N599" i="2" a="1"/>
  <c r="N599" i="2"/>
  <c r="N600" i="2" a="1"/>
  <c r="N600" i="2"/>
  <c r="N601" i="2" a="1"/>
  <c r="N601" i="2"/>
  <c r="N602" i="2" a="1"/>
  <c r="N602" i="2"/>
  <c r="N603" i="2" a="1"/>
  <c r="N603" i="2"/>
  <c r="N604" i="2" a="1"/>
  <c r="N604" i="2"/>
  <c r="N605" i="2" a="1"/>
  <c r="N605" i="2"/>
  <c r="N606" i="2" a="1"/>
  <c r="N606" i="2"/>
  <c r="N607" i="2" a="1"/>
  <c r="N607" i="2"/>
  <c r="N608" i="2" a="1"/>
  <c r="N608" i="2"/>
  <c r="N609" i="2" a="1"/>
  <c r="N609" i="2"/>
  <c r="N610" i="2" a="1"/>
  <c r="N610" i="2"/>
  <c r="N611" i="2" a="1"/>
  <c r="N611" i="2"/>
  <c r="N612" i="2" a="1"/>
  <c r="N612" i="2"/>
  <c r="N613" i="2" a="1"/>
  <c r="N613" i="2"/>
  <c r="N614" i="2" a="1"/>
  <c r="N614" i="2"/>
  <c r="N615" i="2" a="1"/>
  <c r="N615" i="2"/>
  <c r="N616" i="2" a="1"/>
  <c r="N616" i="2"/>
  <c r="N617" i="2" a="1"/>
  <c r="N617" i="2"/>
  <c r="N618" i="2" a="1"/>
  <c r="N618" i="2"/>
  <c r="N619" i="2" a="1"/>
  <c r="N619" i="2"/>
  <c r="N620" i="2" a="1"/>
  <c r="N620" i="2"/>
  <c r="N621" i="2" a="1"/>
  <c r="N621" i="2"/>
  <c r="N622" i="2" a="1"/>
  <c r="N622" i="2"/>
  <c r="N623" i="2" a="1"/>
  <c r="N623" i="2"/>
  <c r="N624" i="2" a="1"/>
  <c r="N624" i="2"/>
  <c r="N625" i="2" a="1"/>
  <c r="N625" i="2"/>
  <c r="N626" i="2" a="1"/>
  <c r="N626" i="2"/>
  <c r="N627" i="2" a="1"/>
  <c r="N627" i="2"/>
  <c r="N628" i="2" a="1"/>
  <c r="N628" i="2"/>
  <c r="N629" i="2" a="1"/>
  <c r="N629" i="2"/>
  <c r="N630" i="2" a="1"/>
  <c r="N630" i="2"/>
  <c r="N631" i="2" a="1"/>
  <c r="N631" i="2"/>
  <c r="N632" i="2" a="1"/>
  <c r="N632" i="2"/>
  <c r="N633" i="2" a="1"/>
  <c r="N633" i="2"/>
  <c r="N634" i="2" a="1"/>
  <c r="N634" i="2"/>
  <c r="N635" i="2" a="1"/>
  <c r="N635" i="2"/>
  <c r="N636" i="2" a="1"/>
  <c r="N636" i="2"/>
  <c r="N637" i="2" a="1"/>
  <c r="N637" i="2"/>
  <c r="N638" i="2" a="1"/>
  <c r="N638" i="2"/>
  <c r="N639" i="2" a="1"/>
  <c r="N639" i="2"/>
  <c r="N640" i="2" a="1"/>
  <c r="N640" i="2"/>
  <c r="N641" i="2" a="1"/>
  <c r="N641" i="2"/>
  <c r="N642" i="2" a="1"/>
  <c r="N642" i="2"/>
  <c r="N643" i="2" a="1"/>
  <c r="N643" i="2"/>
  <c r="N644" i="2" a="1"/>
  <c r="N644" i="2"/>
  <c r="N645" i="2" a="1"/>
  <c r="N645" i="2"/>
  <c r="N646" i="2" a="1"/>
  <c r="N646" i="2"/>
  <c r="N647" i="2" a="1"/>
  <c r="N647" i="2"/>
  <c r="N648" i="2" a="1"/>
  <c r="N648" i="2"/>
  <c r="N649" i="2" a="1"/>
  <c r="N649" i="2"/>
  <c r="N650" i="2" a="1"/>
  <c r="N650" i="2"/>
  <c r="N651" i="2" a="1"/>
  <c r="N651" i="2"/>
  <c r="N652" i="2" a="1"/>
  <c r="N652" i="2"/>
  <c r="N653" i="2" a="1"/>
  <c r="N653" i="2"/>
  <c r="N654" i="2" a="1"/>
  <c r="N654" i="2"/>
  <c r="N655" i="2" a="1"/>
  <c r="N655" i="2"/>
  <c r="N656" i="2" a="1"/>
  <c r="N656" i="2"/>
  <c r="N657" i="2" a="1"/>
  <c r="N657" i="2"/>
  <c r="N658" i="2" a="1"/>
  <c r="N658" i="2"/>
  <c r="N659" i="2" a="1"/>
  <c r="N659" i="2"/>
  <c r="N660" i="2" a="1"/>
  <c r="N660" i="2"/>
  <c r="N661" i="2" a="1"/>
  <c r="N661" i="2"/>
  <c r="N662" i="2" a="1"/>
  <c r="N662" i="2"/>
  <c r="N663" i="2" a="1"/>
  <c r="N663" i="2"/>
  <c r="N664" i="2" a="1"/>
  <c r="N664" i="2"/>
  <c r="N665" i="2" a="1"/>
  <c r="N665" i="2"/>
  <c r="N666" i="2" a="1"/>
  <c r="N666" i="2"/>
  <c r="N667" i="2" a="1"/>
  <c r="N667" i="2"/>
  <c r="N668" i="2" a="1"/>
  <c r="N668" i="2"/>
  <c r="N669" i="2" a="1"/>
  <c r="N669" i="2"/>
  <c r="N670" i="2" a="1"/>
  <c r="N670" i="2"/>
  <c r="N671" i="2" a="1"/>
  <c r="N671" i="2"/>
  <c r="N672" i="2" a="1"/>
  <c r="N672" i="2"/>
  <c r="N673" i="2" a="1"/>
  <c r="N673" i="2"/>
  <c r="N674" i="2" a="1"/>
  <c r="N674" i="2"/>
  <c r="N675" i="2" a="1"/>
  <c r="N675" i="2"/>
  <c r="N676" i="2" a="1"/>
  <c r="N676" i="2"/>
  <c r="N677" i="2" a="1"/>
  <c r="N677" i="2"/>
  <c r="N678" i="2" a="1"/>
  <c r="N678" i="2"/>
  <c r="N679" i="2" a="1"/>
  <c r="N679" i="2"/>
  <c r="N680" i="2" a="1"/>
  <c r="N680" i="2"/>
  <c r="N681" i="2" a="1"/>
  <c r="N681" i="2"/>
  <c r="N682" i="2" a="1"/>
  <c r="N682" i="2"/>
  <c r="N683" i="2" a="1"/>
  <c r="N683" i="2"/>
  <c r="N684" i="2" a="1"/>
  <c r="N684" i="2"/>
  <c r="N685" i="2" a="1"/>
  <c r="N685" i="2"/>
  <c r="N686" i="2" a="1"/>
  <c r="N686" i="2"/>
  <c r="N687" i="2" a="1"/>
  <c r="N687" i="2"/>
  <c r="N688" i="2" a="1"/>
  <c r="N688" i="2"/>
  <c r="N689" i="2" a="1"/>
  <c r="N689" i="2"/>
  <c r="N690" i="2" a="1"/>
  <c r="N690" i="2"/>
  <c r="N691" i="2" a="1"/>
  <c r="N691" i="2"/>
  <c r="N692" i="2" a="1"/>
  <c r="N692" i="2"/>
  <c r="N693" i="2" a="1"/>
  <c r="N693" i="2"/>
  <c r="N694" i="2" a="1"/>
  <c r="N694" i="2"/>
  <c r="N695" i="2" a="1"/>
  <c r="N695" i="2"/>
  <c r="N696" i="2" a="1"/>
  <c r="N696" i="2"/>
  <c r="N697" i="2" a="1"/>
  <c r="N697" i="2"/>
  <c r="N698" i="2" a="1"/>
  <c r="N698" i="2"/>
  <c r="N699" i="2" a="1"/>
  <c r="N699" i="2"/>
  <c r="N700" i="2" a="1"/>
  <c r="N700" i="2"/>
  <c r="N701" i="2" a="1"/>
  <c r="N701" i="2"/>
  <c r="N702" i="2" a="1"/>
  <c r="N702" i="2"/>
  <c r="N703" i="2" a="1"/>
  <c r="N703" i="2"/>
  <c r="N704" i="2" a="1"/>
  <c r="N704" i="2"/>
  <c r="N705" i="2" a="1"/>
  <c r="N705" i="2"/>
  <c r="N706" i="2" a="1"/>
  <c r="N706" i="2"/>
  <c r="N707" i="2" a="1"/>
  <c r="N707" i="2"/>
  <c r="N708" i="2" a="1"/>
  <c r="N708" i="2"/>
  <c r="N709" i="2" a="1"/>
  <c r="N709" i="2"/>
  <c r="N710" i="2" a="1"/>
  <c r="N710" i="2"/>
  <c r="N711" i="2" a="1"/>
  <c r="N711" i="2"/>
  <c r="N712" i="2" a="1"/>
  <c r="N712" i="2"/>
  <c r="N713" i="2" a="1"/>
  <c r="N713" i="2"/>
  <c r="N714" i="2" a="1"/>
  <c r="N714" i="2"/>
  <c r="N715" i="2" a="1"/>
  <c r="N715" i="2"/>
  <c r="N716" i="2" a="1"/>
  <c r="N716" i="2"/>
  <c r="N717" i="2" a="1"/>
  <c r="N717" i="2"/>
  <c r="N718" i="2" a="1"/>
  <c r="N718" i="2"/>
  <c r="N719" i="2" a="1"/>
  <c r="N719" i="2"/>
  <c r="N720" i="2" a="1"/>
  <c r="N720" i="2"/>
  <c r="N721" i="2" a="1"/>
  <c r="N721" i="2"/>
  <c r="N722" i="2" a="1"/>
  <c r="N722" i="2"/>
  <c r="N723" i="2" a="1"/>
  <c r="N723" i="2"/>
  <c r="N724" i="2" a="1"/>
  <c r="N724" i="2"/>
  <c r="N725" i="2" a="1"/>
  <c r="N725" i="2"/>
  <c r="N726" i="2" a="1"/>
  <c r="N726" i="2"/>
  <c r="N727" i="2" a="1"/>
  <c r="N727" i="2"/>
  <c r="N728" i="2" a="1"/>
  <c r="N728" i="2"/>
  <c r="N729" i="2" a="1"/>
  <c r="N729" i="2"/>
  <c r="N730" i="2" a="1"/>
  <c r="N730" i="2"/>
  <c r="N731" i="2" a="1"/>
  <c r="N731" i="2"/>
  <c r="N732" i="2" a="1"/>
  <c r="N732" i="2"/>
  <c r="N733" i="2" a="1"/>
  <c r="N733" i="2"/>
  <c r="N734" i="2" a="1"/>
  <c r="N734" i="2"/>
  <c r="N735" i="2" a="1"/>
  <c r="N735" i="2"/>
  <c r="N736" i="2" a="1"/>
  <c r="N736" i="2"/>
  <c r="N737" i="2" a="1"/>
  <c r="N737" i="2"/>
  <c r="N738" i="2" a="1"/>
  <c r="N738" i="2"/>
  <c r="N739" i="2" a="1"/>
  <c r="N739" i="2"/>
  <c r="N740" i="2" a="1"/>
  <c r="N740" i="2"/>
  <c r="N741" i="2" a="1"/>
  <c r="N741" i="2"/>
  <c r="N742" i="2" a="1"/>
  <c r="N742" i="2"/>
  <c r="N743" i="2" a="1"/>
  <c r="N743" i="2"/>
  <c r="N744" i="2" a="1"/>
  <c r="N744" i="2"/>
  <c r="N745" i="2" a="1"/>
  <c r="N745" i="2"/>
  <c r="N746" i="2" a="1"/>
  <c r="N746" i="2"/>
  <c r="N747" i="2" a="1"/>
  <c r="N747" i="2"/>
  <c r="N748" i="2" a="1"/>
  <c r="N748" i="2"/>
  <c r="N749" i="2" a="1"/>
  <c r="N749" i="2"/>
  <c r="N750" i="2" a="1"/>
  <c r="N750" i="2"/>
  <c r="N751" i="2" a="1"/>
  <c r="N751" i="2"/>
  <c r="N752" i="2" a="1"/>
  <c r="N752" i="2"/>
  <c r="N753" i="2" a="1"/>
  <c r="N753" i="2"/>
  <c r="N754" i="2" a="1"/>
  <c r="N754" i="2"/>
  <c r="N755" i="2" a="1"/>
  <c r="N755" i="2"/>
  <c r="N756" i="2" a="1"/>
  <c r="N756" i="2"/>
  <c r="N757" i="2" a="1"/>
  <c r="N757" i="2"/>
  <c r="N758" i="2" a="1"/>
  <c r="N758" i="2"/>
  <c r="N759" i="2" a="1"/>
  <c r="N759" i="2"/>
  <c r="N760" i="2" a="1"/>
  <c r="N760" i="2"/>
  <c r="N761" i="2" a="1"/>
  <c r="N761" i="2"/>
  <c r="N762" i="2" a="1"/>
  <c r="N762" i="2"/>
  <c r="N763" i="2" a="1"/>
  <c r="N763" i="2"/>
  <c r="N764" i="2" a="1"/>
  <c r="N764" i="2"/>
  <c r="N765" i="2" a="1"/>
  <c r="N765" i="2"/>
  <c r="N766" i="2" a="1"/>
  <c r="N766" i="2"/>
  <c r="N767" i="2" a="1"/>
  <c r="N767" i="2"/>
  <c r="N768" i="2" a="1"/>
  <c r="N768" i="2"/>
  <c r="N769" i="2" a="1"/>
  <c r="N769" i="2"/>
  <c r="N770" i="2" a="1"/>
  <c r="N770" i="2"/>
  <c r="N771" i="2" a="1"/>
  <c r="N771" i="2"/>
  <c r="N772" i="2" a="1"/>
  <c r="N772" i="2"/>
  <c r="N773" i="2" a="1"/>
  <c r="N773" i="2"/>
  <c r="N774" i="2" a="1"/>
  <c r="N774" i="2"/>
  <c r="N775" i="2" a="1"/>
  <c r="N775" i="2"/>
  <c r="N776" i="2" a="1"/>
  <c r="N776" i="2"/>
  <c r="N777" i="2" a="1"/>
  <c r="N777" i="2"/>
  <c r="N778" i="2" a="1"/>
  <c r="N778" i="2"/>
  <c r="N779" i="2" a="1"/>
  <c r="N779" i="2"/>
  <c r="N780" i="2" a="1"/>
  <c r="N780" i="2"/>
  <c r="N781" i="2" a="1"/>
  <c r="N781" i="2"/>
  <c r="N782" i="2" a="1"/>
  <c r="N782" i="2"/>
  <c r="N783" i="2" a="1"/>
  <c r="N783" i="2"/>
  <c r="N784" i="2" a="1"/>
  <c r="N784" i="2"/>
  <c r="N785" i="2" a="1"/>
  <c r="N785" i="2"/>
  <c r="N786" i="2" a="1"/>
  <c r="N786" i="2"/>
  <c r="N787" i="2" a="1"/>
  <c r="N787" i="2"/>
  <c r="N788" i="2" a="1"/>
  <c r="N788" i="2"/>
  <c r="N789" i="2" a="1"/>
  <c r="N789" i="2"/>
  <c r="N790" i="2" a="1"/>
  <c r="N790" i="2"/>
  <c r="N791" i="2" a="1"/>
  <c r="N791" i="2"/>
  <c r="N792" i="2" a="1"/>
  <c r="N792" i="2"/>
  <c r="N793" i="2" a="1"/>
  <c r="N793" i="2"/>
  <c r="N794" i="2" a="1"/>
  <c r="N794" i="2"/>
  <c r="N795" i="2" a="1"/>
  <c r="N795" i="2"/>
  <c r="N796" i="2" a="1"/>
  <c r="N796" i="2"/>
  <c r="N797" i="2" a="1"/>
  <c r="N797" i="2"/>
  <c r="N798" i="2" a="1"/>
  <c r="N798" i="2"/>
  <c r="N799" i="2" a="1"/>
  <c r="N799" i="2"/>
  <c r="N800" i="2" a="1"/>
  <c r="N800" i="2"/>
  <c r="N801" i="2" a="1"/>
  <c r="N801" i="2"/>
  <c r="N802" i="2" a="1"/>
  <c r="N802" i="2"/>
  <c r="N803" i="2" a="1"/>
  <c r="N803" i="2"/>
  <c r="N804" i="2" a="1"/>
  <c r="N804" i="2"/>
  <c r="N805" i="2" a="1"/>
  <c r="N805" i="2"/>
  <c r="N806" i="2" a="1"/>
  <c r="N806" i="2"/>
  <c r="N807" i="2" a="1"/>
  <c r="N807" i="2"/>
  <c r="N808" i="2" a="1"/>
  <c r="N808" i="2"/>
  <c r="N809" i="2" a="1"/>
  <c r="N809" i="2"/>
  <c r="N810" i="2" a="1"/>
  <c r="N810" i="2"/>
  <c r="N811" i="2" a="1"/>
  <c r="N811" i="2"/>
  <c r="N812" i="2" a="1"/>
  <c r="N812" i="2"/>
  <c r="N813" i="2" a="1"/>
  <c r="N813" i="2"/>
  <c r="N814" i="2" a="1"/>
  <c r="N814" i="2"/>
  <c r="N815" i="2" a="1"/>
  <c r="N815" i="2"/>
  <c r="N816" i="2" a="1"/>
  <c r="N816" i="2"/>
  <c r="N817" i="2" a="1"/>
  <c r="N817" i="2"/>
  <c r="N818" i="2" a="1"/>
  <c r="N818" i="2"/>
  <c r="N819" i="2" a="1"/>
  <c r="N819" i="2"/>
  <c r="N820" i="2" a="1"/>
  <c r="N820" i="2"/>
  <c r="N821" i="2" a="1"/>
  <c r="N821" i="2"/>
  <c r="N822" i="2" a="1"/>
  <c r="N822" i="2"/>
  <c r="N823" i="2" a="1"/>
  <c r="N823" i="2"/>
  <c r="N824" i="2" a="1"/>
  <c r="N824" i="2"/>
  <c r="N825" i="2" a="1"/>
  <c r="N825" i="2"/>
  <c r="N826" i="2" a="1"/>
  <c r="N826" i="2"/>
  <c r="N827" i="2" a="1"/>
  <c r="N827" i="2"/>
  <c r="N828" i="2" a="1"/>
  <c r="N828" i="2"/>
  <c r="N829" i="2" a="1"/>
  <c r="N829" i="2"/>
  <c r="N830" i="2" a="1"/>
  <c r="N830" i="2"/>
  <c r="N831" i="2" a="1"/>
  <c r="N831" i="2"/>
  <c r="N832" i="2" a="1"/>
  <c r="N832" i="2"/>
  <c r="N833" i="2" a="1"/>
  <c r="N833" i="2"/>
  <c r="N834" i="2" a="1"/>
  <c r="N834" i="2"/>
  <c r="N835" i="2" a="1"/>
  <c r="N835" i="2"/>
  <c r="N836" i="2" a="1"/>
  <c r="N836" i="2"/>
  <c r="N837" i="2" a="1"/>
  <c r="N837" i="2"/>
  <c r="N838" i="2" a="1"/>
  <c r="N838" i="2"/>
  <c r="N839" i="2" a="1"/>
  <c r="N839" i="2"/>
  <c r="N840" i="2" a="1"/>
  <c r="N840" i="2"/>
  <c r="N841" i="2" a="1"/>
  <c r="N841" i="2"/>
  <c r="N842" i="2" a="1"/>
  <c r="N842" i="2"/>
  <c r="N843" i="2" a="1"/>
  <c r="N843" i="2"/>
  <c r="N844" i="2" a="1"/>
  <c r="N844" i="2"/>
  <c r="N845" i="2" a="1"/>
  <c r="N845" i="2"/>
  <c r="N846" i="2" a="1"/>
  <c r="N846" i="2"/>
  <c r="N847" i="2" a="1"/>
  <c r="N847" i="2"/>
  <c r="N848" i="2" a="1"/>
  <c r="N848" i="2"/>
  <c r="N849" i="2" a="1"/>
  <c r="N849" i="2"/>
  <c r="N850" i="2" a="1"/>
  <c r="N850" i="2"/>
  <c r="N851" i="2" a="1"/>
  <c r="N851" i="2"/>
  <c r="N852" i="2" a="1"/>
  <c r="N852" i="2"/>
  <c r="N853" i="2" a="1"/>
  <c r="N853" i="2"/>
  <c r="N854" i="2" a="1"/>
  <c r="N854" i="2"/>
  <c r="N855" i="2" a="1"/>
  <c r="N855" i="2"/>
  <c r="N856" i="2" a="1"/>
  <c r="N856" i="2"/>
  <c r="N857" i="2" a="1"/>
  <c r="N857" i="2"/>
  <c r="N858" i="2" a="1"/>
  <c r="N858" i="2"/>
  <c r="N859" i="2" a="1"/>
  <c r="N859" i="2"/>
  <c r="N860" i="2" a="1"/>
  <c r="N860" i="2"/>
  <c r="N861" i="2" a="1"/>
  <c r="N861" i="2"/>
  <c r="N862" i="2" a="1"/>
  <c r="N862" i="2"/>
  <c r="N863" i="2" a="1"/>
  <c r="N863" i="2"/>
  <c r="N864" i="2" a="1"/>
  <c r="N864" i="2"/>
  <c r="N865" i="2" a="1"/>
  <c r="N865" i="2"/>
  <c r="N866" i="2" a="1"/>
  <c r="N866" i="2"/>
  <c r="N867" i="2" a="1"/>
  <c r="N867" i="2"/>
  <c r="N868" i="2" a="1"/>
  <c r="N868" i="2"/>
  <c r="N869" i="2" a="1"/>
  <c r="N869" i="2"/>
  <c r="N870" i="2" a="1"/>
  <c r="N870" i="2"/>
  <c r="N871" i="2" a="1"/>
  <c r="N871" i="2"/>
  <c r="N872" i="2" a="1"/>
  <c r="N872" i="2"/>
  <c r="N873" i="2" a="1"/>
  <c r="N873" i="2"/>
  <c r="N874" i="2" a="1"/>
  <c r="N874" i="2"/>
  <c r="N875" i="2" a="1"/>
  <c r="N875" i="2"/>
  <c r="N876" i="2" a="1"/>
  <c r="N876" i="2"/>
  <c r="N877" i="2" a="1"/>
  <c r="N877" i="2"/>
  <c r="N878" i="2" a="1"/>
  <c r="N878" i="2"/>
  <c r="N879" i="2" a="1"/>
  <c r="N879" i="2"/>
  <c r="N880" i="2" a="1"/>
  <c r="N880" i="2"/>
  <c r="N881" i="2" a="1"/>
  <c r="N881" i="2"/>
  <c r="N882" i="2" a="1"/>
  <c r="N882" i="2"/>
  <c r="N883" i="2" a="1"/>
  <c r="N883" i="2"/>
  <c r="N884" i="2" a="1"/>
  <c r="N884" i="2"/>
  <c r="N885" i="2" a="1"/>
  <c r="N885" i="2"/>
  <c r="N886" i="2" a="1"/>
  <c r="N886" i="2"/>
  <c r="N887" i="2" a="1"/>
  <c r="N887" i="2"/>
  <c r="N888" i="2" a="1"/>
  <c r="N888" i="2"/>
  <c r="N889" i="2" a="1"/>
  <c r="N889" i="2"/>
  <c r="N890" i="2" a="1"/>
  <c r="N890" i="2"/>
  <c r="N891" i="2" a="1"/>
  <c r="N891" i="2"/>
  <c r="N892" i="2" a="1"/>
  <c r="N892" i="2"/>
  <c r="N893" i="2" a="1"/>
  <c r="N893" i="2"/>
  <c r="N894" i="2" a="1"/>
  <c r="N894" i="2"/>
  <c r="N895" i="2" a="1"/>
  <c r="N895" i="2"/>
  <c r="N896" i="2" a="1"/>
  <c r="N896" i="2"/>
  <c r="N897" i="2" a="1"/>
  <c r="N897" i="2"/>
  <c r="N898" i="2" a="1"/>
  <c r="N898" i="2"/>
  <c r="N899" i="2" a="1"/>
  <c r="N899" i="2"/>
  <c r="N900" i="2" a="1"/>
  <c r="N900" i="2"/>
  <c r="N901" i="2" a="1"/>
  <c r="N901" i="2"/>
  <c r="N902" i="2" a="1"/>
  <c r="N902" i="2"/>
  <c r="N903" i="2" a="1"/>
  <c r="N903" i="2"/>
  <c r="N904" i="2" a="1"/>
  <c r="N904" i="2"/>
  <c r="N905" i="2" a="1"/>
  <c r="N905" i="2"/>
  <c r="N906" i="2" a="1"/>
  <c r="N906" i="2"/>
  <c r="N907" i="2" a="1"/>
  <c r="N907" i="2"/>
  <c r="N908" i="2" a="1"/>
  <c r="N908" i="2"/>
  <c r="N909" i="2" a="1"/>
  <c r="N909" i="2"/>
  <c r="N910" i="2" a="1"/>
  <c r="N910" i="2"/>
  <c r="N911" i="2" a="1"/>
  <c r="N911" i="2"/>
  <c r="N912" i="2" a="1"/>
  <c r="N912" i="2"/>
  <c r="N913" i="2" a="1"/>
  <c r="N913" i="2"/>
  <c r="N914" i="2" a="1"/>
  <c r="N914" i="2"/>
  <c r="N915" i="2" a="1"/>
  <c r="N915" i="2"/>
  <c r="N916" i="2" a="1"/>
  <c r="N916" i="2"/>
  <c r="N917" i="2" a="1"/>
  <c r="N917" i="2"/>
  <c r="N918" i="2" a="1"/>
  <c r="N918" i="2"/>
  <c r="N919" i="2" a="1"/>
  <c r="N919" i="2"/>
  <c r="N920" i="2" a="1"/>
  <c r="N920" i="2"/>
  <c r="N921" i="2" a="1"/>
  <c r="N921" i="2"/>
  <c r="N922" i="2" a="1"/>
  <c r="N922" i="2"/>
  <c r="N923" i="2" a="1"/>
  <c r="N923" i="2"/>
  <c r="N924" i="2" a="1"/>
  <c r="N924" i="2"/>
  <c r="N925" i="2" a="1"/>
  <c r="N925" i="2"/>
  <c r="N926" i="2" a="1"/>
  <c r="N926" i="2"/>
  <c r="N927" i="2" a="1"/>
  <c r="N927" i="2"/>
  <c r="N928" i="2" a="1"/>
  <c r="N928" i="2"/>
  <c r="N929" i="2" a="1"/>
  <c r="N929" i="2"/>
  <c r="N930" i="2" a="1"/>
  <c r="N930" i="2"/>
  <c r="N931" i="2" a="1"/>
  <c r="N931" i="2"/>
  <c r="N932" i="2" a="1"/>
  <c r="N932" i="2"/>
  <c r="N933" i="2" a="1"/>
  <c r="N933" i="2"/>
  <c r="N934" i="2" a="1"/>
  <c r="N934" i="2"/>
  <c r="N935" i="2" a="1"/>
  <c r="N935" i="2"/>
  <c r="N936" i="2" a="1"/>
  <c r="N936" i="2"/>
  <c r="N937" i="2" a="1"/>
  <c r="N937" i="2"/>
  <c r="N938" i="2" a="1"/>
  <c r="N938" i="2"/>
  <c r="N939" i="2" a="1"/>
  <c r="N939" i="2"/>
  <c r="N940" i="2" a="1"/>
  <c r="N940" i="2"/>
  <c r="N941" i="2" a="1"/>
  <c r="N941" i="2"/>
  <c r="N942" i="2" a="1"/>
  <c r="N942" i="2"/>
  <c r="N943" i="2" a="1"/>
  <c r="N943" i="2"/>
  <c r="N944" i="2" a="1"/>
  <c r="N944" i="2"/>
  <c r="N945" i="2" a="1"/>
  <c r="N945" i="2"/>
  <c r="N946" i="2" a="1"/>
  <c r="N946" i="2"/>
  <c r="N947" i="2" a="1"/>
  <c r="N947" i="2"/>
  <c r="N948" i="2" a="1"/>
  <c r="N948" i="2"/>
  <c r="N949" i="2" a="1"/>
  <c r="N949" i="2"/>
  <c r="N950" i="2" a="1"/>
  <c r="N950" i="2"/>
  <c r="N951" i="2" a="1"/>
  <c r="N951" i="2"/>
  <c r="N952" i="2" a="1"/>
  <c r="N952" i="2"/>
  <c r="N953" i="2" a="1"/>
  <c r="N953" i="2"/>
  <c r="N954" i="2" a="1"/>
  <c r="N954" i="2"/>
  <c r="N955" i="2" a="1"/>
  <c r="N955" i="2"/>
  <c r="N956" i="2" a="1"/>
  <c r="N956" i="2"/>
  <c r="N957" i="2" a="1"/>
  <c r="N957" i="2"/>
  <c r="N958" i="2" a="1"/>
  <c r="N958" i="2"/>
  <c r="N959" i="2" a="1"/>
  <c r="N959" i="2"/>
  <c r="N960" i="2" a="1"/>
  <c r="N960" i="2"/>
  <c r="N961" i="2" a="1"/>
  <c r="N961" i="2"/>
  <c r="N962" i="2" a="1"/>
  <c r="N962" i="2"/>
  <c r="N963" i="2" a="1"/>
  <c r="N963" i="2"/>
  <c r="N964" i="2" a="1"/>
  <c r="N964" i="2"/>
  <c r="N965" i="2" a="1"/>
  <c r="N965" i="2"/>
  <c r="N966" i="2" a="1"/>
  <c r="N966" i="2"/>
  <c r="N967" i="2" a="1"/>
  <c r="N967" i="2"/>
  <c r="N968" i="2" a="1"/>
  <c r="N968" i="2"/>
  <c r="N969" i="2" a="1"/>
  <c r="N969" i="2"/>
  <c r="N970" i="2" a="1"/>
  <c r="N970" i="2"/>
  <c r="N971" i="2" a="1"/>
  <c r="N971" i="2"/>
  <c r="N972" i="2" a="1"/>
  <c r="N972" i="2"/>
  <c r="N973" i="2" a="1"/>
  <c r="N973" i="2"/>
  <c r="N974" i="2" a="1"/>
  <c r="N974" i="2"/>
  <c r="N975" i="2" a="1"/>
  <c r="N975" i="2"/>
  <c r="N976" i="2" a="1"/>
  <c r="N976" i="2"/>
  <c r="N977" i="2" a="1"/>
  <c r="N977" i="2"/>
  <c r="N978" i="2" a="1"/>
  <c r="N978" i="2"/>
  <c r="N979" i="2" a="1"/>
  <c r="N979" i="2"/>
  <c r="N980" i="2" a="1"/>
  <c r="N980" i="2"/>
  <c r="N981" i="2" a="1"/>
  <c r="N981" i="2"/>
  <c r="N982" i="2" a="1"/>
  <c r="N982" i="2"/>
  <c r="N983" i="2" a="1"/>
  <c r="N983" i="2"/>
  <c r="N984" i="2" a="1"/>
  <c r="N984" i="2"/>
  <c r="N985" i="2" a="1"/>
  <c r="N985" i="2"/>
  <c r="N986" i="2" a="1"/>
  <c r="N986" i="2"/>
  <c r="N987" i="2" a="1"/>
  <c r="N987" i="2"/>
  <c r="N988" i="2" a="1"/>
  <c r="N988" i="2"/>
  <c r="N989" i="2" a="1"/>
  <c r="N989" i="2"/>
  <c r="N990" i="2" a="1"/>
  <c r="N990" i="2"/>
  <c r="N991" i="2" a="1"/>
  <c r="N991" i="2"/>
  <c r="N992" i="2" a="1"/>
  <c r="N992" i="2"/>
  <c r="N993" i="2" a="1"/>
  <c r="N993" i="2"/>
  <c r="N994" i="2" a="1"/>
  <c r="N994" i="2"/>
  <c r="N995" i="2" a="1"/>
  <c r="N995" i="2"/>
  <c r="N996" i="2" a="1"/>
  <c r="N996" i="2"/>
  <c r="N997" i="2" a="1"/>
  <c r="N997" i="2"/>
  <c r="N998" i="2" a="1"/>
  <c r="N998" i="2"/>
  <c r="N999" i="2" a="1"/>
  <c r="N999" i="2"/>
  <c r="N1000" i="2" a="1"/>
  <c r="N1000" i="2"/>
  <c r="N1001" i="2" a="1"/>
  <c r="N1001" i="2"/>
  <c r="N1002" i="2" a="1"/>
  <c r="N1002" i="2"/>
  <c r="N1003" i="2" a="1"/>
  <c r="N1003" i="2"/>
  <c r="N1004" i="2" a="1"/>
  <c r="N1004" i="2"/>
  <c r="N1005" i="2" a="1"/>
  <c r="N1005" i="2"/>
  <c r="N1006" i="2" a="1"/>
  <c r="N1006" i="2"/>
  <c r="N1007" i="2" a="1"/>
  <c r="N1007" i="2"/>
  <c r="N1008" i="2" a="1"/>
  <c r="N1008" i="2"/>
  <c r="N1009" i="2" a="1"/>
  <c r="N1009" i="2"/>
  <c r="N1010" i="2" a="1"/>
  <c r="N1010" i="2"/>
  <c r="N1011" i="2" a="1"/>
  <c r="N1011" i="2"/>
  <c r="N1012" i="2" a="1"/>
  <c r="N1012" i="2"/>
  <c r="N1013" i="2" a="1"/>
  <c r="N1013" i="2"/>
  <c r="N1014" i="2" a="1"/>
  <c r="N1014" i="2"/>
  <c r="N1015" i="2" a="1"/>
  <c r="N1015" i="2"/>
  <c r="N1016" i="2" a="1"/>
  <c r="N1016" i="2"/>
  <c r="N1017" i="2" a="1"/>
  <c r="N1017" i="2"/>
  <c r="N1018" i="2" a="1"/>
  <c r="N1018" i="2"/>
  <c r="N1019" i="2" a="1"/>
  <c r="N1019" i="2"/>
  <c r="N1020" i="2" a="1"/>
  <c r="N1020" i="2"/>
  <c r="N1021" i="2" a="1"/>
  <c r="N1021" i="2"/>
  <c r="N1022" i="2" a="1"/>
  <c r="N1022" i="2"/>
  <c r="N1023" i="2" a="1"/>
  <c r="N1023" i="2"/>
  <c r="N1024" i="2" a="1"/>
  <c r="N1024" i="2"/>
  <c r="N1025" i="2" a="1"/>
  <c r="N1025" i="2"/>
  <c r="N1026" i="2" a="1"/>
  <c r="N1026" i="2"/>
  <c r="N1027" i="2" a="1"/>
  <c r="N1027" i="2"/>
  <c r="N1028" i="2" a="1"/>
  <c r="N1028" i="2"/>
  <c r="N1029" i="2" a="1"/>
  <c r="N1029" i="2"/>
  <c r="N1030" i="2" a="1"/>
  <c r="N1030" i="2"/>
  <c r="N1031" i="2" a="1"/>
  <c r="N1031" i="2"/>
  <c r="N1032" i="2" a="1"/>
  <c r="N1032" i="2"/>
  <c r="N1033" i="2" a="1"/>
  <c r="N1033" i="2"/>
  <c r="N1034" i="2" a="1"/>
  <c r="N1034" i="2"/>
  <c r="N1035" i="2" a="1"/>
  <c r="N1035" i="2"/>
  <c r="N1036" i="2" a="1"/>
  <c r="N1036" i="2"/>
  <c r="N1037" i="2" a="1"/>
  <c r="N1037" i="2"/>
  <c r="N1038" i="2" a="1"/>
  <c r="N1038" i="2"/>
  <c r="N1039" i="2" a="1"/>
  <c r="N1039" i="2"/>
  <c r="N1040" i="2" a="1"/>
  <c r="N1040" i="2"/>
  <c r="N1041" i="2" a="1"/>
  <c r="N1041" i="2"/>
  <c r="N1042" i="2" a="1"/>
  <c r="N1042" i="2"/>
  <c r="N1043" i="2" a="1"/>
  <c r="N1043" i="2"/>
  <c r="N1044" i="2" a="1"/>
  <c r="N1044" i="2"/>
  <c r="N1045" i="2" a="1"/>
  <c r="N1045" i="2"/>
  <c r="N1046" i="2" a="1"/>
  <c r="N1046" i="2"/>
  <c r="N1047" i="2" a="1"/>
  <c r="N1047" i="2"/>
  <c r="N1048" i="2" a="1"/>
  <c r="N1048" i="2"/>
  <c r="N1049" i="2" a="1"/>
  <c r="N1049" i="2"/>
  <c r="N1050" i="2" a="1"/>
  <c r="N1050" i="2"/>
  <c r="N1051" i="2" a="1"/>
  <c r="N1051" i="2"/>
  <c r="N1052" i="2" a="1"/>
  <c r="N1052" i="2"/>
  <c r="N1053" i="2" a="1"/>
  <c r="N1053" i="2"/>
  <c r="N1054" i="2" a="1"/>
  <c r="N1054" i="2"/>
  <c r="N1055" i="2" a="1"/>
  <c r="N1055" i="2"/>
  <c r="N1056" i="2" a="1"/>
  <c r="N1056" i="2"/>
  <c r="N1057" i="2" a="1"/>
  <c r="N1057" i="2"/>
  <c r="N1058" i="2" a="1"/>
  <c r="N1058" i="2"/>
  <c r="N1059" i="2" a="1"/>
  <c r="N1059" i="2"/>
  <c r="N1060" i="2" a="1"/>
  <c r="N1060" i="2"/>
  <c r="N1061" i="2" a="1"/>
  <c r="N1061" i="2"/>
  <c r="N1062" i="2" a="1"/>
  <c r="N1062" i="2"/>
  <c r="N1063" i="2" a="1"/>
  <c r="N1063" i="2"/>
  <c r="N1064" i="2" a="1"/>
  <c r="N1064" i="2"/>
  <c r="N1065" i="2" a="1"/>
  <c r="N1065" i="2"/>
  <c r="N1066" i="2" a="1"/>
  <c r="N1066" i="2"/>
  <c r="N1067" i="2" a="1"/>
  <c r="N1067" i="2"/>
  <c r="N1068" i="2" a="1"/>
  <c r="N1068" i="2"/>
  <c r="N1069" i="2" a="1"/>
  <c r="N1069" i="2"/>
  <c r="N1070" i="2" a="1"/>
  <c r="N1070" i="2"/>
  <c r="N1071" i="2" a="1"/>
  <c r="N1071" i="2"/>
  <c r="N1072" i="2" a="1"/>
  <c r="N1072" i="2"/>
  <c r="N1073" i="2" a="1"/>
  <c r="N1073" i="2"/>
  <c r="N1074" i="2" a="1"/>
  <c r="N1074" i="2"/>
  <c r="N1075" i="2" a="1"/>
  <c r="N1075" i="2"/>
  <c r="N1076" i="2" a="1"/>
  <c r="N1076" i="2"/>
  <c r="N1077" i="2" a="1"/>
  <c r="N1077" i="2"/>
  <c r="N1078" i="2" a="1"/>
  <c r="N1078" i="2"/>
  <c r="N1079" i="2" a="1"/>
  <c r="N1079" i="2"/>
  <c r="N1080" i="2" a="1"/>
  <c r="N1080" i="2"/>
  <c r="N1081" i="2" a="1"/>
  <c r="N1081" i="2"/>
  <c r="N1082" i="2" a="1"/>
  <c r="N1082" i="2"/>
  <c r="N1083" i="2" a="1"/>
  <c r="N1083" i="2"/>
  <c r="N1084" i="2" a="1"/>
  <c r="N1084" i="2"/>
  <c r="N1085" i="2" a="1"/>
  <c r="N1085" i="2"/>
  <c r="N1086" i="2" a="1"/>
  <c r="N1086" i="2"/>
  <c r="N1087" i="2" a="1"/>
  <c r="N1087" i="2"/>
  <c r="N1088" i="2" a="1"/>
  <c r="N1088" i="2"/>
  <c r="N1089" i="2" a="1"/>
  <c r="N1089" i="2"/>
  <c r="N1090" i="2" a="1"/>
  <c r="N1090" i="2"/>
  <c r="N1091" i="2" a="1"/>
  <c r="N1091" i="2"/>
  <c r="N1092" i="2" a="1"/>
  <c r="N1092" i="2"/>
  <c r="N1093" i="2" a="1"/>
  <c r="N1093" i="2"/>
  <c r="N1094" i="2" a="1"/>
  <c r="N1094" i="2"/>
  <c r="N1095" i="2" a="1"/>
  <c r="N1095" i="2"/>
  <c r="N1096" i="2" a="1"/>
  <c r="N1096" i="2"/>
  <c r="N1097" i="2" a="1"/>
  <c r="N1097" i="2"/>
  <c r="N1098" i="2" a="1"/>
  <c r="N1098" i="2"/>
  <c r="N1099" i="2" a="1"/>
  <c r="N1099" i="2"/>
  <c r="N1100" i="2" a="1"/>
  <c r="N1100" i="2"/>
  <c r="N1101" i="2" a="1"/>
  <c r="N1101" i="2"/>
  <c r="N1102" i="2" a="1"/>
  <c r="N1102" i="2"/>
  <c r="N1103" i="2" a="1"/>
  <c r="N1103" i="2"/>
  <c r="N1104" i="2" a="1"/>
  <c r="N1104" i="2"/>
  <c r="N1105" i="2" a="1"/>
  <c r="N1105" i="2"/>
  <c r="N1106" i="2" a="1"/>
  <c r="N1106" i="2"/>
  <c r="N1107" i="2" a="1"/>
  <c r="N1107" i="2"/>
  <c r="N1108" i="2" a="1"/>
  <c r="N1108" i="2"/>
  <c r="N1109" i="2" a="1"/>
  <c r="N1109" i="2"/>
  <c r="N1110" i="2" a="1"/>
  <c r="N1110" i="2"/>
  <c r="N1111" i="2" a="1"/>
  <c r="N1111" i="2"/>
  <c r="N1112" i="2" a="1"/>
  <c r="N1112" i="2"/>
  <c r="N1113" i="2" a="1"/>
  <c r="N1113" i="2"/>
  <c r="N1114" i="2" a="1"/>
  <c r="N1114" i="2"/>
  <c r="N1115" i="2" a="1"/>
  <c r="N1115" i="2"/>
  <c r="N1116" i="2" a="1"/>
  <c r="N1116" i="2"/>
  <c r="N1117" i="2" a="1"/>
  <c r="N1117" i="2"/>
  <c r="N1118" i="2" a="1"/>
  <c r="N1118" i="2"/>
  <c r="N1119" i="2" a="1"/>
  <c r="N1119" i="2"/>
  <c r="N1120" i="2" a="1"/>
  <c r="N1120" i="2"/>
  <c r="N1121" i="2" a="1"/>
  <c r="N1121" i="2"/>
  <c r="N1122" i="2" a="1"/>
  <c r="N1122" i="2"/>
  <c r="N1123" i="2" a="1"/>
  <c r="N1123" i="2"/>
  <c r="N1124" i="2" a="1"/>
  <c r="N1124" i="2"/>
  <c r="N1125" i="2" a="1"/>
  <c r="N1125" i="2"/>
  <c r="N1126" i="2" a="1"/>
  <c r="N1126" i="2"/>
  <c r="N1127" i="2" a="1"/>
  <c r="N1127" i="2"/>
  <c r="N1128" i="2" a="1"/>
  <c r="N1128" i="2"/>
  <c r="N1129" i="2" a="1"/>
  <c r="N1129" i="2"/>
  <c r="N1130" i="2" a="1"/>
  <c r="N1130" i="2"/>
  <c r="N1131" i="2" a="1"/>
  <c r="N1131" i="2"/>
  <c r="N1132" i="2" a="1"/>
  <c r="N1132" i="2"/>
  <c r="N1133" i="2" a="1"/>
  <c r="N1133" i="2"/>
  <c r="N1134" i="2" a="1"/>
  <c r="N1134" i="2"/>
  <c r="N1135" i="2" a="1"/>
  <c r="N1135" i="2"/>
  <c r="N1136" i="2" a="1"/>
  <c r="N1136" i="2"/>
  <c r="N1137" i="2" a="1"/>
  <c r="N1137" i="2"/>
  <c r="N1138" i="2" a="1"/>
  <c r="N1138" i="2"/>
  <c r="N1139" i="2" a="1"/>
  <c r="N1139" i="2"/>
  <c r="N1140" i="2" a="1"/>
  <c r="N1140" i="2"/>
  <c r="N1141" i="2" a="1"/>
  <c r="N1141" i="2"/>
  <c r="N1142" i="2" a="1"/>
  <c r="N1142" i="2"/>
  <c r="N1143" i="2" a="1"/>
  <c r="N1143" i="2"/>
  <c r="N1144" i="2" a="1"/>
  <c r="N1144" i="2"/>
  <c r="N1145" i="2" a="1"/>
  <c r="N1145" i="2"/>
  <c r="N1146" i="2" a="1"/>
  <c r="N1146" i="2"/>
  <c r="N1147" i="2" a="1"/>
  <c r="N1147" i="2"/>
  <c r="N1148" i="2" a="1"/>
  <c r="N1148" i="2"/>
  <c r="N1149" i="2" a="1"/>
  <c r="N1149" i="2"/>
  <c r="N1150" i="2" a="1"/>
  <c r="N1150" i="2"/>
  <c r="N1151" i="2" a="1"/>
  <c r="N1151" i="2"/>
  <c r="N1152" i="2" a="1"/>
  <c r="N1152" i="2"/>
  <c r="N1153" i="2" a="1"/>
  <c r="N1153" i="2"/>
  <c r="N1154" i="2" a="1"/>
  <c r="N1154" i="2"/>
  <c r="N1155" i="2" a="1"/>
  <c r="N1155" i="2"/>
  <c r="N1156" i="2" a="1"/>
  <c r="N1156" i="2"/>
  <c r="N1157" i="2" a="1"/>
  <c r="N1157" i="2"/>
  <c r="N1158" i="2" a="1"/>
  <c r="N1158" i="2"/>
  <c r="N1159" i="2" a="1"/>
  <c r="N1159" i="2"/>
  <c r="N1160" i="2" a="1"/>
  <c r="N1160" i="2"/>
  <c r="N1161" i="2" a="1"/>
  <c r="N1161" i="2"/>
  <c r="N1162" i="2" a="1"/>
  <c r="N1162" i="2"/>
  <c r="N1163" i="2" a="1"/>
  <c r="N1163" i="2"/>
  <c r="N1164" i="2" a="1"/>
  <c r="N1164" i="2"/>
  <c r="N1165" i="2" a="1"/>
  <c r="N1165" i="2"/>
  <c r="N1166" i="2" a="1"/>
  <c r="N1166" i="2"/>
  <c r="N1167" i="2" a="1"/>
  <c r="N1167" i="2"/>
  <c r="N1168" i="2" a="1"/>
  <c r="N1168" i="2"/>
  <c r="N1169" i="2" a="1"/>
  <c r="N1169" i="2"/>
  <c r="N1170" i="2" a="1"/>
  <c r="N1170" i="2"/>
  <c r="N1171" i="2" a="1"/>
  <c r="N1171" i="2"/>
  <c r="N1172" i="2" a="1"/>
  <c r="N1172" i="2"/>
  <c r="N1173" i="2" a="1"/>
  <c r="N1173" i="2"/>
  <c r="N1174" i="2" a="1"/>
  <c r="N1174" i="2"/>
  <c r="N1175" i="2" a="1"/>
  <c r="N1175" i="2"/>
  <c r="N1176" i="2" a="1"/>
  <c r="N1176" i="2"/>
  <c r="N1177" i="2" a="1"/>
  <c r="N1177" i="2"/>
  <c r="N1178" i="2" a="1"/>
  <c r="N1178" i="2"/>
  <c r="N1179" i="2" a="1"/>
  <c r="N1179" i="2"/>
  <c r="N1180" i="2" a="1"/>
  <c r="N1180" i="2"/>
  <c r="N1181" i="2" a="1"/>
  <c r="N1181" i="2"/>
  <c r="N1182" i="2" a="1"/>
  <c r="N1182" i="2"/>
  <c r="N1183" i="2" a="1"/>
  <c r="N1183" i="2"/>
  <c r="N1184" i="2" a="1"/>
  <c r="N1184" i="2"/>
  <c r="N1185" i="2" a="1"/>
  <c r="N1185" i="2"/>
  <c r="N1186" i="2" a="1"/>
  <c r="N1186" i="2"/>
  <c r="N1187" i="2" a="1"/>
  <c r="N1187" i="2"/>
  <c r="N1188" i="2" a="1"/>
  <c r="N1188" i="2"/>
  <c r="N1189" i="2" a="1"/>
  <c r="N1189" i="2"/>
  <c r="N1190" i="2" a="1"/>
  <c r="N1190" i="2"/>
  <c r="N1191" i="2" a="1"/>
  <c r="N1191" i="2"/>
  <c r="N1192" i="2" a="1"/>
  <c r="N1192" i="2"/>
  <c r="N1193" i="2" a="1"/>
  <c r="N1193" i="2"/>
  <c r="N1194" i="2" a="1"/>
  <c r="N1194" i="2"/>
  <c r="N1195" i="2" a="1"/>
  <c r="N1195" i="2"/>
  <c r="N1196" i="2" a="1"/>
  <c r="N1196" i="2"/>
  <c r="N1197" i="2" a="1"/>
  <c r="N1197" i="2"/>
  <c r="N1198" i="2" a="1"/>
  <c r="N1198" i="2"/>
  <c r="N1199" i="2" a="1"/>
  <c r="N1199" i="2"/>
  <c r="N1200" i="2" a="1"/>
  <c r="N1200" i="2"/>
  <c r="N1201" i="2" a="1"/>
  <c r="N1201" i="2"/>
  <c r="N1202" i="2" a="1"/>
  <c r="N1202" i="2"/>
  <c r="N1203" i="2" a="1"/>
  <c r="N1203" i="2"/>
  <c r="N1204" i="2" a="1"/>
  <c r="N1204" i="2"/>
  <c r="N1205" i="2" a="1"/>
  <c r="N1205" i="2"/>
  <c r="N1206" i="2" a="1"/>
  <c r="N1206" i="2"/>
  <c r="N1207" i="2" a="1"/>
  <c r="N1207" i="2"/>
  <c r="N1208" i="2" a="1"/>
  <c r="N1208" i="2"/>
  <c r="N1209" i="2" a="1"/>
  <c r="N1209" i="2"/>
  <c r="N1210" i="2" a="1"/>
  <c r="N1210" i="2"/>
  <c r="N1211" i="2" a="1"/>
  <c r="N1211" i="2"/>
  <c r="N1212" i="2" a="1"/>
  <c r="N1212" i="2"/>
  <c r="N1213" i="2" a="1"/>
  <c r="N1213" i="2"/>
  <c r="N1214" i="2" a="1"/>
  <c r="N1214" i="2"/>
  <c r="N1215" i="2" a="1"/>
  <c r="N1215" i="2"/>
  <c r="N1216" i="2" a="1"/>
  <c r="N1216" i="2"/>
  <c r="N1217" i="2" a="1"/>
  <c r="N1217" i="2"/>
  <c r="N1218" i="2" a="1"/>
  <c r="N1218" i="2"/>
  <c r="N1219" i="2" a="1"/>
  <c r="N1219" i="2"/>
  <c r="N1220" i="2" a="1"/>
  <c r="N1220" i="2"/>
  <c r="N1221" i="2" a="1"/>
  <c r="N1221" i="2"/>
  <c r="N1222" i="2" a="1"/>
  <c r="N1222" i="2"/>
  <c r="N1223" i="2" a="1"/>
  <c r="N1223" i="2"/>
  <c r="N1224" i="2" a="1"/>
  <c r="N1224" i="2"/>
  <c r="N1225" i="2" a="1"/>
  <c r="N1225" i="2"/>
  <c r="N1226" i="2" a="1"/>
  <c r="N1226" i="2"/>
  <c r="N1227" i="2" a="1"/>
  <c r="N1227" i="2"/>
  <c r="N1228" i="2" a="1"/>
  <c r="N1228" i="2"/>
  <c r="N1229" i="2" a="1"/>
  <c r="N1229" i="2"/>
  <c r="N1230" i="2" a="1"/>
  <c r="N1230" i="2"/>
  <c r="N1231" i="2" a="1"/>
  <c r="N1231" i="2"/>
  <c r="N1232" i="2" a="1"/>
  <c r="N1232" i="2"/>
  <c r="N1233" i="2" a="1"/>
  <c r="N1233" i="2"/>
  <c r="N1234" i="2" a="1"/>
  <c r="N1234" i="2"/>
  <c r="N1235" i="2" a="1"/>
  <c r="N1235" i="2"/>
  <c r="N1236" i="2" a="1"/>
  <c r="N1236" i="2"/>
  <c r="N1237" i="2" a="1"/>
  <c r="N1237" i="2"/>
  <c r="N1238" i="2" a="1"/>
  <c r="N1238" i="2"/>
  <c r="N1239" i="2" a="1"/>
  <c r="N1239" i="2"/>
  <c r="N1240" i="2" a="1"/>
  <c r="N1240" i="2"/>
  <c r="N1241" i="2" a="1"/>
  <c r="N1241" i="2"/>
  <c r="N1242" i="2" a="1"/>
  <c r="N1242" i="2"/>
  <c r="N1243" i="2" a="1"/>
  <c r="N1243" i="2"/>
  <c r="N1244" i="2" a="1"/>
  <c r="N1244" i="2"/>
  <c r="N1245" i="2" a="1"/>
  <c r="N1245" i="2"/>
  <c r="N1246" i="2" a="1"/>
  <c r="N1246" i="2"/>
  <c r="N1247" i="2" a="1"/>
  <c r="N1247" i="2"/>
  <c r="N1248" i="2" a="1"/>
  <c r="N1248" i="2"/>
  <c r="N1249" i="2" a="1"/>
  <c r="N1249" i="2"/>
  <c r="N1250" i="2" a="1"/>
  <c r="N1250" i="2"/>
  <c r="N1251" i="2" a="1"/>
  <c r="N1251" i="2"/>
  <c r="N1252" i="2" a="1"/>
  <c r="N1252" i="2"/>
  <c r="N1253" i="2" a="1"/>
  <c r="N1253" i="2"/>
  <c r="N1254" i="2" a="1"/>
  <c r="N1254" i="2"/>
  <c r="N1255" i="2" a="1"/>
  <c r="N1255" i="2"/>
  <c r="N1256" i="2" a="1"/>
  <c r="N1256" i="2"/>
  <c r="N1257" i="2" a="1"/>
  <c r="N1257" i="2"/>
  <c r="N1258" i="2" a="1"/>
  <c r="N1258" i="2"/>
  <c r="N1259" i="2" a="1"/>
  <c r="N1259" i="2"/>
  <c r="N1260" i="2" a="1"/>
  <c r="N1260" i="2"/>
  <c r="N1261" i="2" a="1"/>
  <c r="N1261" i="2"/>
  <c r="N1262" i="2" a="1"/>
  <c r="N1262" i="2"/>
  <c r="N1263" i="2" a="1"/>
  <c r="N1263" i="2"/>
  <c r="N1264" i="2" a="1"/>
  <c r="N1264" i="2"/>
  <c r="N1265" i="2" a="1"/>
  <c r="N1265" i="2"/>
  <c r="N1266" i="2" a="1"/>
  <c r="N1266" i="2"/>
  <c r="N1267" i="2" a="1"/>
  <c r="N1267" i="2"/>
  <c r="N1268" i="2" a="1"/>
  <c r="N1268" i="2"/>
  <c r="N1269" i="2" a="1"/>
  <c r="N1269" i="2"/>
  <c r="N1270" i="2" a="1"/>
  <c r="N1270" i="2"/>
  <c r="N1271" i="2" a="1"/>
  <c r="N1271" i="2"/>
  <c r="N1272" i="2" a="1"/>
  <c r="N1272" i="2"/>
  <c r="N1273" i="2" a="1"/>
  <c r="N1273" i="2"/>
  <c r="N1274" i="2" a="1"/>
  <c r="N1274" i="2"/>
  <c r="N1275" i="2" a="1"/>
  <c r="N1275" i="2"/>
  <c r="N1276" i="2" a="1"/>
  <c r="N1276" i="2"/>
  <c r="N1277" i="2" a="1"/>
  <c r="N1277" i="2"/>
  <c r="N1278" i="2" a="1"/>
  <c r="N1278" i="2"/>
  <c r="N1279" i="2" a="1"/>
  <c r="N1279" i="2"/>
  <c r="N1280" i="2" a="1"/>
  <c r="N1280" i="2"/>
  <c r="N1281" i="2" a="1"/>
  <c r="N1281" i="2"/>
  <c r="N1282" i="2" a="1"/>
  <c r="N1282" i="2"/>
  <c r="N1283" i="2" a="1"/>
  <c r="N1283" i="2"/>
  <c r="N1284" i="2" a="1"/>
  <c r="N1284" i="2"/>
  <c r="N1285" i="2" a="1"/>
  <c r="N1285" i="2"/>
  <c r="N1286" i="2" a="1"/>
  <c r="N1286" i="2"/>
  <c r="N1287" i="2" a="1"/>
  <c r="N1287" i="2"/>
  <c r="N1288" i="2" a="1"/>
  <c r="N1288" i="2"/>
  <c r="N1289" i="2" a="1"/>
  <c r="N1289" i="2"/>
  <c r="N1290" i="2" a="1"/>
  <c r="N1290" i="2"/>
  <c r="N1291" i="2" a="1"/>
  <c r="N1291" i="2"/>
  <c r="N1292" i="2" a="1"/>
  <c r="N1292" i="2"/>
  <c r="N1293" i="2" a="1"/>
  <c r="N1293" i="2"/>
  <c r="N1294" i="2" a="1"/>
  <c r="N1294" i="2"/>
  <c r="N1295" i="2" a="1"/>
  <c r="N1295" i="2"/>
  <c r="N1296" i="2" a="1"/>
  <c r="N1296" i="2"/>
  <c r="N1297" i="2" a="1"/>
  <c r="N1297" i="2"/>
  <c r="N1298" i="2" a="1"/>
  <c r="N1298" i="2"/>
  <c r="N1299" i="2" a="1"/>
  <c r="N1299" i="2"/>
  <c r="N1300" i="2" a="1"/>
  <c r="N1300" i="2"/>
  <c r="N1301" i="2" a="1"/>
  <c r="N1301" i="2"/>
  <c r="N1302" i="2" a="1"/>
  <c r="N1302" i="2"/>
  <c r="N1303" i="2" a="1"/>
  <c r="N1303" i="2"/>
  <c r="N1304" i="2" a="1"/>
  <c r="N1304" i="2"/>
  <c r="N1305" i="2" a="1"/>
  <c r="N1305" i="2"/>
  <c r="N1306" i="2" a="1"/>
  <c r="N1306" i="2"/>
  <c r="N1307" i="2" a="1"/>
  <c r="N1307" i="2"/>
  <c r="N1308" i="2" a="1"/>
  <c r="N1308" i="2"/>
  <c r="N1309" i="2" a="1"/>
  <c r="N1309" i="2"/>
  <c r="N1310" i="2" a="1"/>
  <c r="N1310" i="2"/>
  <c r="N1311" i="2" a="1"/>
  <c r="N1311" i="2"/>
  <c r="N1312" i="2" a="1"/>
  <c r="N1312" i="2"/>
  <c r="N1313" i="2" a="1"/>
  <c r="N1313" i="2"/>
  <c r="N1314" i="2" a="1"/>
  <c r="N1314" i="2"/>
  <c r="N1315" i="2" a="1"/>
  <c r="N1315" i="2"/>
  <c r="N1316" i="2" a="1"/>
  <c r="N1316" i="2"/>
  <c r="N1317" i="2" a="1"/>
  <c r="N1317" i="2"/>
  <c r="N1318" i="2" a="1"/>
  <c r="N1318" i="2"/>
  <c r="N1319" i="2" a="1"/>
  <c r="N1319" i="2"/>
  <c r="N1320" i="2" a="1"/>
  <c r="N1320" i="2"/>
  <c r="N1321" i="2" a="1"/>
  <c r="N1321" i="2"/>
  <c r="N1322" i="2" a="1"/>
  <c r="N1322" i="2"/>
  <c r="N1323" i="2" a="1"/>
  <c r="N1323" i="2"/>
  <c r="N1324" i="2" a="1"/>
  <c r="N1324" i="2"/>
  <c r="N1325" i="2" a="1"/>
  <c r="N1325" i="2"/>
  <c r="N1326" i="2" a="1"/>
  <c r="N1326" i="2"/>
  <c r="N1327" i="2" a="1"/>
  <c r="N1327" i="2"/>
  <c r="N1328" i="2" a="1"/>
  <c r="N1328" i="2"/>
  <c r="N1329" i="2" a="1"/>
  <c r="N1329" i="2"/>
  <c r="N1330" i="2" a="1"/>
  <c r="N1330" i="2"/>
  <c r="N1331" i="2" a="1"/>
  <c r="N1331" i="2"/>
  <c r="N1332" i="2" a="1"/>
  <c r="N1332" i="2"/>
  <c r="N1333" i="2" a="1"/>
  <c r="N1333" i="2"/>
  <c r="N1334" i="2" a="1"/>
  <c r="N1334" i="2"/>
  <c r="N1335" i="2" a="1"/>
  <c r="N1335" i="2"/>
  <c r="N1336" i="2" a="1"/>
  <c r="N1336" i="2"/>
  <c r="N1337" i="2" a="1"/>
  <c r="N1337" i="2"/>
  <c r="N1338" i="2" a="1"/>
  <c r="N1338" i="2"/>
  <c r="N1339" i="2" a="1"/>
  <c r="N1339" i="2"/>
  <c r="N1340" i="2" a="1"/>
  <c r="N1340" i="2"/>
  <c r="N1341" i="2" a="1"/>
  <c r="N1341" i="2"/>
  <c r="N1342" i="2" a="1"/>
  <c r="N1342" i="2"/>
  <c r="N1343" i="2" a="1"/>
  <c r="N1343" i="2"/>
  <c r="N1344" i="2" a="1"/>
  <c r="N1344" i="2"/>
  <c r="N1345" i="2" a="1"/>
  <c r="N1345" i="2"/>
  <c r="N1346" i="2" a="1"/>
  <c r="N1346" i="2"/>
  <c r="N1347" i="2" a="1"/>
  <c r="N1347" i="2"/>
  <c r="N1348" i="2" a="1"/>
  <c r="N1348" i="2"/>
  <c r="N1349" i="2" a="1"/>
  <c r="N1349" i="2"/>
  <c r="N1350" i="2" a="1"/>
  <c r="N1350" i="2"/>
  <c r="N1351" i="2" a="1"/>
  <c r="N1351" i="2"/>
  <c r="N1352" i="2" a="1"/>
  <c r="N1352" i="2"/>
  <c r="N1353" i="2" a="1"/>
  <c r="N1353" i="2"/>
  <c r="N1354" i="2" a="1"/>
  <c r="N1354" i="2"/>
  <c r="N1355" i="2" a="1"/>
  <c r="N1355" i="2"/>
  <c r="N1356" i="2" a="1"/>
  <c r="N1356" i="2"/>
  <c r="N1357" i="2" a="1"/>
  <c r="N1357" i="2"/>
  <c r="N1358" i="2" a="1"/>
  <c r="N1358" i="2"/>
  <c r="N1359" i="2" a="1"/>
  <c r="N1359" i="2"/>
  <c r="N1360" i="2" a="1"/>
  <c r="N1360" i="2"/>
  <c r="N1361" i="2" a="1"/>
  <c r="N1361" i="2"/>
  <c r="N1362" i="2" a="1"/>
  <c r="N1362" i="2"/>
  <c r="N1363" i="2" a="1"/>
  <c r="N1363" i="2"/>
  <c r="N1364" i="2" a="1"/>
  <c r="N1364" i="2"/>
  <c r="N1365" i="2" a="1"/>
  <c r="N1365" i="2"/>
  <c r="N1366" i="2" a="1"/>
  <c r="N1366" i="2"/>
  <c r="N1367" i="2" a="1"/>
  <c r="N1367" i="2"/>
  <c r="N1368" i="2" a="1"/>
  <c r="N1368" i="2"/>
  <c r="N1369" i="2" a="1"/>
  <c r="N1369" i="2"/>
  <c r="N1370" i="2" a="1"/>
  <c r="N1370" i="2"/>
  <c r="N1371" i="2" a="1"/>
  <c r="N1371" i="2"/>
  <c r="N1372" i="2" a="1"/>
  <c r="N1372" i="2"/>
  <c r="N1373" i="2" a="1"/>
  <c r="N1373" i="2"/>
  <c r="N1374" i="2" a="1"/>
  <c r="N1374" i="2"/>
  <c r="N1375" i="2" a="1"/>
  <c r="N1375" i="2"/>
  <c r="N1376" i="2" a="1"/>
  <c r="N1376" i="2"/>
  <c r="N1377" i="2" a="1"/>
  <c r="N1377" i="2"/>
  <c r="N1378" i="2" a="1"/>
  <c r="N1378" i="2"/>
  <c r="N1379" i="2" a="1"/>
  <c r="N1379" i="2"/>
  <c r="N1380" i="2" a="1"/>
  <c r="N1380" i="2"/>
  <c r="N1381" i="2" a="1"/>
  <c r="N1381" i="2"/>
  <c r="N1382" i="2" a="1"/>
  <c r="N1382" i="2"/>
  <c r="N1383" i="2" a="1"/>
  <c r="N1383" i="2"/>
  <c r="N1384" i="2" a="1"/>
  <c r="N1384" i="2"/>
  <c r="N1385" i="2" a="1"/>
  <c r="N1385" i="2"/>
  <c r="N1386" i="2" a="1"/>
  <c r="N1386" i="2"/>
  <c r="N1387" i="2" a="1"/>
  <c r="N1387" i="2"/>
  <c r="N1388" i="2" a="1"/>
  <c r="N1388" i="2"/>
  <c r="N1389" i="2" a="1"/>
  <c r="N1389" i="2"/>
  <c r="N1390" i="2" a="1"/>
  <c r="N1390" i="2"/>
  <c r="N1391" i="2" a="1"/>
  <c r="N1391" i="2"/>
  <c r="N1392" i="2" a="1"/>
  <c r="N1392" i="2"/>
  <c r="N1393" i="2" a="1"/>
  <c r="N1393" i="2"/>
  <c r="N1394" i="2" a="1"/>
  <c r="N1394" i="2"/>
  <c r="N1395" i="2" a="1"/>
  <c r="N1395" i="2"/>
  <c r="N1396" i="2" a="1"/>
  <c r="N1396" i="2"/>
  <c r="N1397" i="2" a="1"/>
  <c r="N1397" i="2"/>
  <c r="N1398" i="2" a="1"/>
  <c r="N1398" i="2"/>
  <c r="N1399" i="2" a="1"/>
  <c r="N1399" i="2"/>
  <c r="N1400" i="2" a="1"/>
  <c r="N1400" i="2"/>
  <c r="N1401" i="2" a="1"/>
  <c r="N1401" i="2"/>
  <c r="N1402" i="2" a="1"/>
  <c r="N1402" i="2"/>
  <c r="N1403" i="2" a="1"/>
  <c r="N1403" i="2"/>
  <c r="N1404" i="2" a="1"/>
  <c r="N1404" i="2"/>
  <c r="N1405" i="2" a="1"/>
  <c r="N1405" i="2"/>
  <c r="N1406" i="2" a="1"/>
  <c r="N1406" i="2"/>
  <c r="N1407" i="2" a="1"/>
  <c r="N1407" i="2"/>
  <c r="N1408" i="2" a="1"/>
  <c r="N1408" i="2"/>
  <c r="N1409" i="2" a="1"/>
  <c r="N1409" i="2"/>
  <c r="N1410" i="2" a="1"/>
  <c r="N1410" i="2"/>
  <c r="N1411" i="2" a="1"/>
  <c r="N1411" i="2"/>
  <c r="N1412" i="2" a="1"/>
  <c r="N1412" i="2"/>
  <c r="N1413" i="2" a="1"/>
  <c r="N1413" i="2"/>
  <c r="N1414" i="2" a="1"/>
  <c r="N1414" i="2"/>
  <c r="N1415" i="2" a="1"/>
  <c r="N1415" i="2"/>
  <c r="N1416" i="2" a="1"/>
  <c r="N1416" i="2"/>
  <c r="N1417" i="2" a="1"/>
  <c r="N1417" i="2"/>
  <c r="N1418" i="2" a="1"/>
  <c r="N1418" i="2"/>
  <c r="N1419" i="2" a="1"/>
  <c r="N1419" i="2"/>
  <c r="N1420" i="2" a="1"/>
  <c r="N1420" i="2"/>
  <c r="N1421" i="2" a="1"/>
  <c r="N1421" i="2"/>
  <c r="N1422" i="2" a="1"/>
  <c r="N1422" i="2"/>
  <c r="N1423" i="2" a="1"/>
  <c r="N1423" i="2"/>
  <c r="N1424" i="2" a="1"/>
  <c r="N1424" i="2"/>
  <c r="N1425" i="2" a="1"/>
  <c r="N1425" i="2"/>
  <c r="N1426" i="2" a="1"/>
  <c r="N1426" i="2"/>
  <c r="N1427" i="2" a="1"/>
  <c r="N1427" i="2"/>
  <c r="N1428" i="2" a="1"/>
  <c r="N1428" i="2"/>
  <c r="N1429" i="2" a="1"/>
  <c r="N1429" i="2"/>
  <c r="N1430" i="2" a="1"/>
  <c r="N1430" i="2"/>
  <c r="N1431" i="2" a="1"/>
  <c r="N1431" i="2"/>
  <c r="N1432" i="2" a="1"/>
  <c r="N1432" i="2"/>
  <c r="N1433" i="2" a="1"/>
  <c r="N1433" i="2"/>
  <c r="N1434" i="2" a="1"/>
  <c r="N1434" i="2"/>
  <c r="N1435" i="2" a="1"/>
  <c r="N1435" i="2"/>
  <c r="N1436" i="2" a="1"/>
  <c r="N1436" i="2"/>
  <c r="N1437" i="2" a="1"/>
  <c r="N1437" i="2"/>
  <c r="N1438" i="2" a="1"/>
  <c r="N1438" i="2"/>
  <c r="N1439" i="2" a="1"/>
  <c r="N1439" i="2"/>
  <c r="N1440" i="2" a="1"/>
  <c r="N1440" i="2"/>
  <c r="N1441" i="2" a="1"/>
  <c r="N1441" i="2"/>
  <c r="N1442" i="2" a="1"/>
  <c r="N1442" i="2"/>
  <c r="N1443" i="2" a="1"/>
  <c r="N1443" i="2"/>
  <c r="N1444" i="2" a="1"/>
  <c r="N1444" i="2"/>
  <c r="N1445" i="2" a="1"/>
  <c r="N1445" i="2"/>
  <c r="N1446" i="2" a="1"/>
  <c r="N1446" i="2"/>
  <c r="N1447" i="2" a="1"/>
  <c r="N1447" i="2"/>
  <c r="N1448" i="2" a="1"/>
  <c r="N1448" i="2"/>
  <c r="N1449" i="2" a="1"/>
  <c r="N1449" i="2"/>
  <c r="N1450" i="2" a="1"/>
  <c r="N1450" i="2"/>
  <c r="N1451" i="2" a="1"/>
  <c r="N1451" i="2"/>
  <c r="N1452" i="2" a="1"/>
  <c r="N1452" i="2"/>
  <c r="N1453" i="2" a="1"/>
  <c r="N1453" i="2"/>
  <c r="N1454" i="2" a="1"/>
  <c r="N1454" i="2"/>
  <c r="N1455" i="2" a="1"/>
  <c r="N1455" i="2"/>
  <c r="N1456" i="2" a="1"/>
  <c r="N1456" i="2"/>
  <c r="N1457" i="2" a="1"/>
  <c r="N1457" i="2"/>
  <c r="N1458" i="2" a="1"/>
  <c r="N1458" i="2"/>
  <c r="N1459" i="2" a="1"/>
  <c r="N1459" i="2"/>
  <c r="N1460" i="2" a="1"/>
  <c r="N1460" i="2"/>
  <c r="N1461" i="2" a="1"/>
  <c r="N1461" i="2"/>
  <c r="N1462" i="2" a="1"/>
  <c r="N1462" i="2"/>
  <c r="N1463" i="2" a="1"/>
  <c r="N1463" i="2"/>
  <c r="N1464" i="2" a="1"/>
  <c r="N1464" i="2"/>
  <c r="N1465" i="2" a="1"/>
  <c r="N1465" i="2"/>
  <c r="N1466" i="2" a="1"/>
  <c r="N1466" i="2"/>
  <c r="N1467" i="2" a="1"/>
  <c r="N1467" i="2"/>
  <c r="N1468" i="2" a="1"/>
  <c r="N1468" i="2"/>
  <c r="N1469" i="2" a="1"/>
  <c r="N1469" i="2"/>
  <c r="N1470" i="2" a="1"/>
  <c r="N1470" i="2"/>
  <c r="N1471" i="2" a="1"/>
  <c r="N1471" i="2"/>
  <c r="N1472" i="2" a="1"/>
  <c r="N1472" i="2"/>
  <c r="N1473" i="2" a="1"/>
  <c r="N1473" i="2"/>
  <c r="N1474" i="2" a="1"/>
  <c r="N1474" i="2"/>
  <c r="N1475" i="2" a="1"/>
  <c r="N1475" i="2"/>
  <c r="N1476" i="2" a="1"/>
  <c r="N1476" i="2"/>
  <c r="N1477" i="2" a="1"/>
  <c r="N1477" i="2"/>
  <c r="N1478" i="2" a="1"/>
  <c r="N1478" i="2"/>
  <c r="N1479" i="2" a="1"/>
  <c r="N1479" i="2"/>
  <c r="N1480" i="2" a="1"/>
  <c r="N1480" i="2"/>
  <c r="N1481" i="2" a="1"/>
  <c r="N1481" i="2"/>
  <c r="N1482" i="2" a="1"/>
  <c r="N1482" i="2"/>
  <c r="N1483" i="2" a="1"/>
  <c r="N1483" i="2"/>
  <c r="N1484" i="2" a="1"/>
  <c r="N1484" i="2"/>
  <c r="N1485" i="2" a="1"/>
  <c r="N1485" i="2"/>
  <c r="N1486" i="2" a="1"/>
  <c r="N1486" i="2"/>
  <c r="N1487" i="2" a="1"/>
  <c r="N1487" i="2"/>
  <c r="N1488" i="2" a="1"/>
  <c r="N1488" i="2"/>
  <c r="N1489" i="2" a="1"/>
  <c r="N1489" i="2"/>
  <c r="N1490" i="2" a="1"/>
  <c r="N1490" i="2"/>
  <c r="N1491" i="2" a="1"/>
  <c r="N1491" i="2"/>
  <c r="N1492" i="2" a="1"/>
  <c r="N1492" i="2"/>
  <c r="N1493" i="2" a="1"/>
  <c r="N1493" i="2"/>
  <c r="N1494" i="2" a="1"/>
  <c r="N1494" i="2"/>
  <c r="N1495" i="2" a="1"/>
  <c r="N1495" i="2"/>
  <c r="N1496" i="2" a="1"/>
  <c r="N1496" i="2"/>
  <c r="N1497" i="2" a="1"/>
  <c r="N1497" i="2"/>
  <c r="N1498" i="2" a="1"/>
  <c r="N1498" i="2"/>
  <c r="N1499" i="2" a="1"/>
  <c r="N1499" i="2"/>
  <c r="N1500" i="2" a="1"/>
  <c r="N1500" i="2"/>
  <c r="N1501" i="2" a="1"/>
  <c r="N1501" i="2"/>
  <c r="N1502" i="2" a="1"/>
  <c r="N1502" i="2"/>
  <c r="N1503" i="2" a="1"/>
  <c r="N1503" i="2"/>
  <c r="N1504" i="2" a="1"/>
  <c r="N1504" i="2"/>
  <c r="N1505" i="2" a="1"/>
  <c r="N1505" i="2"/>
  <c r="N1506" i="2" a="1"/>
  <c r="N1506" i="2"/>
  <c r="N1507" i="2" a="1"/>
  <c r="N1507" i="2"/>
  <c r="N1508" i="2" a="1"/>
  <c r="N1508" i="2"/>
  <c r="N1509" i="2" a="1"/>
  <c r="N1509" i="2"/>
  <c r="N1510" i="2" a="1"/>
  <c r="N1510" i="2"/>
  <c r="N1511" i="2" a="1"/>
  <c r="N1511" i="2"/>
  <c r="N1512" i="2" a="1"/>
  <c r="N1512" i="2"/>
  <c r="N1513" i="2" a="1"/>
  <c r="N1513" i="2"/>
  <c r="N1514" i="2" a="1"/>
  <c r="N1514" i="2"/>
  <c r="N1515" i="2" a="1"/>
  <c r="N1515" i="2"/>
  <c r="N1516" i="2" a="1"/>
  <c r="N1516" i="2"/>
  <c r="N1517" i="2" a="1"/>
  <c r="N1517" i="2"/>
  <c r="N1518" i="2" a="1"/>
  <c r="N1518" i="2"/>
  <c r="N1519" i="2" a="1"/>
  <c r="N1519" i="2"/>
  <c r="N1520" i="2" a="1"/>
  <c r="N1520" i="2"/>
  <c r="N1521" i="2" a="1"/>
  <c r="N1521" i="2"/>
  <c r="N1522" i="2" a="1"/>
  <c r="N1522" i="2"/>
  <c r="N1523" i="2" a="1"/>
  <c r="N1523" i="2"/>
  <c r="N1524" i="2" a="1"/>
  <c r="N1524" i="2"/>
  <c r="N1525" i="2" a="1"/>
  <c r="N1525" i="2"/>
  <c r="N1526" i="2" a="1"/>
  <c r="N1526" i="2"/>
  <c r="N1527" i="2" a="1"/>
  <c r="N1527" i="2"/>
  <c r="N1528" i="2" a="1"/>
  <c r="N1528" i="2"/>
  <c r="N1529" i="2" a="1"/>
  <c r="N1529" i="2"/>
  <c r="N1530" i="2" a="1"/>
  <c r="N1530" i="2"/>
  <c r="N1531" i="2" a="1"/>
  <c r="N1531" i="2"/>
  <c r="N1532" i="2" a="1"/>
  <c r="N1532" i="2"/>
  <c r="N1533" i="2" a="1"/>
  <c r="N1533" i="2"/>
  <c r="N1534" i="2" a="1"/>
  <c r="N1534" i="2"/>
  <c r="N1535" i="2" a="1"/>
  <c r="N1535" i="2"/>
  <c r="N1536" i="2" a="1"/>
  <c r="N1536" i="2"/>
  <c r="N1537" i="2" a="1"/>
  <c r="N1537" i="2"/>
  <c r="N1538" i="2" a="1"/>
  <c r="N1538" i="2"/>
  <c r="N1539" i="2" a="1"/>
  <c r="N1539" i="2"/>
  <c r="N1540" i="2" a="1"/>
  <c r="N1540" i="2"/>
  <c r="N1541" i="2" a="1"/>
  <c r="N1541" i="2"/>
  <c r="N1542" i="2" a="1"/>
  <c r="N1542" i="2"/>
  <c r="N1543" i="2" a="1"/>
  <c r="N1543" i="2"/>
  <c r="N1544" i="2" a="1"/>
  <c r="N1544" i="2"/>
  <c r="N1545" i="2" a="1"/>
  <c r="N1545" i="2"/>
  <c r="N1546" i="2" a="1"/>
  <c r="N1546" i="2"/>
  <c r="N1547" i="2" a="1"/>
  <c r="N1547" i="2"/>
  <c r="N1548" i="2" a="1"/>
  <c r="N1548" i="2"/>
  <c r="N1549" i="2" a="1"/>
  <c r="N1549" i="2"/>
  <c r="N1550" i="2" a="1"/>
  <c r="N1550" i="2"/>
  <c r="N1551" i="2" a="1"/>
  <c r="N1551" i="2"/>
  <c r="N1552" i="2" a="1"/>
  <c r="N1552" i="2"/>
  <c r="N1553" i="2" a="1"/>
  <c r="N1553" i="2"/>
  <c r="N1554" i="2" a="1"/>
  <c r="N1554" i="2"/>
  <c r="N1555" i="2" a="1"/>
  <c r="N1555" i="2"/>
  <c r="N1556" i="2" a="1"/>
  <c r="N1556" i="2"/>
  <c r="N1557" i="2" a="1"/>
  <c r="N1557" i="2"/>
  <c r="N1558" i="2" a="1"/>
  <c r="N1558" i="2"/>
  <c r="N1559" i="2" a="1"/>
  <c r="N1559" i="2"/>
  <c r="N1560" i="2" a="1"/>
  <c r="N1560" i="2"/>
  <c r="N1561" i="2" a="1"/>
  <c r="N1561" i="2"/>
  <c r="N1562" i="2" a="1"/>
  <c r="N1562" i="2"/>
  <c r="N1563" i="2" a="1"/>
  <c r="N1563" i="2"/>
  <c r="N1564" i="2" a="1"/>
  <c r="N1564" i="2"/>
  <c r="N1565" i="2" a="1"/>
  <c r="N1565" i="2"/>
  <c r="N1566" i="2" a="1"/>
  <c r="N1566" i="2"/>
  <c r="N1567" i="2" a="1"/>
  <c r="N1567" i="2"/>
  <c r="N1568" i="2" a="1"/>
  <c r="N1568" i="2"/>
  <c r="N1569" i="2" a="1"/>
  <c r="N1569" i="2"/>
  <c r="N1570" i="2" a="1"/>
  <c r="N1570" i="2"/>
  <c r="N1571" i="2" a="1"/>
  <c r="N1571" i="2"/>
  <c r="N1572" i="2" a="1"/>
  <c r="N1572" i="2"/>
  <c r="N1573" i="2" a="1"/>
  <c r="N1573" i="2"/>
  <c r="N1574" i="2" a="1"/>
  <c r="N1574" i="2"/>
  <c r="N1575" i="2" a="1"/>
  <c r="N1575" i="2"/>
  <c r="N1576" i="2" a="1"/>
  <c r="N1576" i="2"/>
  <c r="N1577" i="2" a="1"/>
  <c r="N1577" i="2"/>
  <c r="N1578" i="2" a="1"/>
  <c r="N1578" i="2"/>
  <c r="N1579" i="2" a="1"/>
  <c r="N1579" i="2"/>
  <c r="N1580" i="2" a="1"/>
  <c r="N1580" i="2"/>
  <c r="N1581" i="2" a="1"/>
  <c r="N1581" i="2"/>
  <c r="N1582" i="2" a="1"/>
  <c r="N1582" i="2"/>
  <c r="N1583" i="2" a="1"/>
  <c r="N1583" i="2"/>
  <c r="N1584" i="2" a="1"/>
  <c r="N1584" i="2"/>
  <c r="N1585" i="2" a="1"/>
  <c r="N1585" i="2"/>
  <c r="N1586" i="2" a="1"/>
  <c r="N1586" i="2"/>
  <c r="N1587" i="2" a="1"/>
  <c r="N1587" i="2"/>
  <c r="N1588" i="2" a="1"/>
  <c r="N1588" i="2"/>
  <c r="N1589" i="2" a="1"/>
  <c r="N1589" i="2"/>
  <c r="N1590" i="2" a="1"/>
  <c r="N1590" i="2"/>
  <c r="N1591" i="2" a="1"/>
  <c r="N1591" i="2"/>
  <c r="N1592" i="2" a="1"/>
  <c r="N1592" i="2"/>
  <c r="N1593" i="2" a="1"/>
  <c r="N1593" i="2"/>
  <c r="N1594" i="2" a="1"/>
  <c r="N1594" i="2"/>
  <c r="N1595" i="2" a="1"/>
  <c r="N1595" i="2"/>
  <c r="N1596" i="2" a="1"/>
  <c r="N1596" i="2"/>
  <c r="N1597" i="2" a="1"/>
  <c r="N1597" i="2"/>
  <c r="N1598" i="2" a="1"/>
  <c r="N1598" i="2"/>
  <c r="N1599" i="2" a="1"/>
  <c r="N1599" i="2"/>
  <c r="N1600" i="2" a="1"/>
  <c r="N1600" i="2"/>
  <c r="N1601" i="2" a="1"/>
  <c r="N1601" i="2"/>
  <c r="N1602" i="2" a="1"/>
  <c r="N1602" i="2"/>
  <c r="N1603" i="2" a="1"/>
  <c r="N1603" i="2"/>
  <c r="N1604" i="2" a="1"/>
  <c r="N1604" i="2"/>
  <c r="N1605" i="2" a="1"/>
  <c r="N1605" i="2"/>
  <c r="N1606" i="2" a="1"/>
  <c r="N1606" i="2"/>
  <c r="N1607" i="2" a="1"/>
  <c r="N1607" i="2"/>
  <c r="N1608" i="2" a="1"/>
  <c r="N1608" i="2"/>
  <c r="N1609" i="2" a="1"/>
  <c r="N1609" i="2"/>
  <c r="N1610" i="2" a="1"/>
  <c r="N1610" i="2"/>
  <c r="N1611" i="2" a="1"/>
  <c r="N1611" i="2"/>
  <c r="N1612" i="2" a="1"/>
  <c r="N1612" i="2"/>
  <c r="N1613" i="2" a="1"/>
  <c r="N1613" i="2"/>
  <c r="N1614" i="2" a="1"/>
  <c r="N1614" i="2"/>
  <c r="N1615" i="2" a="1"/>
  <c r="N1615" i="2"/>
  <c r="N1616" i="2" a="1"/>
  <c r="N1616" i="2"/>
  <c r="N1617" i="2" a="1"/>
  <c r="N1617" i="2"/>
  <c r="N1618" i="2" a="1"/>
  <c r="N1618" i="2"/>
  <c r="N1619" i="2" a="1"/>
  <c r="N1619" i="2"/>
  <c r="N1620" i="2" a="1"/>
  <c r="N1620" i="2"/>
  <c r="N1621" i="2" a="1"/>
  <c r="N1621" i="2"/>
  <c r="N1622" i="2" a="1"/>
  <c r="N1622" i="2"/>
  <c r="N1623" i="2" a="1"/>
  <c r="N1623" i="2"/>
  <c r="N1624" i="2" a="1"/>
  <c r="N1624" i="2"/>
  <c r="N1625" i="2" a="1"/>
  <c r="N1625" i="2"/>
  <c r="N1626" i="2" a="1"/>
  <c r="N1626" i="2"/>
  <c r="N1627" i="2" a="1"/>
  <c r="N1627" i="2"/>
  <c r="N1628" i="2" a="1"/>
  <c r="N1628" i="2"/>
  <c r="N1629" i="2" a="1"/>
  <c r="N1629" i="2"/>
  <c r="N1630" i="2" a="1"/>
  <c r="N1630" i="2"/>
  <c r="N1631" i="2" a="1"/>
  <c r="N1631" i="2"/>
  <c r="N1632" i="2" a="1"/>
  <c r="N1632" i="2"/>
  <c r="N1633" i="2" a="1"/>
  <c r="N1633" i="2"/>
  <c r="N1634" i="2" a="1"/>
  <c r="N1634" i="2"/>
  <c r="N1635" i="2" a="1"/>
  <c r="N1635" i="2"/>
  <c r="N1636" i="2" a="1"/>
  <c r="N1636" i="2"/>
  <c r="N1637" i="2" a="1"/>
  <c r="N1637" i="2"/>
  <c r="N1638" i="2" a="1"/>
  <c r="N1638" i="2"/>
  <c r="N1639" i="2" a="1"/>
  <c r="N1639" i="2"/>
  <c r="N1640" i="2" a="1"/>
  <c r="N1640" i="2"/>
  <c r="N1641" i="2" a="1"/>
  <c r="N1641" i="2"/>
  <c r="N1642" i="2" a="1"/>
  <c r="N1642" i="2"/>
  <c r="N1643" i="2" a="1"/>
  <c r="N1643" i="2"/>
  <c r="N1644" i="2" a="1"/>
  <c r="N1644" i="2"/>
  <c r="N1645" i="2" a="1"/>
  <c r="N1645" i="2"/>
  <c r="N1646" i="2" a="1"/>
  <c r="N1646" i="2"/>
  <c r="N1647" i="2" a="1"/>
  <c r="N1647" i="2"/>
  <c r="N1648" i="2" a="1"/>
  <c r="N1648" i="2"/>
  <c r="N1649" i="2" a="1"/>
  <c r="N1649" i="2"/>
  <c r="N1650" i="2" a="1"/>
  <c r="N1650" i="2"/>
  <c r="N1651" i="2" a="1"/>
  <c r="N1651" i="2"/>
  <c r="N1652" i="2" a="1"/>
  <c r="N1652" i="2"/>
  <c r="N1653" i="2" a="1"/>
  <c r="N1653" i="2"/>
  <c r="N1654" i="2" a="1"/>
  <c r="N1654" i="2"/>
  <c r="N1655" i="2" a="1"/>
  <c r="N1655" i="2"/>
  <c r="N1656" i="2" a="1"/>
  <c r="N1656" i="2"/>
  <c r="N1657" i="2" a="1"/>
  <c r="N1657" i="2"/>
  <c r="N1658" i="2" a="1"/>
  <c r="N1658" i="2"/>
  <c r="N1659" i="2" a="1"/>
  <c r="N1659" i="2"/>
  <c r="N1660" i="2" a="1"/>
  <c r="N1660" i="2"/>
  <c r="N1661" i="2" a="1"/>
  <c r="N1661" i="2"/>
  <c r="N1662" i="2" a="1"/>
  <c r="N1662" i="2"/>
  <c r="N1663" i="2" a="1"/>
  <c r="N1663" i="2"/>
  <c r="N1664" i="2" a="1"/>
  <c r="N1664" i="2"/>
  <c r="N1665" i="2" a="1"/>
  <c r="N1665" i="2"/>
  <c r="N1666" i="2" a="1"/>
  <c r="N1666" i="2"/>
  <c r="N1667" i="2" a="1"/>
  <c r="N1667" i="2"/>
  <c r="N1668" i="2" a="1"/>
  <c r="N1668" i="2"/>
  <c r="N1669" i="2" a="1"/>
  <c r="N1669" i="2"/>
  <c r="N1670" i="2" a="1"/>
  <c r="N1670" i="2"/>
  <c r="N1671" i="2" a="1"/>
  <c r="N1671" i="2"/>
  <c r="N1672" i="2" a="1"/>
  <c r="N1672" i="2"/>
  <c r="N1673" i="2" a="1"/>
  <c r="N1673" i="2"/>
  <c r="N1674" i="2" a="1"/>
  <c r="N1674" i="2"/>
  <c r="N1675" i="2" a="1"/>
  <c r="N1675" i="2"/>
  <c r="N1676" i="2" a="1"/>
  <c r="N1676" i="2"/>
  <c r="N1677" i="2" a="1"/>
  <c r="N1677" i="2"/>
  <c r="N1678" i="2" a="1"/>
  <c r="N1678" i="2"/>
  <c r="N1679" i="2" a="1"/>
  <c r="N1679" i="2"/>
  <c r="N1680" i="2" a="1"/>
  <c r="N1680" i="2"/>
  <c r="N1681" i="2" a="1"/>
  <c r="N1681" i="2"/>
  <c r="N1682" i="2" a="1"/>
  <c r="N1682" i="2"/>
  <c r="N1683" i="2" a="1"/>
  <c r="N1683" i="2"/>
  <c r="N1684" i="2" a="1"/>
  <c r="N1684" i="2"/>
  <c r="N1685" i="2" a="1"/>
  <c r="N1685" i="2"/>
  <c r="N1686" i="2" a="1"/>
  <c r="N1686" i="2"/>
  <c r="N1687" i="2" a="1"/>
  <c r="N1687" i="2"/>
  <c r="N1688" i="2" a="1"/>
  <c r="N1688" i="2"/>
  <c r="N1689" i="2" a="1"/>
  <c r="N1689" i="2"/>
  <c r="N1690" i="2" a="1"/>
  <c r="N1690" i="2"/>
  <c r="N1691" i="2" a="1"/>
  <c r="N1691" i="2"/>
  <c r="N1692" i="2" a="1"/>
  <c r="N1692" i="2"/>
  <c r="N1693" i="2" a="1"/>
  <c r="N1693" i="2"/>
  <c r="N1694" i="2" a="1"/>
  <c r="N1694" i="2"/>
  <c r="N1695" i="2" a="1"/>
  <c r="N1695" i="2"/>
  <c r="N1696" i="2" a="1"/>
  <c r="N1696" i="2"/>
  <c r="N1697" i="2" a="1"/>
  <c r="N1697" i="2"/>
  <c r="N1698" i="2" a="1"/>
  <c r="N1698" i="2"/>
  <c r="N1699" i="2" a="1"/>
  <c r="N1699" i="2"/>
  <c r="N1700" i="2" a="1"/>
  <c r="N1700" i="2"/>
  <c r="N1701" i="2" a="1"/>
  <c r="N1701" i="2"/>
  <c r="N1702" i="2" a="1"/>
  <c r="N1702" i="2"/>
  <c r="N1703" i="2" a="1"/>
  <c r="N1703" i="2"/>
  <c r="N1704" i="2" a="1"/>
  <c r="N1704" i="2"/>
  <c r="N1705" i="2" a="1"/>
  <c r="N1705" i="2"/>
  <c r="N1706" i="2" a="1"/>
  <c r="N1706" i="2"/>
  <c r="N1707" i="2" a="1"/>
  <c r="N1707" i="2"/>
  <c r="N1708" i="2" a="1"/>
  <c r="N1708" i="2"/>
  <c r="N1709" i="2" a="1"/>
  <c r="N1709" i="2"/>
  <c r="N1710" i="2" a="1"/>
  <c r="N1710" i="2"/>
  <c r="N1711" i="2" a="1"/>
  <c r="N1711" i="2"/>
  <c r="N1712" i="2" a="1"/>
  <c r="N1712" i="2"/>
  <c r="N1713" i="2" a="1"/>
  <c r="N1713" i="2"/>
  <c r="N1714" i="2" a="1"/>
  <c r="N1714" i="2"/>
  <c r="N1715" i="2" a="1"/>
  <c r="N1715" i="2"/>
  <c r="N1716" i="2" a="1"/>
  <c r="N1716" i="2"/>
  <c r="N1717" i="2" a="1"/>
  <c r="N1717" i="2"/>
  <c r="N1718" i="2" a="1"/>
  <c r="N1718" i="2"/>
  <c r="N1719" i="2" a="1"/>
  <c r="N1719" i="2"/>
  <c r="N1720" i="2" a="1"/>
  <c r="N1720" i="2"/>
  <c r="N1721" i="2" a="1"/>
  <c r="N1721" i="2"/>
  <c r="N1722" i="2" a="1"/>
  <c r="N1722" i="2"/>
  <c r="N1723" i="2" a="1"/>
  <c r="N1723" i="2"/>
  <c r="N1724" i="2" a="1"/>
  <c r="N1724" i="2"/>
  <c r="N1725" i="2" a="1"/>
  <c r="N1725" i="2"/>
  <c r="N1726" i="2" a="1"/>
  <c r="N1726" i="2"/>
  <c r="N1727" i="2" a="1"/>
  <c r="N1727" i="2"/>
  <c r="N1728" i="2" a="1"/>
  <c r="N1728" i="2"/>
  <c r="N1729" i="2" a="1"/>
  <c r="N1729" i="2"/>
  <c r="N1730" i="2" a="1"/>
  <c r="N1730" i="2"/>
  <c r="N1731" i="2" a="1"/>
  <c r="N1731" i="2"/>
  <c r="N1732" i="2" a="1"/>
  <c r="N1732" i="2"/>
  <c r="N1733" i="2" a="1"/>
  <c r="N1733" i="2"/>
  <c r="N1734" i="2" a="1"/>
  <c r="N1734" i="2"/>
  <c r="N1735" i="2" a="1"/>
  <c r="N1735" i="2"/>
  <c r="N1736" i="2" a="1"/>
  <c r="N1736" i="2"/>
  <c r="N1737" i="2" a="1"/>
  <c r="N1737" i="2"/>
  <c r="N1738" i="2" a="1"/>
  <c r="N1738" i="2"/>
  <c r="N1739" i="2" a="1"/>
  <c r="N1739" i="2"/>
  <c r="N1740" i="2" a="1"/>
  <c r="N1740" i="2"/>
  <c r="N1741" i="2" a="1"/>
  <c r="N1741" i="2"/>
  <c r="N1742" i="2" a="1"/>
  <c r="N1742" i="2"/>
  <c r="N1743" i="2" a="1"/>
  <c r="N1743" i="2"/>
  <c r="N1744" i="2" a="1"/>
  <c r="N1744" i="2"/>
  <c r="N1745" i="2" a="1"/>
  <c r="N1745" i="2"/>
  <c r="N1746" i="2" a="1"/>
  <c r="N1746" i="2"/>
  <c r="N1747" i="2" a="1"/>
  <c r="N1747" i="2"/>
  <c r="N1748" i="2" a="1"/>
  <c r="N1748" i="2"/>
  <c r="N1749" i="2" a="1"/>
  <c r="N1749" i="2"/>
  <c r="N1750" i="2" a="1"/>
  <c r="N1750" i="2"/>
  <c r="N1751" i="2" a="1"/>
  <c r="N1751" i="2"/>
  <c r="N1752" i="2" a="1"/>
  <c r="N1752" i="2"/>
  <c r="N1753" i="2" a="1"/>
  <c r="N1753" i="2"/>
  <c r="N1754" i="2" a="1"/>
  <c r="N1754" i="2"/>
  <c r="N1755" i="2" a="1"/>
  <c r="N1755" i="2"/>
  <c r="N1756" i="2" a="1"/>
  <c r="N1756" i="2"/>
  <c r="N1757" i="2" a="1"/>
  <c r="N1757" i="2"/>
  <c r="N1758" i="2" a="1"/>
  <c r="N1758" i="2"/>
  <c r="N1759" i="2" a="1"/>
  <c r="N1759" i="2"/>
  <c r="N1760" i="2" a="1"/>
  <c r="N1760" i="2"/>
  <c r="N1761" i="2" a="1"/>
  <c r="N1761" i="2"/>
  <c r="N1762" i="2" a="1"/>
  <c r="N1762" i="2"/>
  <c r="N1763" i="2" a="1"/>
  <c r="N1763" i="2"/>
  <c r="N1764" i="2" a="1"/>
  <c r="N1764" i="2"/>
  <c r="N1765" i="2" a="1"/>
  <c r="N1765" i="2"/>
  <c r="N1766" i="2" a="1"/>
  <c r="N1766" i="2"/>
  <c r="N1767" i="2" a="1"/>
  <c r="N1767" i="2"/>
  <c r="N1768" i="2" a="1"/>
  <c r="N1768" i="2"/>
  <c r="N1769" i="2" a="1"/>
  <c r="N1769" i="2"/>
  <c r="N1770" i="2" a="1"/>
  <c r="N1770" i="2"/>
  <c r="N1771" i="2" a="1"/>
  <c r="N1771" i="2"/>
  <c r="N1772" i="2" a="1"/>
  <c r="N1772" i="2"/>
  <c r="N1773" i="2" a="1"/>
  <c r="N1773" i="2"/>
  <c r="N1774" i="2" a="1"/>
  <c r="N1774" i="2"/>
  <c r="N1775" i="2" a="1"/>
  <c r="N1775" i="2"/>
  <c r="N1776" i="2" a="1"/>
  <c r="N1776" i="2"/>
  <c r="N1777" i="2" a="1"/>
  <c r="N1777" i="2"/>
  <c r="N1778" i="2" a="1"/>
  <c r="N1778" i="2"/>
  <c r="N1779" i="2" a="1"/>
  <c r="N1779" i="2"/>
  <c r="N1780" i="2" a="1"/>
  <c r="N1780" i="2"/>
  <c r="N1781" i="2" a="1"/>
  <c r="N1781" i="2"/>
  <c r="N1782" i="2" a="1"/>
  <c r="N1782" i="2"/>
  <c r="N1783" i="2" a="1"/>
  <c r="N1783" i="2"/>
  <c r="N1784" i="2" a="1"/>
  <c r="N1784" i="2"/>
  <c r="N1785" i="2" a="1"/>
  <c r="N1785" i="2"/>
  <c r="N1786" i="2" a="1"/>
  <c r="N1786" i="2"/>
  <c r="N1787" i="2" a="1"/>
  <c r="N1787" i="2"/>
  <c r="N1788" i="2" a="1"/>
  <c r="N1788" i="2"/>
  <c r="N1789" i="2" a="1"/>
  <c r="N1789" i="2"/>
  <c r="N1790" i="2" a="1"/>
  <c r="N1790" i="2"/>
  <c r="N1791" i="2" a="1"/>
  <c r="N1791" i="2"/>
  <c r="N1792" i="2" a="1"/>
  <c r="N1792" i="2"/>
  <c r="N1793" i="2" a="1"/>
  <c r="N1793" i="2"/>
  <c r="N1794" i="2" a="1"/>
  <c r="N1794" i="2"/>
  <c r="N1795" i="2" a="1"/>
  <c r="N1795" i="2"/>
  <c r="N1796" i="2" a="1"/>
  <c r="N1796" i="2"/>
  <c r="N1797" i="2" a="1"/>
  <c r="N1797" i="2"/>
  <c r="N1798" i="2" a="1"/>
  <c r="N1798" i="2"/>
  <c r="N1799" i="2" a="1"/>
  <c r="N1799" i="2"/>
  <c r="N1800" i="2" a="1"/>
  <c r="N1800" i="2"/>
  <c r="N1801" i="2" a="1"/>
  <c r="N1801" i="2"/>
  <c r="N1802" i="2" a="1"/>
  <c r="N1802" i="2"/>
  <c r="N1803" i="2" a="1"/>
  <c r="N1803" i="2"/>
  <c r="N1804" i="2" a="1"/>
  <c r="N1804" i="2"/>
  <c r="N1805" i="2" a="1"/>
  <c r="N1805" i="2"/>
  <c r="N1806" i="2" a="1"/>
  <c r="N1806" i="2"/>
  <c r="N1807" i="2" a="1"/>
  <c r="N1807" i="2"/>
  <c r="N1808" i="2" a="1"/>
  <c r="N1808" i="2"/>
  <c r="N1809" i="2" a="1"/>
  <c r="N1809" i="2"/>
  <c r="N1810" i="2" a="1"/>
  <c r="N1810" i="2"/>
  <c r="N1811" i="2" a="1"/>
  <c r="N1811" i="2"/>
  <c r="N1812" i="2" a="1"/>
  <c r="N1812" i="2"/>
  <c r="N1813" i="2" a="1"/>
  <c r="N1813" i="2"/>
  <c r="N1814" i="2" a="1"/>
  <c r="N1814" i="2"/>
  <c r="N1815" i="2" a="1"/>
  <c r="N1815" i="2"/>
  <c r="N1816" i="2" a="1"/>
  <c r="N1816" i="2"/>
  <c r="N1817" i="2" a="1"/>
  <c r="N1817" i="2"/>
  <c r="N1818" i="2" a="1"/>
  <c r="N1818" i="2"/>
  <c r="N1819" i="2" a="1"/>
  <c r="N1819" i="2"/>
  <c r="N1820" i="2" a="1"/>
  <c r="N1820" i="2"/>
  <c r="N1821" i="2" a="1"/>
  <c r="N1821" i="2"/>
  <c r="N1822" i="2" a="1"/>
  <c r="N1822" i="2"/>
  <c r="N1823" i="2" a="1"/>
  <c r="N1823" i="2"/>
  <c r="N1824" i="2" a="1"/>
  <c r="N1824" i="2"/>
  <c r="N1825" i="2" a="1"/>
  <c r="N1825" i="2"/>
  <c r="N1826" i="2" a="1"/>
  <c r="N1826" i="2"/>
  <c r="N1827" i="2" a="1"/>
  <c r="N1827" i="2"/>
  <c r="N1828" i="2" a="1"/>
  <c r="N1828" i="2"/>
  <c r="N1829" i="2" a="1"/>
  <c r="N1829" i="2"/>
  <c r="N1830" i="2" a="1"/>
  <c r="N1830" i="2"/>
  <c r="N1831" i="2" a="1"/>
  <c r="N1831" i="2"/>
  <c r="N1832" i="2" a="1"/>
  <c r="N1832" i="2"/>
  <c r="N1833" i="2" a="1"/>
  <c r="N1833" i="2"/>
  <c r="N1834" i="2" a="1"/>
  <c r="N1834" i="2"/>
  <c r="N1835" i="2" a="1"/>
  <c r="N1835" i="2"/>
  <c r="N1836" i="2" a="1"/>
  <c r="N1836" i="2"/>
  <c r="N1837" i="2" a="1"/>
  <c r="N1837" i="2"/>
  <c r="N1838" i="2" a="1"/>
  <c r="N1838" i="2"/>
  <c r="N1839" i="2" a="1"/>
  <c r="N1839" i="2"/>
  <c r="N1840" i="2" a="1"/>
  <c r="N1840" i="2"/>
  <c r="N1841" i="2" a="1"/>
  <c r="N1841" i="2"/>
  <c r="N1842" i="2" a="1"/>
  <c r="N1842" i="2"/>
  <c r="N1843" i="2" a="1"/>
  <c r="N1843" i="2"/>
  <c r="N1844" i="2" a="1"/>
  <c r="N1844" i="2"/>
  <c r="N1845" i="2" a="1"/>
  <c r="N1845" i="2"/>
  <c r="N1846" i="2" a="1"/>
  <c r="N1846" i="2"/>
  <c r="N1847" i="2" a="1"/>
  <c r="N1847" i="2"/>
  <c r="N1848" i="2" a="1"/>
  <c r="N1848" i="2"/>
  <c r="N1849" i="2" a="1"/>
  <c r="N1849" i="2"/>
  <c r="N1850" i="2" a="1"/>
  <c r="N1850" i="2"/>
  <c r="N1851" i="2" a="1"/>
  <c r="N1851" i="2"/>
  <c r="N1852" i="2" a="1"/>
  <c r="N1852" i="2"/>
  <c r="N1853" i="2" a="1"/>
  <c r="N1853" i="2"/>
  <c r="N1854" i="2" a="1"/>
  <c r="N1854" i="2"/>
  <c r="N1855" i="2" a="1"/>
  <c r="N1855" i="2"/>
  <c r="N1856" i="2" a="1"/>
  <c r="N1856" i="2"/>
  <c r="N1857" i="2" a="1"/>
  <c r="N1857" i="2"/>
  <c r="N1858" i="2" a="1"/>
  <c r="N1858" i="2"/>
  <c r="N1859" i="2" a="1"/>
  <c r="N1859" i="2"/>
  <c r="N1860" i="2" a="1"/>
  <c r="N1860" i="2"/>
  <c r="N1861" i="2" a="1"/>
  <c r="N1861" i="2"/>
  <c r="N1862" i="2" a="1"/>
  <c r="N1862" i="2"/>
  <c r="N1863" i="2" a="1"/>
  <c r="N1863" i="2"/>
  <c r="N1864" i="2" a="1"/>
  <c r="N1864" i="2"/>
  <c r="N1865" i="2" a="1"/>
  <c r="N1865" i="2"/>
  <c r="N1866" i="2" a="1"/>
  <c r="N1866" i="2"/>
  <c r="N1867" i="2" a="1"/>
  <c r="N1867" i="2"/>
  <c r="N1868" i="2" a="1"/>
  <c r="N1868" i="2"/>
  <c r="N1869" i="2" a="1"/>
  <c r="N1869" i="2"/>
  <c r="N1870" i="2" a="1"/>
  <c r="N1870" i="2"/>
  <c r="N1871" i="2" a="1"/>
  <c r="N1871" i="2"/>
  <c r="N1872" i="2" a="1"/>
  <c r="N1872" i="2"/>
  <c r="N1873" i="2" a="1"/>
  <c r="N1873" i="2"/>
  <c r="N1874" i="2" a="1"/>
  <c r="N1874" i="2"/>
  <c r="N1875" i="2" a="1"/>
  <c r="N1875" i="2"/>
  <c r="N1876" i="2" a="1"/>
  <c r="N1876" i="2"/>
  <c r="N1877" i="2" a="1"/>
  <c r="N1877" i="2"/>
  <c r="N1878" i="2" a="1"/>
  <c r="N1878" i="2"/>
  <c r="N1879" i="2" a="1"/>
  <c r="N1879" i="2"/>
  <c r="N1880" i="2" a="1"/>
  <c r="N1880" i="2"/>
  <c r="N1881" i="2" a="1"/>
  <c r="N1881" i="2"/>
  <c r="N1882" i="2" a="1"/>
  <c r="N1882" i="2"/>
  <c r="N1883" i="2" a="1"/>
  <c r="N1883" i="2"/>
  <c r="N1884" i="2" a="1"/>
  <c r="N1884" i="2"/>
  <c r="N1885" i="2" a="1"/>
  <c r="N1885" i="2"/>
  <c r="N1886" i="2" a="1"/>
  <c r="N1886" i="2"/>
  <c r="N1887" i="2" a="1"/>
  <c r="N1887" i="2"/>
  <c r="N1888" i="2" a="1"/>
  <c r="N1888" i="2"/>
  <c r="N1889" i="2" a="1"/>
  <c r="N1889" i="2"/>
  <c r="N1890" i="2" a="1"/>
  <c r="N1890" i="2"/>
  <c r="N1891" i="2" a="1"/>
  <c r="N1891" i="2"/>
  <c r="N1892" i="2" a="1"/>
  <c r="N1892" i="2"/>
  <c r="N1893" i="2" a="1"/>
  <c r="N1893" i="2"/>
  <c r="N1894" i="2" a="1"/>
  <c r="N1894" i="2"/>
  <c r="N1895" i="2" a="1"/>
  <c r="N1895" i="2"/>
  <c r="N1896" i="2" a="1"/>
  <c r="N1896" i="2"/>
  <c r="N1897" i="2" a="1"/>
  <c r="N1897" i="2"/>
  <c r="N1898" i="2" a="1"/>
  <c r="N1898" i="2"/>
  <c r="N1899" i="2" a="1"/>
  <c r="N1899" i="2"/>
  <c r="N1900" i="2" a="1"/>
  <c r="N1900" i="2"/>
  <c r="N1901" i="2" a="1"/>
  <c r="N1901" i="2"/>
  <c r="N1902" i="2" a="1"/>
  <c r="N1902" i="2"/>
  <c r="N1903" i="2" a="1"/>
  <c r="N1903" i="2"/>
  <c r="N1904" i="2" a="1"/>
  <c r="N1904" i="2"/>
  <c r="N1905" i="2" a="1"/>
  <c r="N1905" i="2"/>
  <c r="N1906" i="2" a="1"/>
  <c r="N1906" i="2"/>
  <c r="N1907" i="2" a="1"/>
  <c r="N1907" i="2"/>
  <c r="N1908" i="2" a="1"/>
  <c r="N1908" i="2"/>
  <c r="N1909" i="2" a="1"/>
  <c r="N1909" i="2"/>
  <c r="N1910" i="2" a="1"/>
  <c r="N1910" i="2"/>
  <c r="N1911" i="2" a="1"/>
  <c r="N1911" i="2"/>
  <c r="N1912" i="2" a="1"/>
  <c r="N1912" i="2"/>
  <c r="N1913" i="2" a="1"/>
  <c r="N1913" i="2"/>
  <c r="N1914" i="2" a="1"/>
  <c r="N1914" i="2"/>
  <c r="N1915" i="2" a="1"/>
  <c r="N1915" i="2"/>
  <c r="N1916" i="2" a="1"/>
  <c r="N1916" i="2"/>
  <c r="N1917" i="2" a="1"/>
  <c r="N1917" i="2"/>
  <c r="N1918" i="2" a="1"/>
  <c r="N1918" i="2"/>
  <c r="N1919" i="2" a="1"/>
  <c r="N1919" i="2"/>
  <c r="N1920" i="2" a="1"/>
  <c r="N1920" i="2"/>
  <c r="N1921" i="2" a="1"/>
  <c r="N1921" i="2"/>
  <c r="N1922" i="2" a="1"/>
  <c r="N1922" i="2"/>
  <c r="N1923" i="2" a="1"/>
  <c r="N1923" i="2"/>
  <c r="N1924" i="2" a="1"/>
  <c r="N1924" i="2"/>
  <c r="N1925" i="2" a="1"/>
  <c r="N1925" i="2"/>
  <c r="N1926" i="2" a="1"/>
  <c r="N1926" i="2"/>
  <c r="N1927" i="2" a="1"/>
  <c r="N1927" i="2"/>
  <c r="N1928" i="2" a="1"/>
  <c r="N1928" i="2"/>
  <c r="N1929" i="2" a="1"/>
  <c r="N1929" i="2"/>
  <c r="N1930" i="2" a="1"/>
  <c r="N1930" i="2"/>
  <c r="N1931" i="2" a="1"/>
  <c r="N1931" i="2"/>
  <c r="N1932" i="2" a="1"/>
  <c r="N1932" i="2"/>
  <c r="N1933" i="2" a="1"/>
  <c r="N1933" i="2"/>
  <c r="N1934" i="2" a="1"/>
  <c r="N1934" i="2"/>
  <c r="N1935" i="2" a="1"/>
  <c r="N1935" i="2"/>
  <c r="N1936" i="2" a="1"/>
  <c r="N1936" i="2"/>
  <c r="N1937" i="2" a="1"/>
  <c r="N1937" i="2"/>
  <c r="N1938" i="2" a="1"/>
  <c r="N1938" i="2"/>
  <c r="N1939" i="2" a="1"/>
  <c r="N1939" i="2"/>
  <c r="N1940" i="2" a="1"/>
  <c r="N1940" i="2"/>
  <c r="N1941" i="2" a="1"/>
  <c r="N1941" i="2"/>
  <c r="N1942" i="2" a="1"/>
  <c r="N1942" i="2"/>
  <c r="N1943" i="2" a="1"/>
  <c r="N1943" i="2"/>
  <c r="N1944" i="2" a="1"/>
  <c r="N1944" i="2"/>
  <c r="N1945" i="2" a="1"/>
  <c r="N1945" i="2"/>
  <c r="N1946" i="2" a="1"/>
  <c r="N1946" i="2"/>
  <c r="N1947" i="2" a="1"/>
  <c r="N1947" i="2"/>
  <c r="N1948" i="2" a="1"/>
  <c r="N1948" i="2"/>
  <c r="N1949" i="2" a="1"/>
  <c r="N1949" i="2"/>
  <c r="N1950" i="2" a="1"/>
  <c r="N1950" i="2"/>
  <c r="N1951" i="2" a="1"/>
  <c r="N1951" i="2"/>
  <c r="N1952" i="2" a="1"/>
  <c r="N1952" i="2"/>
  <c r="N1953" i="2" a="1"/>
  <c r="N1953" i="2"/>
  <c r="N1954" i="2" a="1"/>
  <c r="N1954" i="2"/>
  <c r="N1955" i="2" a="1"/>
  <c r="N1955" i="2"/>
  <c r="N1956" i="2" a="1"/>
  <c r="N1956" i="2"/>
  <c r="N1957" i="2" a="1"/>
  <c r="N1957" i="2"/>
  <c r="N1958" i="2" a="1"/>
  <c r="N1958" i="2"/>
  <c r="N1959" i="2" a="1"/>
  <c r="N1959" i="2"/>
  <c r="N1960" i="2" a="1"/>
  <c r="N1960" i="2"/>
  <c r="N1961" i="2" a="1"/>
  <c r="N1961" i="2"/>
  <c r="N1962" i="2" a="1"/>
  <c r="N1962" i="2"/>
  <c r="N1963" i="2" a="1"/>
  <c r="N1963" i="2"/>
  <c r="N1964" i="2" a="1"/>
  <c r="N1964" i="2"/>
  <c r="N1965" i="2" a="1"/>
  <c r="N1965" i="2"/>
  <c r="N1966" i="2" a="1"/>
  <c r="N1966" i="2"/>
  <c r="N1967" i="2" a="1"/>
  <c r="N1967" i="2"/>
  <c r="N1968" i="2" a="1"/>
  <c r="N1968" i="2"/>
  <c r="N1969" i="2" a="1"/>
  <c r="N1969" i="2"/>
  <c r="N1970" i="2" a="1"/>
  <c r="N1970" i="2"/>
  <c r="N1971" i="2" a="1"/>
  <c r="N1971" i="2"/>
  <c r="N1972" i="2" a="1"/>
  <c r="N1972" i="2"/>
  <c r="N1973" i="2" a="1"/>
  <c r="N1973" i="2"/>
  <c r="N1974" i="2" a="1"/>
  <c r="N1974" i="2"/>
  <c r="N1975" i="2" a="1"/>
  <c r="N1975" i="2"/>
  <c r="N1976" i="2" a="1"/>
  <c r="N1976" i="2"/>
  <c r="N1977" i="2" a="1"/>
  <c r="N1977" i="2"/>
  <c r="N1978" i="2" a="1"/>
  <c r="N1978" i="2"/>
  <c r="N1979" i="2" a="1"/>
  <c r="N1979" i="2"/>
  <c r="N1980" i="2" a="1"/>
  <c r="N1980" i="2"/>
  <c r="N1981" i="2" a="1"/>
  <c r="N1981" i="2"/>
  <c r="N1982" i="2" a="1"/>
  <c r="N1982" i="2"/>
  <c r="N1983" i="2" a="1"/>
  <c r="N1983" i="2"/>
  <c r="N1984" i="2" a="1"/>
  <c r="N1984" i="2"/>
  <c r="N1985" i="2" a="1"/>
  <c r="N1985" i="2"/>
  <c r="N1986" i="2" a="1"/>
  <c r="N1986" i="2"/>
  <c r="N1987" i="2" a="1"/>
  <c r="N1987" i="2"/>
  <c r="N1988" i="2" a="1"/>
  <c r="N1988" i="2"/>
  <c r="N1989" i="2" a="1"/>
  <c r="N1989" i="2"/>
  <c r="N1990" i="2" a="1"/>
  <c r="N1990" i="2"/>
  <c r="N1991" i="2" a="1"/>
  <c r="N1991" i="2"/>
  <c r="N1992" i="2" a="1"/>
  <c r="N1992" i="2"/>
  <c r="N1993" i="2" a="1"/>
  <c r="N1993" i="2"/>
  <c r="N1994" i="2" a="1"/>
  <c r="N1994" i="2"/>
  <c r="N1995" i="2" a="1"/>
  <c r="N1995" i="2"/>
  <c r="N1996" i="2" a="1"/>
  <c r="N1996" i="2"/>
  <c r="N1997" i="2" a="1"/>
  <c r="N1997" i="2"/>
  <c r="N1998" i="2" a="1"/>
  <c r="N1998" i="2"/>
  <c r="N1999" i="2" a="1"/>
  <c r="N1999" i="2"/>
  <c r="N2000" i="2" a="1"/>
  <c r="N2000" i="2"/>
  <c r="N2001" i="2" a="1"/>
  <c r="N2001" i="2"/>
  <c r="N2002" i="2" a="1"/>
  <c r="N2002" i="2"/>
  <c r="N2003" i="2" a="1"/>
  <c r="N2003" i="2"/>
  <c r="N2004" i="2" a="1"/>
  <c r="N2004" i="2"/>
  <c r="N2005" i="2" a="1"/>
  <c r="N2005" i="2"/>
  <c r="N2006" i="2" a="1"/>
  <c r="N2006" i="2"/>
  <c r="N2007" i="2" a="1"/>
  <c r="N2007" i="2"/>
  <c r="N2008" i="2" a="1"/>
  <c r="N2008" i="2"/>
  <c r="N2009" i="2" a="1"/>
  <c r="N2009" i="2"/>
  <c r="N2010" i="2" a="1"/>
  <c r="N2010" i="2"/>
  <c r="N2011" i="2" a="1"/>
  <c r="N2011" i="2"/>
  <c r="N2012" i="2" a="1"/>
  <c r="N2012" i="2"/>
  <c r="N2013" i="2" a="1"/>
  <c r="N2013" i="2"/>
  <c r="N2014" i="2" a="1"/>
  <c r="N2014" i="2"/>
  <c r="N2015" i="2" a="1"/>
  <c r="N2015" i="2"/>
  <c r="N2016" i="2" a="1"/>
  <c r="N2016" i="2"/>
  <c r="N2017" i="2" a="1"/>
  <c r="N2017" i="2"/>
  <c r="N2018" i="2" a="1"/>
  <c r="N2018" i="2"/>
  <c r="N2019" i="2" a="1"/>
  <c r="N2019" i="2"/>
  <c r="N2020" i="2" a="1"/>
  <c r="N2020" i="2"/>
  <c r="N2021" i="2" a="1"/>
  <c r="N2021" i="2"/>
  <c r="N2022" i="2" a="1"/>
  <c r="N2022" i="2"/>
  <c r="N2023" i="2" a="1"/>
  <c r="N2023" i="2"/>
  <c r="N2024" i="2" a="1"/>
  <c r="N2024" i="2"/>
  <c r="N2025" i="2" a="1"/>
  <c r="N2025" i="2"/>
  <c r="N2026" i="2" a="1"/>
  <c r="N2026" i="2"/>
  <c r="N2027" i="2" a="1"/>
  <c r="N2027" i="2"/>
  <c r="N2028" i="2" a="1"/>
  <c r="N2028" i="2"/>
  <c r="N2029" i="2" a="1"/>
  <c r="N2029" i="2"/>
  <c r="N2030" i="2" a="1"/>
  <c r="N2030" i="2"/>
  <c r="N2031" i="2" a="1"/>
  <c r="N2031" i="2"/>
  <c r="N2032" i="2" a="1"/>
  <c r="N2032" i="2"/>
  <c r="N2033" i="2" a="1"/>
  <c r="N2033" i="2"/>
  <c r="N2034" i="2" a="1"/>
  <c r="N2034" i="2"/>
  <c r="N2035" i="2" a="1"/>
  <c r="N2035" i="2"/>
  <c r="N2036" i="2" a="1"/>
  <c r="N2036" i="2"/>
  <c r="N2037" i="2" a="1"/>
  <c r="N2037" i="2"/>
  <c r="N2038" i="2" a="1"/>
  <c r="N2038" i="2"/>
  <c r="N2039" i="2" a="1"/>
  <c r="N2039" i="2"/>
  <c r="N2040" i="2" a="1"/>
  <c r="N2040" i="2"/>
  <c r="N2041" i="2" a="1"/>
  <c r="N2041" i="2"/>
  <c r="N2042" i="2" a="1"/>
  <c r="N2042" i="2"/>
  <c r="N2043" i="2" a="1"/>
  <c r="N2043" i="2"/>
  <c r="N2044" i="2" a="1"/>
  <c r="N2044" i="2"/>
  <c r="N2045" i="2" a="1"/>
  <c r="N2045" i="2"/>
  <c r="N2046" i="2" a="1"/>
  <c r="N2046" i="2"/>
  <c r="N2047" i="2" a="1"/>
  <c r="N2047" i="2"/>
  <c r="N2048" i="2" a="1"/>
  <c r="N2048" i="2"/>
  <c r="N2049" i="2" a="1"/>
  <c r="N2049" i="2"/>
  <c r="N2050" i="2" a="1"/>
  <c r="N2050" i="2"/>
  <c r="N2051" i="2" a="1"/>
  <c r="N2051" i="2"/>
  <c r="N2052" i="2" a="1"/>
  <c r="N2052" i="2"/>
  <c r="N2053" i="2" a="1"/>
  <c r="N2053" i="2"/>
  <c r="N2054" i="2" a="1"/>
  <c r="N2054" i="2"/>
  <c r="N2055" i="2" a="1"/>
  <c r="N2055" i="2"/>
  <c r="N2056" i="2" a="1"/>
  <c r="N2056" i="2"/>
  <c r="N2057" i="2" a="1"/>
  <c r="N2057" i="2"/>
  <c r="N2058" i="2" a="1"/>
  <c r="N2058" i="2"/>
  <c r="N2059" i="2" a="1"/>
  <c r="N2059" i="2"/>
  <c r="N2060" i="2" a="1"/>
  <c r="N2060" i="2"/>
  <c r="N2061" i="2" a="1"/>
  <c r="N2061" i="2"/>
  <c r="N2062" i="2" a="1"/>
  <c r="N2062" i="2"/>
  <c r="N2063" i="2" a="1"/>
  <c r="N2063" i="2"/>
  <c r="N2064" i="2" a="1"/>
  <c r="N2064" i="2"/>
  <c r="N2065" i="2" a="1"/>
  <c r="N2065" i="2"/>
  <c r="N2066" i="2" a="1"/>
  <c r="N2066" i="2"/>
  <c r="N2067" i="2" a="1"/>
  <c r="N2067" i="2"/>
  <c r="N2068" i="2" a="1"/>
  <c r="N2068" i="2"/>
  <c r="N2069" i="2" a="1"/>
  <c r="N2069" i="2"/>
  <c r="N2070" i="2" a="1"/>
  <c r="N2070" i="2"/>
  <c r="N2071" i="2" a="1"/>
  <c r="N2071" i="2"/>
  <c r="N2072" i="2" a="1"/>
  <c r="N2072" i="2"/>
  <c r="N2073" i="2" a="1"/>
  <c r="N2073" i="2"/>
  <c r="N2074" i="2" a="1"/>
  <c r="N2074" i="2"/>
  <c r="N2075" i="2" a="1"/>
  <c r="N2075" i="2"/>
  <c r="N2076" i="2" a="1"/>
  <c r="N2076" i="2"/>
  <c r="N2077" i="2" a="1"/>
  <c r="N2077" i="2"/>
  <c r="N2078" i="2" a="1"/>
  <c r="N2078" i="2"/>
  <c r="N2079" i="2" a="1"/>
  <c r="N2079" i="2"/>
  <c r="N2080" i="2" a="1"/>
  <c r="N2080" i="2"/>
  <c r="N2081" i="2" a="1"/>
  <c r="N2081" i="2"/>
  <c r="N2082" i="2" a="1"/>
  <c r="N2082" i="2"/>
  <c r="N2083" i="2" a="1"/>
  <c r="N2083" i="2"/>
  <c r="N2084" i="2" a="1"/>
  <c r="N2084" i="2"/>
  <c r="N2085" i="2" a="1"/>
  <c r="N2085" i="2"/>
  <c r="N2086" i="2" a="1"/>
  <c r="N2086" i="2"/>
  <c r="N2087" i="2" a="1"/>
  <c r="N2087" i="2"/>
  <c r="N2088" i="2" a="1"/>
  <c r="N2088" i="2"/>
  <c r="N2089" i="2" a="1"/>
  <c r="N2089" i="2"/>
  <c r="N2090" i="2" a="1"/>
  <c r="N2090" i="2"/>
  <c r="N2091" i="2" a="1"/>
  <c r="N2091" i="2"/>
  <c r="N2092" i="2" a="1"/>
  <c r="N2092" i="2"/>
  <c r="N2093" i="2" a="1"/>
  <c r="N2093" i="2"/>
  <c r="N2094" i="2" a="1"/>
  <c r="N2094" i="2"/>
  <c r="N2095" i="2" a="1"/>
  <c r="N2095" i="2"/>
  <c r="N2096" i="2" a="1"/>
  <c r="N2096" i="2"/>
  <c r="N2097" i="2" a="1"/>
  <c r="N2097" i="2"/>
  <c r="N2098" i="2" a="1"/>
  <c r="N2098" i="2"/>
  <c r="N2099" i="2" a="1"/>
  <c r="N2099" i="2"/>
  <c r="N2100" i="2" a="1"/>
  <c r="N2100" i="2"/>
  <c r="N2101" i="2" a="1"/>
  <c r="N2101" i="2"/>
  <c r="N2102" i="2" a="1"/>
  <c r="N2102" i="2"/>
  <c r="N2103" i="2" a="1"/>
  <c r="N2103" i="2"/>
  <c r="N2104" i="2" a="1"/>
  <c r="N2104" i="2"/>
  <c r="N2105" i="2" a="1"/>
  <c r="N2105" i="2"/>
  <c r="N2106" i="2" a="1"/>
  <c r="N2106" i="2"/>
  <c r="N2107" i="2" a="1"/>
  <c r="N2107" i="2"/>
  <c r="N2108" i="2" a="1"/>
  <c r="N2108" i="2"/>
  <c r="N2109" i="2" a="1"/>
  <c r="N2109" i="2"/>
  <c r="N2110" i="2" a="1"/>
  <c r="N2110" i="2"/>
  <c r="N2111" i="2" a="1"/>
  <c r="N2111" i="2"/>
  <c r="N2112" i="2" a="1"/>
  <c r="N2112" i="2"/>
  <c r="N2113" i="2" a="1"/>
  <c r="N2113" i="2"/>
  <c r="N2114" i="2" a="1"/>
  <c r="N2114" i="2"/>
  <c r="N2115" i="2" a="1"/>
  <c r="N2115" i="2"/>
  <c r="N2116" i="2" a="1"/>
  <c r="N2116" i="2"/>
  <c r="N2117" i="2" a="1"/>
  <c r="N2117" i="2"/>
  <c r="N2118" i="2" a="1"/>
  <c r="N2118" i="2"/>
  <c r="N2119" i="2" a="1"/>
  <c r="N2119" i="2"/>
  <c r="N2120" i="2" a="1"/>
  <c r="N2120" i="2"/>
  <c r="N2121" i="2" a="1"/>
  <c r="N2121" i="2"/>
  <c r="N2122" i="2" a="1"/>
  <c r="N2122" i="2"/>
  <c r="N2123" i="2" a="1"/>
  <c r="N2123" i="2"/>
  <c r="N2124" i="2" a="1"/>
  <c r="N2124" i="2"/>
  <c r="N2125" i="2" a="1"/>
  <c r="N2125" i="2"/>
  <c r="N2126" i="2" a="1"/>
  <c r="N2126" i="2"/>
  <c r="N2127" i="2" a="1"/>
  <c r="N2127" i="2"/>
  <c r="N2128" i="2" a="1"/>
  <c r="N2128" i="2"/>
  <c r="N2129" i="2" a="1"/>
  <c r="N2129" i="2"/>
  <c r="N2130" i="2" a="1"/>
  <c r="N2130" i="2"/>
  <c r="N2131" i="2" a="1"/>
  <c r="N2131" i="2"/>
  <c r="N2132" i="2" a="1"/>
  <c r="N2132" i="2"/>
  <c r="N2133" i="2" a="1"/>
  <c r="N2133" i="2"/>
  <c r="N2134" i="2" a="1"/>
  <c r="N2134" i="2"/>
  <c r="N2135" i="2" a="1"/>
  <c r="N2135" i="2"/>
  <c r="N2136" i="2" a="1"/>
  <c r="N2136" i="2"/>
  <c r="N2137" i="2" a="1"/>
  <c r="N2137" i="2"/>
  <c r="N2138" i="2" a="1"/>
  <c r="N2138" i="2"/>
  <c r="N2139" i="2" a="1"/>
  <c r="N2139" i="2"/>
  <c r="N2140" i="2" a="1"/>
  <c r="N2140" i="2"/>
  <c r="N2141" i="2" a="1"/>
  <c r="N2141" i="2"/>
  <c r="N2142" i="2" a="1"/>
  <c r="N2142" i="2"/>
  <c r="N2143" i="2" a="1"/>
  <c r="N2143" i="2"/>
  <c r="N2144" i="2" a="1"/>
  <c r="N2144" i="2"/>
  <c r="N2145" i="2" a="1"/>
  <c r="N2145" i="2"/>
  <c r="N2146" i="2" a="1"/>
  <c r="N2146" i="2"/>
  <c r="N2147" i="2" a="1"/>
  <c r="N2147" i="2"/>
  <c r="N2148" i="2" a="1"/>
  <c r="N2148" i="2"/>
  <c r="N2149" i="2" a="1"/>
  <c r="N2149" i="2"/>
  <c r="N2150" i="2" a="1"/>
  <c r="N2150" i="2"/>
  <c r="N2151" i="2" a="1"/>
  <c r="N2151" i="2"/>
  <c r="N2152" i="2" a="1"/>
  <c r="N2152" i="2"/>
  <c r="N2153" i="2" a="1"/>
  <c r="N2153" i="2"/>
  <c r="N2154" i="2" a="1"/>
  <c r="N2154" i="2"/>
  <c r="N2155" i="2" a="1"/>
  <c r="N2155" i="2"/>
  <c r="N2156" i="2" a="1"/>
  <c r="N2156" i="2"/>
  <c r="N2157" i="2" a="1"/>
  <c r="N2157" i="2"/>
  <c r="N2158" i="2" a="1"/>
  <c r="N2158" i="2"/>
  <c r="N2159" i="2" a="1"/>
  <c r="N2159" i="2"/>
  <c r="N2160" i="2" a="1"/>
  <c r="N2160" i="2"/>
  <c r="N2161" i="2" a="1"/>
  <c r="N2161" i="2"/>
  <c r="N2162" i="2" a="1"/>
  <c r="N2162" i="2"/>
  <c r="N2163" i="2" a="1"/>
  <c r="N2163" i="2"/>
  <c r="N2164" i="2" a="1"/>
  <c r="N2164" i="2"/>
  <c r="N2165" i="2" a="1"/>
  <c r="N2165" i="2"/>
  <c r="N2166" i="2" a="1"/>
  <c r="N2166" i="2"/>
  <c r="N2167" i="2" a="1"/>
  <c r="N2167" i="2"/>
  <c r="N2168" i="2" a="1"/>
  <c r="N2168" i="2"/>
  <c r="N2169" i="2" a="1"/>
  <c r="N2169" i="2"/>
  <c r="N2170" i="2" a="1"/>
  <c r="N2170" i="2"/>
  <c r="N2171" i="2" a="1"/>
  <c r="N2171" i="2"/>
  <c r="N2172" i="2" a="1"/>
  <c r="N2172" i="2"/>
  <c r="N2173" i="2" a="1"/>
  <c r="N2173" i="2"/>
  <c r="N2174" i="2" a="1"/>
  <c r="N2174" i="2"/>
  <c r="N2175" i="2" a="1"/>
  <c r="N2175" i="2"/>
  <c r="N2176" i="2" a="1"/>
  <c r="N2176" i="2"/>
  <c r="N2177" i="2" a="1"/>
  <c r="N2177" i="2"/>
  <c r="N2178" i="2" a="1"/>
  <c r="N2178" i="2"/>
  <c r="N2179" i="2" a="1"/>
  <c r="N2179" i="2"/>
  <c r="N2180" i="2" a="1"/>
  <c r="N2180" i="2"/>
  <c r="N2181" i="2" a="1"/>
  <c r="N2181" i="2"/>
  <c r="N2182" i="2" a="1"/>
  <c r="N2182" i="2"/>
  <c r="N2183" i="2" a="1"/>
  <c r="N2183" i="2"/>
  <c r="N2184" i="2" a="1"/>
  <c r="N2184" i="2"/>
  <c r="N2185" i="2" a="1"/>
  <c r="N2185" i="2"/>
  <c r="N2186" i="2" a="1"/>
  <c r="N2186" i="2"/>
  <c r="N2187" i="2" a="1"/>
  <c r="N2187" i="2"/>
  <c r="N2188" i="2" a="1"/>
  <c r="N2188" i="2"/>
  <c r="N2189" i="2" a="1"/>
  <c r="N2189" i="2"/>
  <c r="N2190" i="2" a="1"/>
  <c r="N2190" i="2"/>
  <c r="N2191" i="2" a="1"/>
  <c r="N2191" i="2"/>
  <c r="N2192" i="2" a="1"/>
  <c r="N2192" i="2"/>
  <c r="N2193" i="2" a="1"/>
  <c r="N2193" i="2"/>
  <c r="N2194" i="2" a="1"/>
  <c r="N2194" i="2"/>
  <c r="N2195" i="2" a="1"/>
  <c r="N2195" i="2"/>
  <c r="N2196" i="2" a="1"/>
  <c r="N2196" i="2"/>
  <c r="N2197" i="2" a="1"/>
  <c r="N2197" i="2"/>
  <c r="N2198" i="2" a="1"/>
  <c r="N2198" i="2"/>
  <c r="N2199" i="2" a="1"/>
  <c r="N2199" i="2"/>
  <c r="N2200" i="2" a="1"/>
  <c r="N2200" i="2"/>
  <c r="N2201" i="2" a="1"/>
  <c r="N2201" i="2"/>
  <c r="N2202" i="2" a="1"/>
  <c r="N2202" i="2"/>
  <c r="N2203" i="2" a="1"/>
  <c r="N2203" i="2"/>
  <c r="N2204" i="2" a="1"/>
  <c r="N2204" i="2"/>
  <c r="N2205" i="2" a="1"/>
  <c r="N2205" i="2"/>
  <c r="N2206" i="2" a="1"/>
  <c r="N2206" i="2"/>
  <c r="N2207" i="2" a="1"/>
  <c r="N2207" i="2"/>
  <c r="N2208" i="2" a="1"/>
  <c r="N2208" i="2"/>
  <c r="N2209" i="2" a="1"/>
  <c r="N2209" i="2"/>
  <c r="N2210" i="2" a="1"/>
  <c r="N2210" i="2"/>
  <c r="N2211" i="2" a="1"/>
  <c r="N2211" i="2"/>
  <c r="N2212" i="2" a="1"/>
  <c r="N2212" i="2"/>
  <c r="N2213" i="2" a="1"/>
  <c r="N2213" i="2"/>
  <c r="N2214" i="2" a="1"/>
  <c r="N2214" i="2"/>
  <c r="N2215" i="2" a="1"/>
  <c r="N2215" i="2"/>
  <c r="N2216" i="2" a="1"/>
  <c r="N2216" i="2"/>
  <c r="N2217" i="2" a="1"/>
  <c r="N2217" i="2"/>
  <c r="N2218" i="2" a="1"/>
  <c r="N2218" i="2"/>
  <c r="N2219" i="2" a="1"/>
  <c r="N2219" i="2"/>
  <c r="N2220" i="2" a="1"/>
  <c r="N2220" i="2"/>
  <c r="N2221" i="2" a="1"/>
  <c r="N2221" i="2"/>
  <c r="N2222" i="2" a="1"/>
  <c r="N2222" i="2"/>
  <c r="N2223" i="2" a="1"/>
  <c r="N2223" i="2"/>
  <c r="N2224" i="2" a="1"/>
  <c r="N2224" i="2"/>
  <c r="N2225" i="2" a="1"/>
  <c r="N2225" i="2"/>
  <c r="N2226" i="2" a="1"/>
  <c r="N2226" i="2"/>
  <c r="N2227" i="2" a="1"/>
  <c r="N2227" i="2"/>
  <c r="N2228" i="2" a="1"/>
  <c r="N2228" i="2"/>
  <c r="N2229" i="2" a="1"/>
  <c r="N2229" i="2"/>
  <c r="N2230" i="2" a="1"/>
  <c r="N2230" i="2"/>
  <c r="N2231" i="2" a="1"/>
  <c r="N2231" i="2"/>
  <c r="N2232" i="2" a="1"/>
  <c r="N2232" i="2"/>
  <c r="N2233" i="2" a="1"/>
  <c r="N2233" i="2"/>
  <c r="N2234" i="2" a="1"/>
  <c r="N2234" i="2"/>
  <c r="N2235" i="2" a="1"/>
  <c r="N2235" i="2"/>
  <c r="N2236" i="2" a="1"/>
  <c r="N2236" i="2"/>
  <c r="N2237" i="2" a="1"/>
  <c r="N2237" i="2"/>
  <c r="N2238" i="2" a="1"/>
  <c r="N2238" i="2"/>
  <c r="N2239" i="2" a="1"/>
  <c r="N2239" i="2"/>
  <c r="N2240" i="2" a="1"/>
  <c r="N2240" i="2"/>
  <c r="N2241" i="2" a="1"/>
  <c r="N2241" i="2"/>
  <c r="N2242" i="2" a="1"/>
  <c r="N2242" i="2"/>
  <c r="N2243" i="2" a="1"/>
  <c r="N2243" i="2"/>
  <c r="N2244" i="2" a="1"/>
  <c r="N2244" i="2"/>
  <c r="N2245" i="2" a="1"/>
  <c r="N2245" i="2"/>
  <c r="N2246" i="2" a="1"/>
  <c r="N2246" i="2"/>
  <c r="N2247" i="2" a="1"/>
  <c r="N2247" i="2"/>
  <c r="N2248" i="2" a="1"/>
  <c r="N2248" i="2"/>
  <c r="N2249" i="2" a="1"/>
  <c r="N2249" i="2"/>
  <c r="N2250" i="2" a="1"/>
  <c r="N2250" i="2"/>
  <c r="N2251" i="2" a="1"/>
  <c r="N2251" i="2"/>
  <c r="N2252" i="2" a="1"/>
  <c r="N2252" i="2"/>
  <c r="N2253" i="2" a="1"/>
  <c r="N2253" i="2"/>
  <c r="N2254" i="2" a="1"/>
  <c r="N2254" i="2"/>
  <c r="N2255" i="2" a="1"/>
  <c r="N2255" i="2"/>
  <c r="N2256" i="2" a="1"/>
  <c r="N2256" i="2"/>
  <c r="N2257" i="2" a="1"/>
  <c r="N2257" i="2"/>
  <c r="N2258" i="2" a="1"/>
  <c r="N2258" i="2"/>
  <c r="N2259" i="2" a="1"/>
  <c r="N2259" i="2"/>
  <c r="N2260" i="2" a="1"/>
  <c r="N2260" i="2"/>
  <c r="N2261" i="2" a="1"/>
  <c r="N2261" i="2"/>
  <c r="N2262" i="2" a="1"/>
  <c r="N2262" i="2"/>
  <c r="N2263" i="2" a="1"/>
  <c r="N2263" i="2"/>
  <c r="N2264" i="2" a="1"/>
  <c r="N2264" i="2"/>
  <c r="N2265" i="2" a="1"/>
  <c r="N2265" i="2"/>
  <c r="N2266" i="2" a="1"/>
  <c r="N2266" i="2"/>
  <c r="N2267" i="2" a="1"/>
  <c r="N2267" i="2"/>
  <c r="N2268" i="2" a="1"/>
  <c r="N2268" i="2"/>
  <c r="N2269" i="2" a="1"/>
  <c r="N2269" i="2"/>
  <c r="N2270" i="2" a="1"/>
  <c r="N2270" i="2"/>
  <c r="N2271" i="2" a="1"/>
  <c r="N2271" i="2"/>
  <c r="N2272" i="2" a="1"/>
  <c r="N2272" i="2"/>
  <c r="N2273" i="2" a="1"/>
  <c r="N2273" i="2"/>
  <c r="N2274" i="2" a="1"/>
  <c r="N2274" i="2"/>
  <c r="N2275" i="2" a="1"/>
  <c r="N2275" i="2"/>
  <c r="N2276" i="2" a="1"/>
  <c r="N2276" i="2"/>
  <c r="N2277" i="2" a="1"/>
  <c r="N2277" i="2"/>
  <c r="N2278" i="2" a="1"/>
  <c r="N2278" i="2"/>
  <c r="N2279" i="2" a="1"/>
  <c r="N2279" i="2"/>
  <c r="N2280" i="2" a="1"/>
  <c r="N2280" i="2"/>
  <c r="N2281" i="2" a="1"/>
  <c r="N2281" i="2"/>
  <c r="N2282" i="2" a="1"/>
  <c r="N2282" i="2"/>
  <c r="N2283" i="2" a="1"/>
  <c r="N2283" i="2"/>
  <c r="N2284" i="2" a="1"/>
  <c r="N2284" i="2"/>
  <c r="N2285" i="2" a="1"/>
  <c r="N2285" i="2"/>
  <c r="N2286" i="2" a="1"/>
  <c r="N2286" i="2"/>
  <c r="N2287" i="2" a="1"/>
  <c r="N2287" i="2"/>
  <c r="N2288" i="2" a="1"/>
  <c r="N2288" i="2"/>
  <c r="N2289" i="2" a="1"/>
  <c r="N2289" i="2"/>
  <c r="N2290" i="2" a="1"/>
  <c r="N2290" i="2"/>
  <c r="N2291" i="2" a="1"/>
  <c r="N2291" i="2"/>
  <c r="N2292" i="2" a="1"/>
  <c r="N2292" i="2"/>
  <c r="N2293" i="2" a="1"/>
  <c r="N2293" i="2"/>
  <c r="N2294" i="2" a="1"/>
  <c r="N2294" i="2"/>
  <c r="N2295" i="2" a="1"/>
  <c r="N2295" i="2"/>
  <c r="N2296" i="2" a="1"/>
  <c r="N2296" i="2"/>
  <c r="N2297" i="2" a="1"/>
  <c r="N2297" i="2"/>
  <c r="N2298" i="2" a="1"/>
  <c r="N2298" i="2"/>
  <c r="N2299" i="2" a="1"/>
  <c r="N2299" i="2"/>
  <c r="N2300" i="2" a="1"/>
  <c r="N2300" i="2"/>
  <c r="N2301" i="2" a="1"/>
  <c r="N2301" i="2"/>
  <c r="N2302" i="2" a="1"/>
  <c r="N2302" i="2"/>
  <c r="N2303" i="2" a="1"/>
  <c r="N2303" i="2"/>
  <c r="N2304" i="2" a="1"/>
  <c r="N2304" i="2"/>
  <c r="N2305" i="2" a="1"/>
  <c r="N2305" i="2"/>
  <c r="N2306" i="2" a="1"/>
  <c r="N2306" i="2"/>
  <c r="N2307" i="2" a="1"/>
  <c r="N2307" i="2"/>
  <c r="N2308" i="2" a="1"/>
  <c r="N2308" i="2"/>
  <c r="N2309" i="2" a="1"/>
  <c r="N2309" i="2"/>
  <c r="N2310" i="2" a="1"/>
  <c r="N2310" i="2"/>
  <c r="N2311" i="2" a="1"/>
  <c r="N2311" i="2"/>
  <c r="N2312" i="2" a="1"/>
  <c r="N2312" i="2"/>
  <c r="N2313" i="2" a="1"/>
  <c r="N2313" i="2"/>
  <c r="N2314" i="2" a="1"/>
  <c r="N2314" i="2"/>
  <c r="N2315" i="2" a="1"/>
  <c r="N2315" i="2"/>
  <c r="N2316" i="2" a="1"/>
  <c r="N2316" i="2"/>
  <c r="N2317" i="2" a="1"/>
  <c r="N2317" i="2"/>
  <c r="N2318" i="2" a="1"/>
  <c r="N2318" i="2"/>
  <c r="N2319" i="2" a="1"/>
  <c r="N2319" i="2"/>
  <c r="N2320" i="2" a="1"/>
  <c r="N2320" i="2"/>
  <c r="N2321" i="2" a="1"/>
  <c r="N2321" i="2"/>
  <c r="N2322" i="2" a="1"/>
  <c r="N2322" i="2"/>
  <c r="N2323" i="2" a="1"/>
  <c r="N2323" i="2"/>
  <c r="N2324" i="2" a="1"/>
  <c r="N2324" i="2"/>
  <c r="N2325" i="2" a="1"/>
  <c r="N2325" i="2"/>
  <c r="N2326" i="2" a="1"/>
  <c r="N2326" i="2"/>
  <c r="N2327" i="2" a="1"/>
  <c r="N2327" i="2"/>
  <c r="N2328" i="2" a="1"/>
  <c r="N2328" i="2"/>
  <c r="N2329" i="2" a="1"/>
  <c r="N2329" i="2"/>
  <c r="N2330" i="2" a="1"/>
  <c r="N2330" i="2"/>
  <c r="N2331" i="2" a="1"/>
  <c r="N2331" i="2"/>
  <c r="N2332" i="2" a="1"/>
  <c r="N2332" i="2"/>
  <c r="N2333" i="2" a="1"/>
  <c r="N2333" i="2"/>
  <c r="N2334" i="2" a="1"/>
  <c r="N2334" i="2"/>
  <c r="N2335" i="2" a="1"/>
  <c r="N2335" i="2"/>
  <c r="N2336" i="2" a="1"/>
  <c r="N2336" i="2"/>
  <c r="N2337" i="2" a="1"/>
  <c r="N2337" i="2"/>
  <c r="N2338" i="2" a="1"/>
  <c r="N2338" i="2"/>
  <c r="N2339" i="2" a="1"/>
  <c r="N2339" i="2"/>
  <c r="N2340" i="2" a="1"/>
  <c r="N2340" i="2"/>
  <c r="N2341" i="2" a="1"/>
  <c r="N2341" i="2"/>
  <c r="N2342" i="2" a="1"/>
  <c r="N2342" i="2"/>
  <c r="N2343" i="2" a="1"/>
  <c r="N2343" i="2"/>
  <c r="N2344" i="2" a="1"/>
  <c r="N2344" i="2"/>
  <c r="N2345" i="2" a="1"/>
  <c r="N2345" i="2"/>
  <c r="N2346" i="2" a="1"/>
  <c r="N2346" i="2"/>
  <c r="N2347" i="2" a="1"/>
  <c r="N2347" i="2"/>
  <c r="N2348" i="2" a="1"/>
  <c r="N2348" i="2"/>
  <c r="N2349" i="2" a="1"/>
  <c r="N2349" i="2"/>
  <c r="N2350" i="2" a="1"/>
  <c r="N2350" i="2"/>
  <c r="N2351" i="2" a="1"/>
  <c r="N2351" i="2"/>
  <c r="N2352" i="2" a="1"/>
  <c r="N2352" i="2"/>
  <c r="N2353" i="2" a="1"/>
  <c r="N2353" i="2"/>
  <c r="N2354" i="2" a="1"/>
  <c r="N2354" i="2"/>
  <c r="N2355" i="2" a="1"/>
  <c r="N2355" i="2"/>
  <c r="N2356" i="2" a="1"/>
  <c r="N2356" i="2"/>
  <c r="N2357" i="2" a="1"/>
  <c r="N2357" i="2"/>
  <c r="N2358" i="2" a="1"/>
  <c r="N2358" i="2"/>
  <c r="N2359" i="2" a="1"/>
  <c r="N2359" i="2"/>
  <c r="N2360" i="2" a="1"/>
  <c r="N2360" i="2"/>
  <c r="N2361" i="2" a="1"/>
  <c r="N2361" i="2"/>
  <c r="N2362" i="2" a="1"/>
  <c r="N2362" i="2"/>
  <c r="N2363" i="2" a="1"/>
  <c r="N2363" i="2"/>
  <c r="N2364" i="2" a="1"/>
  <c r="N2364" i="2"/>
  <c r="N2365" i="2" a="1"/>
  <c r="N2365" i="2"/>
  <c r="N2366" i="2" a="1"/>
  <c r="N2366" i="2"/>
  <c r="N2367" i="2" a="1"/>
  <c r="N2367" i="2"/>
  <c r="N2368" i="2" a="1"/>
  <c r="N2368" i="2"/>
  <c r="N2369" i="2" a="1"/>
  <c r="N2369" i="2"/>
  <c r="N2370" i="2" a="1"/>
  <c r="N2370" i="2"/>
  <c r="N2371" i="2" a="1"/>
  <c r="N2371" i="2"/>
  <c r="N2372" i="2" a="1"/>
  <c r="N2372" i="2"/>
  <c r="N2373" i="2" a="1"/>
  <c r="N2373" i="2"/>
  <c r="N2374" i="2" a="1"/>
  <c r="N2374" i="2"/>
  <c r="N2375" i="2" a="1"/>
  <c r="N2375" i="2"/>
  <c r="N2376" i="2" a="1"/>
  <c r="N2376" i="2"/>
  <c r="N2377" i="2" a="1"/>
  <c r="N2377" i="2"/>
  <c r="N2378" i="2" a="1"/>
  <c r="N2378" i="2"/>
  <c r="N2379" i="2" a="1"/>
  <c r="N2379" i="2"/>
  <c r="N2380" i="2" a="1"/>
  <c r="N2380" i="2"/>
  <c r="N2381" i="2" a="1"/>
  <c r="N2381" i="2"/>
  <c r="N2382" i="2" a="1"/>
  <c r="N2382" i="2"/>
  <c r="N2383" i="2" a="1"/>
  <c r="N2383" i="2"/>
  <c r="N2384" i="2" a="1"/>
  <c r="N2384" i="2"/>
  <c r="N2385" i="2" a="1"/>
  <c r="N2385" i="2"/>
  <c r="N2386" i="2" a="1"/>
  <c r="N2386" i="2"/>
  <c r="N2387" i="2" a="1"/>
  <c r="N2387" i="2"/>
  <c r="N2388" i="2" a="1"/>
  <c r="N2388" i="2"/>
  <c r="N2389" i="2" a="1"/>
  <c r="N2389" i="2"/>
  <c r="N2390" i="2" a="1"/>
  <c r="N2390" i="2"/>
  <c r="N2391" i="2" a="1"/>
  <c r="N2391" i="2"/>
  <c r="N2392" i="2" a="1"/>
  <c r="N2392" i="2"/>
  <c r="N2393" i="2" a="1"/>
  <c r="N2393" i="2"/>
  <c r="N2394" i="2" a="1"/>
  <c r="N2394" i="2"/>
  <c r="N2395" i="2" a="1"/>
  <c r="N2395" i="2"/>
  <c r="N2396" i="2" a="1"/>
  <c r="N2396" i="2"/>
  <c r="N2397" i="2" a="1"/>
  <c r="N2397" i="2"/>
  <c r="N2398" i="2" a="1"/>
  <c r="N2398" i="2"/>
  <c r="N2399" i="2" a="1"/>
  <c r="N2399" i="2"/>
  <c r="N2400" i="2" a="1"/>
  <c r="N2400" i="2"/>
  <c r="N2401" i="2" a="1"/>
  <c r="N2401" i="2"/>
  <c r="N2402" i="2" a="1"/>
  <c r="N2402" i="2"/>
  <c r="N2403" i="2" a="1"/>
  <c r="N2403" i="2"/>
  <c r="N2404" i="2" a="1"/>
  <c r="N2404" i="2"/>
  <c r="N2405" i="2" a="1"/>
  <c r="N2405" i="2"/>
  <c r="N2406" i="2" a="1"/>
  <c r="N2406" i="2"/>
  <c r="N2407" i="2" a="1"/>
  <c r="N2407" i="2"/>
  <c r="N2408" i="2" a="1"/>
  <c r="N2408" i="2"/>
  <c r="N2409" i="2" a="1"/>
  <c r="N2409" i="2"/>
  <c r="N2410" i="2" a="1"/>
  <c r="N2410" i="2"/>
  <c r="N2411" i="2" a="1"/>
  <c r="N2411" i="2"/>
  <c r="N2412" i="2" a="1"/>
  <c r="N2412" i="2"/>
  <c r="N2413" i="2" a="1"/>
  <c r="N2413" i="2"/>
  <c r="N2414" i="2" a="1"/>
  <c r="N2414" i="2"/>
  <c r="N2415" i="2" a="1"/>
  <c r="N2415" i="2"/>
  <c r="N2416" i="2" a="1"/>
  <c r="N2416" i="2"/>
  <c r="N2417" i="2" a="1"/>
  <c r="N2417" i="2"/>
  <c r="N2418" i="2" a="1"/>
  <c r="N2418" i="2"/>
  <c r="N2419" i="2" a="1"/>
  <c r="N2419" i="2"/>
  <c r="N2420" i="2" a="1"/>
  <c r="N2420" i="2"/>
  <c r="N2421" i="2" a="1"/>
  <c r="N2421" i="2"/>
  <c r="N2422" i="2" a="1"/>
  <c r="N2422" i="2"/>
  <c r="N2423" i="2" a="1"/>
  <c r="N2423" i="2"/>
  <c r="N2424" i="2" a="1"/>
  <c r="N2424" i="2"/>
  <c r="N2425" i="2" a="1"/>
  <c r="N2425" i="2"/>
  <c r="N2426" i="2" a="1"/>
  <c r="N2426" i="2"/>
  <c r="N2427" i="2" a="1"/>
  <c r="N2427" i="2"/>
  <c r="N2428" i="2" a="1"/>
  <c r="N2428" i="2"/>
  <c r="N2429" i="2" a="1"/>
  <c r="N2429" i="2"/>
  <c r="N2430" i="2" a="1"/>
  <c r="N2430" i="2"/>
  <c r="N2431" i="2" a="1"/>
  <c r="N2431" i="2"/>
  <c r="N2432" i="2" a="1"/>
  <c r="N2432" i="2"/>
  <c r="N2433" i="2" a="1"/>
  <c r="N2433" i="2"/>
  <c r="N2434" i="2" a="1"/>
  <c r="N2434" i="2"/>
  <c r="N2435" i="2" a="1"/>
  <c r="N2435" i="2"/>
  <c r="N2436" i="2" a="1"/>
  <c r="N2436" i="2"/>
  <c r="N2437" i="2" a="1"/>
  <c r="N2437" i="2"/>
  <c r="N2438" i="2" a="1"/>
  <c r="N2438" i="2"/>
  <c r="N2439" i="2" a="1"/>
  <c r="N2439" i="2"/>
  <c r="N2440" i="2" a="1"/>
  <c r="N2440" i="2"/>
  <c r="N2441" i="2" a="1"/>
  <c r="N2441" i="2"/>
  <c r="N2442" i="2" a="1"/>
  <c r="N2442" i="2"/>
  <c r="N2443" i="2" a="1"/>
  <c r="N2443" i="2"/>
  <c r="N2444" i="2" a="1"/>
  <c r="N2444" i="2"/>
  <c r="N2445" i="2" a="1"/>
  <c r="N2445" i="2"/>
  <c r="N2446" i="2" a="1"/>
  <c r="N2446" i="2"/>
  <c r="N2447" i="2" a="1"/>
  <c r="N2447" i="2"/>
  <c r="N2448" i="2" a="1"/>
  <c r="N2448" i="2"/>
  <c r="N2449" i="2" a="1"/>
  <c r="N2449" i="2"/>
  <c r="N2450" i="2" a="1"/>
  <c r="N2450" i="2"/>
  <c r="N2451" i="2" a="1"/>
  <c r="N2451" i="2"/>
  <c r="N2452" i="2" a="1"/>
  <c r="N2452" i="2"/>
  <c r="N2453" i="2" a="1"/>
  <c r="N2453" i="2"/>
  <c r="N2454" i="2" a="1"/>
  <c r="N2454" i="2"/>
  <c r="N2455" i="2" a="1"/>
  <c r="N2455" i="2"/>
  <c r="N2456" i="2" a="1"/>
  <c r="N2456" i="2"/>
  <c r="N2457" i="2" a="1"/>
  <c r="N2457" i="2"/>
  <c r="N2458" i="2" a="1"/>
  <c r="N2458" i="2"/>
  <c r="N2459" i="2" a="1"/>
  <c r="N2459" i="2"/>
  <c r="N2460" i="2" a="1"/>
  <c r="N2460" i="2"/>
  <c r="N2461" i="2" a="1"/>
  <c r="N2461" i="2"/>
  <c r="N2462" i="2" a="1"/>
  <c r="N2462" i="2"/>
  <c r="N2463" i="2" a="1"/>
  <c r="N2463" i="2"/>
  <c r="N2464" i="2" a="1"/>
  <c r="N2464" i="2"/>
  <c r="N2465" i="2" a="1"/>
  <c r="N2465" i="2"/>
  <c r="N2466" i="2" a="1"/>
  <c r="N2466" i="2"/>
  <c r="N2467" i="2" a="1"/>
  <c r="N2467" i="2"/>
  <c r="N2468" i="2" a="1"/>
  <c r="N2468" i="2"/>
  <c r="N2469" i="2" a="1"/>
  <c r="N2469" i="2"/>
  <c r="N2470" i="2" a="1"/>
  <c r="N2470" i="2"/>
  <c r="N2471" i="2" a="1"/>
  <c r="N2471" i="2"/>
  <c r="N2472" i="2" a="1"/>
  <c r="N2472" i="2"/>
  <c r="N2473" i="2" a="1"/>
  <c r="N2473" i="2"/>
  <c r="N2474" i="2" a="1"/>
  <c r="N2474" i="2"/>
  <c r="N2475" i="2" a="1"/>
  <c r="N2475" i="2"/>
  <c r="N2476" i="2" a="1"/>
  <c r="N2476" i="2"/>
  <c r="N2477" i="2" a="1"/>
  <c r="N2477" i="2"/>
  <c r="N2478" i="2" a="1"/>
  <c r="N2478" i="2"/>
  <c r="N2479" i="2" a="1"/>
  <c r="N2479" i="2"/>
  <c r="N2480" i="2" a="1"/>
  <c r="N2480" i="2"/>
  <c r="N2481" i="2" a="1"/>
  <c r="N2481" i="2"/>
  <c r="N2482" i="2" a="1"/>
  <c r="N2482" i="2"/>
  <c r="N2483" i="2" a="1"/>
  <c r="N2483" i="2"/>
  <c r="N2484" i="2" a="1"/>
  <c r="N2484" i="2"/>
  <c r="N2485" i="2" a="1"/>
  <c r="N2485" i="2"/>
  <c r="N2486" i="2" a="1"/>
  <c r="N2486" i="2"/>
  <c r="N2487" i="2" a="1"/>
  <c r="N2487" i="2"/>
  <c r="N2488" i="2" a="1"/>
  <c r="N2488" i="2"/>
  <c r="N2489" i="2" a="1"/>
  <c r="N2489" i="2"/>
  <c r="N2490" i="2" a="1"/>
  <c r="N2490" i="2"/>
  <c r="N2491" i="2" a="1"/>
  <c r="N2491" i="2"/>
  <c r="N2492" i="2" a="1"/>
  <c r="N2492" i="2"/>
  <c r="N2493" i="2" a="1"/>
  <c r="N2493" i="2"/>
  <c r="N2494" i="2" a="1"/>
  <c r="N2494" i="2"/>
  <c r="N2495" i="2" a="1"/>
  <c r="N2495" i="2"/>
  <c r="N2496" i="2" a="1"/>
  <c r="N2496" i="2"/>
  <c r="N2497" i="2" a="1"/>
  <c r="N2497" i="2"/>
  <c r="N2498" i="2" a="1"/>
  <c r="N2498" i="2"/>
  <c r="N2499" i="2" a="1"/>
  <c r="N2499" i="2"/>
  <c r="N2500" i="2" a="1"/>
  <c r="N2500" i="2"/>
  <c r="N2501" i="2" a="1"/>
  <c r="N2501" i="2"/>
  <c r="N2502" i="2" a="1"/>
  <c r="N2502" i="2"/>
  <c r="N2503" i="2" a="1"/>
  <c r="N2503" i="2"/>
  <c r="N2504" i="2" a="1"/>
  <c r="N2504" i="2"/>
  <c r="N2505" i="2" a="1"/>
  <c r="N2505" i="2"/>
  <c r="N2506" i="2" a="1"/>
  <c r="N2506" i="2"/>
  <c r="N2507" i="2" a="1"/>
  <c r="N2507" i="2"/>
  <c r="N2508" i="2" a="1"/>
  <c r="N2508" i="2"/>
  <c r="N2509" i="2" a="1"/>
  <c r="N2509" i="2"/>
  <c r="N2510" i="2" a="1"/>
  <c r="N2510" i="2"/>
  <c r="N2511" i="2" a="1"/>
  <c r="N2511" i="2"/>
  <c r="N2512" i="2" a="1"/>
  <c r="N2512" i="2"/>
  <c r="N2513" i="2" a="1"/>
  <c r="N2513" i="2"/>
  <c r="N2514" i="2" a="1"/>
  <c r="N2514" i="2"/>
  <c r="N2515" i="2" a="1"/>
  <c r="N2515" i="2"/>
  <c r="N2516" i="2" a="1"/>
  <c r="N2516" i="2"/>
  <c r="N2517" i="2" a="1"/>
  <c r="N2517" i="2"/>
  <c r="N2518" i="2" a="1"/>
  <c r="N2518" i="2"/>
  <c r="N2519" i="2" a="1"/>
  <c r="N2519" i="2"/>
  <c r="N2520" i="2" a="1"/>
  <c r="N2520" i="2"/>
  <c r="N2521" i="2" a="1"/>
  <c r="N2521" i="2"/>
  <c r="N2522" i="2" a="1"/>
  <c r="N2522" i="2"/>
  <c r="N2523" i="2" a="1"/>
  <c r="N2523" i="2"/>
  <c r="N2524" i="2" a="1"/>
  <c r="N2524" i="2"/>
  <c r="N2525" i="2" a="1"/>
  <c r="N2525" i="2"/>
  <c r="N2526" i="2" a="1"/>
  <c r="N2526" i="2"/>
  <c r="N2527" i="2" a="1"/>
  <c r="N2527" i="2"/>
  <c r="N2528" i="2" a="1"/>
  <c r="N2528" i="2"/>
  <c r="N2529" i="2" a="1"/>
  <c r="N2529" i="2"/>
  <c r="N2530" i="2" a="1"/>
  <c r="N2530" i="2"/>
  <c r="N2531" i="2" a="1"/>
  <c r="N2531" i="2"/>
  <c r="N2532" i="2" a="1"/>
  <c r="N2532" i="2"/>
  <c r="N2533" i="2" a="1"/>
  <c r="N2533" i="2"/>
  <c r="N2534" i="2" a="1"/>
  <c r="N2534" i="2"/>
  <c r="N2535" i="2" a="1"/>
  <c r="N2535" i="2"/>
  <c r="N2536" i="2" a="1"/>
  <c r="N2536" i="2"/>
  <c r="N2537" i="2" a="1"/>
  <c r="N2537" i="2"/>
  <c r="N2538" i="2" a="1"/>
  <c r="N2538" i="2"/>
  <c r="N2539" i="2" a="1"/>
  <c r="N2539" i="2"/>
  <c r="N2540" i="2" a="1"/>
  <c r="N2540" i="2"/>
  <c r="N2541" i="2" a="1"/>
  <c r="N2541" i="2"/>
  <c r="N2542" i="2" a="1"/>
  <c r="N2542" i="2"/>
  <c r="N2543" i="2" a="1"/>
  <c r="N2543" i="2"/>
  <c r="N2544" i="2" a="1"/>
  <c r="N2544" i="2"/>
  <c r="N2545" i="2" a="1"/>
  <c r="N2545" i="2"/>
  <c r="N2546" i="2" a="1"/>
  <c r="N2546" i="2"/>
  <c r="N2547" i="2" a="1"/>
  <c r="N2547" i="2"/>
  <c r="N2548" i="2" a="1"/>
  <c r="N2548" i="2"/>
  <c r="N2549" i="2" a="1"/>
  <c r="N2549" i="2"/>
  <c r="N2550" i="2" a="1"/>
  <c r="N2550" i="2"/>
  <c r="N2551" i="2" a="1"/>
  <c r="N2551" i="2"/>
  <c r="N2552" i="2" a="1"/>
  <c r="N2552" i="2"/>
  <c r="N2553" i="2" a="1"/>
  <c r="N2553" i="2"/>
  <c r="N2554" i="2" a="1"/>
  <c r="N2554" i="2"/>
  <c r="N2555" i="2" a="1"/>
  <c r="N2555" i="2"/>
  <c r="N2556" i="2" a="1"/>
  <c r="N2556" i="2"/>
  <c r="N2557" i="2" a="1"/>
  <c r="N2557" i="2"/>
  <c r="N2558" i="2" a="1"/>
  <c r="N2558" i="2"/>
  <c r="N2559" i="2" a="1"/>
  <c r="N2559" i="2"/>
  <c r="N2560" i="2" a="1"/>
  <c r="N2560" i="2"/>
  <c r="N2561" i="2" a="1"/>
  <c r="N2561" i="2"/>
  <c r="N2562" i="2" a="1"/>
  <c r="N2562" i="2"/>
  <c r="N2563" i="2" a="1"/>
  <c r="N2563" i="2"/>
  <c r="N2564" i="2" a="1"/>
  <c r="N2564" i="2"/>
  <c r="N2565" i="2" a="1"/>
  <c r="N2565" i="2"/>
  <c r="N2566" i="2" a="1"/>
  <c r="N2566" i="2"/>
  <c r="N2567" i="2" a="1"/>
  <c r="N2567" i="2"/>
  <c r="N2568" i="2" a="1"/>
  <c r="N2568" i="2"/>
  <c r="N2569" i="2" a="1"/>
  <c r="N2569" i="2"/>
  <c r="N2570" i="2" a="1"/>
  <c r="N2570" i="2"/>
  <c r="N2571" i="2" a="1"/>
  <c r="N2571" i="2"/>
  <c r="N2572" i="2" a="1"/>
  <c r="N2572" i="2"/>
  <c r="N2573" i="2" a="1"/>
  <c r="N2573" i="2"/>
  <c r="N2574" i="2" a="1"/>
  <c r="N2574" i="2"/>
  <c r="N2575" i="2" a="1"/>
  <c r="N2575" i="2"/>
  <c r="N2576" i="2" a="1"/>
  <c r="N2576" i="2"/>
  <c r="N2577" i="2" a="1"/>
  <c r="N2577" i="2"/>
  <c r="N2578" i="2" a="1"/>
  <c r="N2578" i="2"/>
  <c r="N2579" i="2" a="1"/>
  <c r="N2579" i="2"/>
  <c r="N2580" i="2" a="1"/>
  <c r="N2580" i="2"/>
  <c r="N2581" i="2" a="1"/>
  <c r="N2581" i="2"/>
  <c r="N2582" i="2" a="1"/>
  <c r="N2582" i="2"/>
  <c r="N2583" i="2" a="1"/>
  <c r="N2583" i="2"/>
  <c r="N2584" i="2" a="1"/>
  <c r="N2584" i="2"/>
  <c r="N2585" i="2" a="1"/>
  <c r="N2585" i="2"/>
  <c r="N2586" i="2" a="1"/>
  <c r="N2586" i="2"/>
  <c r="N2587" i="2" a="1"/>
  <c r="N2587" i="2"/>
  <c r="N2588" i="2" a="1"/>
  <c r="N2588" i="2"/>
  <c r="N2589" i="2" a="1"/>
  <c r="N2589" i="2"/>
  <c r="N2590" i="2" a="1"/>
  <c r="N2590" i="2"/>
  <c r="N2591" i="2" a="1"/>
  <c r="N2591" i="2"/>
  <c r="N2592" i="2" a="1"/>
  <c r="N2592" i="2"/>
  <c r="N2593" i="2" a="1"/>
  <c r="N2593" i="2"/>
  <c r="N2594" i="2" a="1"/>
  <c r="N2594" i="2"/>
  <c r="N2595" i="2" a="1"/>
  <c r="N2595" i="2"/>
  <c r="N2596" i="2" a="1"/>
  <c r="N2596" i="2"/>
  <c r="N2597" i="2" a="1"/>
  <c r="N2597" i="2"/>
  <c r="N2598" i="2" a="1"/>
  <c r="N2598" i="2"/>
  <c r="N2599" i="2" a="1"/>
  <c r="N2599" i="2"/>
  <c r="N2600" i="2" a="1"/>
  <c r="N2600" i="2"/>
  <c r="N2601" i="2" a="1"/>
  <c r="N2601" i="2"/>
  <c r="N2602" i="2" a="1"/>
  <c r="N2602" i="2"/>
  <c r="N2603" i="2" a="1"/>
  <c r="N2603" i="2"/>
  <c r="N2604" i="2" a="1"/>
  <c r="N2604" i="2"/>
  <c r="N2605" i="2" a="1"/>
  <c r="N2605" i="2"/>
  <c r="N2606" i="2" a="1"/>
  <c r="N2606" i="2"/>
  <c r="N2607" i="2" a="1"/>
  <c r="N2607" i="2"/>
  <c r="N2608" i="2" a="1"/>
  <c r="N2608" i="2"/>
  <c r="N2609" i="2" a="1"/>
  <c r="N2609" i="2"/>
  <c r="N2610" i="2" a="1"/>
  <c r="N2610" i="2"/>
  <c r="N2611" i="2" a="1"/>
  <c r="N2611" i="2"/>
  <c r="N2612" i="2" a="1"/>
  <c r="N2612" i="2"/>
  <c r="N2613" i="2" a="1"/>
  <c r="N2613" i="2"/>
  <c r="N2614" i="2" a="1"/>
  <c r="N2614" i="2"/>
  <c r="N2615" i="2" a="1"/>
  <c r="N2615" i="2"/>
  <c r="N2616" i="2" a="1"/>
  <c r="N2616" i="2"/>
  <c r="N2617" i="2" a="1"/>
  <c r="N2617" i="2"/>
  <c r="N2618" i="2" a="1"/>
  <c r="N2618" i="2"/>
  <c r="N2619" i="2" a="1"/>
  <c r="N2619" i="2"/>
  <c r="N2620" i="2" a="1"/>
  <c r="N2620" i="2"/>
  <c r="N2621" i="2" a="1"/>
  <c r="N2621" i="2"/>
  <c r="N2622" i="2" a="1"/>
  <c r="N2622" i="2"/>
  <c r="N2623" i="2" a="1"/>
  <c r="N2623" i="2"/>
  <c r="N2624" i="2" a="1"/>
  <c r="N2624" i="2"/>
  <c r="N2625" i="2" a="1"/>
  <c r="N2625" i="2"/>
  <c r="N2626" i="2" a="1"/>
  <c r="N2626" i="2"/>
  <c r="N2627" i="2" a="1"/>
  <c r="N2627" i="2"/>
  <c r="N2628" i="2" a="1"/>
  <c r="N2628" i="2"/>
  <c r="N2629" i="2" a="1"/>
  <c r="N2629" i="2"/>
  <c r="N2630" i="2" a="1"/>
  <c r="N2630" i="2"/>
  <c r="N2631" i="2" a="1"/>
  <c r="N2631" i="2"/>
  <c r="N2632" i="2" a="1"/>
  <c r="N2632" i="2"/>
  <c r="N2633" i="2" a="1"/>
  <c r="N2633" i="2"/>
  <c r="N2634" i="2" a="1"/>
  <c r="N2634" i="2"/>
  <c r="N2635" i="2" a="1"/>
  <c r="N2635" i="2"/>
  <c r="N2636" i="2" a="1"/>
  <c r="N2636" i="2"/>
  <c r="N2637" i="2" a="1"/>
  <c r="N2637" i="2"/>
  <c r="N2638" i="2" a="1"/>
  <c r="N2638" i="2"/>
  <c r="N2639" i="2" a="1"/>
  <c r="N2639" i="2"/>
  <c r="N2640" i="2" a="1"/>
  <c r="N2640" i="2"/>
  <c r="N2641" i="2" a="1"/>
  <c r="N2641" i="2"/>
  <c r="N2642" i="2" a="1"/>
  <c r="N2642" i="2"/>
  <c r="N2643" i="2" a="1"/>
  <c r="N2643" i="2"/>
  <c r="N2644" i="2" a="1"/>
  <c r="N2644" i="2"/>
  <c r="N2645" i="2" a="1"/>
  <c r="N2645" i="2"/>
  <c r="N2646" i="2" a="1"/>
  <c r="N2646" i="2"/>
  <c r="N2647" i="2" a="1"/>
  <c r="N2647" i="2"/>
  <c r="N2648" i="2" a="1"/>
  <c r="N2648" i="2"/>
  <c r="N2649" i="2" a="1"/>
  <c r="N2649" i="2"/>
  <c r="N2650" i="2" a="1"/>
  <c r="N2650" i="2"/>
  <c r="N2651" i="2" a="1"/>
  <c r="N2651" i="2"/>
  <c r="N2652" i="2" a="1"/>
  <c r="N2652" i="2"/>
  <c r="N2653" i="2" a="1"/>
  <c r="N2653" i="2"/>
  <c r="N2654" i="2" a="1"/>
  <c r="N2654" i="2"/>
  <c r="N2655" i="2" a="1"/>
  <c r="N2655" i="2"/>
  <c r="N2656" i="2" a="1"/>
  <c r="N2656" i="2"/>
  <c r="N2657" i="2" a="1"/>
  <c r="N2657" i="2"/>
  <c r="N2658" i="2" a="1"/>
  <c r="N2658" i="2"/>
  <c r="N2659" i="2" a="1"/>
  <c r="N2659" i="2"/>
  <c r="N2660" i="2" a="1"/>
  <c r="N2660" i="2"/>
  <c r="N2661" i="2" a="1"/>
  <c r="N2661" i="2"/>
  <c r="N2662" i="2" a="1"/>
  <c r="N2662" i="2"/>
  <c r="N2663" i="2" a="1"/>
  <c r="N2663" i="2"/>
  <c r="N2664" i="2" a="1"/>
  <c r="N2664" i="2"/>
  <c r="N2665" i="2" a="1"/>
  <c r="N2665" i="2"/>
  <c r="N2666" i="2" a="1"/>
  <c r="N2666" i="2"/>
  <c r="N2667" i="2" a="1"/>
  <c r="N2667" i="2"/>
  <c r="N2668" i="2" a="1"/>
  <c r="N2668" i="2"/>
  <c r="N2669" i="2" a="1"/>
  <c r="N2669" i="2"/>
  <c r="N2670" i="2" a="1"/>
  <c r="N2670" i="2"/>
  <c r="N2671" i="2" a="1"/>
  <c r="N2671" i="2"/>
  <c r="N2672" i="2" a="1"/>
  <c r="N2672" i="2"/>
  <c r="N2673" i="2" a="1"/>
  <c r="N2673" i="2"/>
  <c r="N2674" i="2" a="1"/>
  <c r="N2674" i="2"/>
  <c r="N2675" i="2" a="1"/>
  <c r="N2675" i="2"/>
  <c r="N2676" i="2" a="1"/>
  <c r="N2676" i="2"/>
  <c r="N2677" i="2" a="1"/>
  <c r="N2677" i="2"/>
  <c r="N2678" i="2" a="1"/>
  <c r="N2678" i="2"/>
  <c r="N2679" i="2" a="1"/>
  <c r="N2679" i="2"/>
  <c r="N2680" i="2" a="1"/>
  <c r="N2680" i="2"/>
  <c r="N2681" i="2" a="1"/>
  <c r="N2681" i="2"/>
  <c r="N2682" i="2" a="1"/>
  <c r="N2682" i="2"/>
  <c r="N2683" i="2" a="1"/>
  <c r="N2683" i="2"/>
  <c r="N2684" i="2" a="1"/>
  <c r="N2684" i="2"/>
  <c r="N2685" i="2" a="1"/>
  <c r="N2685" i="2"/>
  <c r="N2686" i="2" a="1"/>
  <c r="N2686" i="2"/>
  <c r="N2687" i="2" a="1"/>
  <c r="N2687" i="2"/>
  <c r="N2688" i="2" a="1"/>
  <c r="N2688" i="2"/>
  <c r="N2689" i="2" a="1"/>
  <c r="N2689" i="2"/>
  <c r="N2690" i="2" a="1"/>
  <c r="N2690" i="2"/>
  <c r="N2691" i="2" a="1"/>
  <c r="N2691" i="2"/>
  <c r="N2692" i="2" a="1"/>
  <c r="N2692" i="2"/>
  <c r="N2693" i="2" a="1"/>
  <c r="N2693" i="2"/>
  <c r="N2694" i="2" a="1"/>
  <c r="N2694" i="2"/>
  <c r="N2695" i="2" a="1"/>
  <c r="N2695" i="2"/>
  <c r="N2696" i="2" a="1"/>
  <c r="N2696" i="2"/>
  <c r="N2697" i="2" a="1"/>
  <c r="N2697" i="2"/>
  <c r="N2698" i="2" a="1"/>
  <c r="N2698" i="2"/>
  <c r="N2699" i="2" a="1"/>
  <c r="N2699" i="2"/>
  <c r="N2700" i="2" a="1"/>
  <c r="N2700" i="2"/>
  <c r="N2701" i="2" a="1"/>
  <c r="N2701" i="2"/>
  <c r="N2702" i="2" a="1"/>
  <c r="N2702" i="2"/>
  <c r="N2703" i="2" a="1"/>
  <c r="N2703" i="2"/>
  <c r="N2704" i="2" a="1"/>
  <c r="N2704" i="2"/>
  <c r="N2705" i="2" a="1"/>
  <c r="N2705" i="2"/>
  <c r="N2706" i="2" a="1"/>
  <c r="N2706" i="2"/>
  <c r="N2707" i="2" a="1"/>
  <c r="N2707" i="2"/>
  <c r="N2708" i="2" a="1"/>
  <c r="N2708" i="2"/>
  <c r="N2709" i="2" a="1"/>
  <c r="N2709" i="2"/>
  <c r="N2710" i="2" a="1"/>
  <c r="N2710" i="2"/>
  <c r="N2711" i="2" a="1"/>
  <c r="N2711" i="2"/>
  <c r="N2712" i="2" a="1"/>
  <c r="N2712" i="2"/>
  <c r="N2713" i="2" a="1"/>
  <c r="N2713" i="2"/>
  <c r="N2714" i="2" a="1"/>
  <c r="N2714" i="2"/>
  <c r="N2715" i="2" a="1"/>
  <c r="N2715" i="2"/>
  <c r="N2716" i="2" a="1"/>
  <c r="N2716" i="2"/>
  <c r="N2717" i="2" a="1"/>
  <c r="N2717" i="2"/>
  <c r="N2718" i="2" a="1"/>
  <c r="N2718" i="2"/>
  <c r="N2719" i="2" a="1"/>
  <c r="N2719" i="2"/>
  <c r="N2720" i="2" a="1"/>
  <c r="N2720" i="2"/>
  <c r="N2721" i="2" a="1"/>
  <c r="N2721" i="2"/>
  <c r="N2722" i="2" a="1"/>
  <c r="N2722" i="2"/>
  <c r="N2723" i="2" a="1"/>
  <c r="N2723" i="2"/>
  <c r="N2724" i="2" a="1"/>
  <c r="N2724" i="2"/>
  <c r="N2725" i="2" a="1"/>
  <c r="N2725" i="2"/>
  <c r="N2726" i="2" a="1"/>
  <c r="N2726" i="2"/>
  <c r="N2727" i="2" a="1"/>
  <c r="N2727" i="2"/>
  <c r="N2728" i="2" a="1"/>
  <c r="N2728" i="2"/>
  <c r="N2729" i="2" a="1"/>
  <c r="N2729" i="2"/>
  <c r="N2730" i="2" a="1"/>
  <c r="N2730" i="2"/>
  <c r="N2731" i="2" a="1"/>
  <c r="N2731" i="2"/>
  <c r="N2732" i="2" a="1"/>
  <c r="N2732" i="2"/>
  <c r="N2733" i="2" a="1"/>
  <c r="N2733" i="2"/>
  <c r="N2734" i="2" a="1"/>
  <c r="N2734" i="2"/>
  <c r="N2735" i="2" a="1"/>
  <c r="N2735" i="2"/>
  <c r="N2736" i="2" a="1"/>
  <c r="N2736" i="2"/>
  <c r="N2737" i="2" a="1"/>
  <c r="N2737" i="2"/>
  <c r="N2738" i="2" a="1"/>
  <c r="N2738" i="2"/>
  <c r="N2739" i="2" a="1"/>
  <c r="N2739" i="2"/>
  <c r="N2740" i="2" a="1"/>
  <c r="N2740" i="2"/>
  <c r="N2741" i="2" a="1"/>
  <c r="N2741" i="2"/>
  <c r="N2742" i="2" a="1"/>
  <c r="N2742" i="2"/>
  <c r="N2743" i="2" a="1"/>
  <c r="N2743" i="2"/>
  <c r="N2744" i="2" a="1"/>
  <c r="N2744" i="2"/>
  <c r="N2745" i="2" a="1"/>
  <c r="N2745" i="2"/>
  <c r="N2746" i="2" a="1"/>
  <c r="N2746" i="2"/>
  <c r="N2747" i="2" a="1"/>
  <c r="N2747" i="2"/>
  <c r="N2748" i="2" a="1"/>
  <c r="N2748" i="2"/>
  <c r="N2749" i="2" a="1"/>
  <c r="N2749" i="2"/>
  <c r="N2750" i="2" a="1"/>
  <c r="N2750" i="2"/>
  <c r="N2751" i="2" a="1"/>
  <c r="N2751" i="2"/>
  <c r="N2752" i="2" a="1"/>
  <c r="N2752" i="2"/>
  <c r="N2753" i="2" a="1"/>
  <c r="N2753" i="2"/>
  <c r="N2754" i="2" a="1"/>
  <c r="N2754" i="2"/>
  <c r="N2755" i="2" a="1"/>
  <c r="N2755" i="2"/>
  <c r="N2756" i="2" a="1"/>
  <c r="N2756" i="2"/>
  <c r="N2757" i="2" a="1"/>
  <c r="N2757" i="2"/>
  <c r="N2758" i="2" a="1"/>
  <c r="N2758" i="2"/>
  <c r="N2759" i="2" a="1"/>
  <c r="N2759" i="2"/>
  <c r="N2760" i="2" a="1"/>
  <c r="N2760" i="2"/>
  <c r="N2761" i="2" a="1"/>
  <c r="N2761" i="2"/>
  <c r="N2762" i="2" a="1"/>
  <c r="N2762" i="2"/>
  <c r="N2763" i="2" a="1"/>
  <c r="N2763" i="2"/>
  <c r="N2764" i="2" a="1"/>
  <c r="N2764" i="2"/>
  <c r="N2765" i="2" a="1"/>
  <c r="N2765" i="2"/>
  <c r="N2766" i="2" a="1"/>
  <c r="N2766" i="2"/>
  <c r="N2767" i="2" a="1"/>
  <c r="N2767" i="2"/>
  <c r="N2768" i="2" a="1"/>
  <c r="N2768" i="2"/>
  <c r="N2769" i="2" a="1"/>
  <c r="N2769" i="2"/>
  <c r="N2770" i="2" a="1"/>
  <c r="N2770" i="2"/>
  <c r="N2771" i="2" a="1"/>
  <c r="N2771" i="2"/>
  <c r="N2772" i="2" a="1"/>
  <c r="N2772" i="2"/>
  <c r="N2773" i="2" a="1"/>
  <c r="N2773" i="2"/>
  <c r="N2774" i="2" a="1"/>
  <c r="N2774" i="2"/>
  <c r="N2775" i="2" a="1"/>
  <c r="N2775" i="2"/>
  <c r="N2776" i="2" a="1"/>
  <c r="N2776" i="2"/>
  <c r="N2777" i="2" a="1"/>
  <c r="N2777" i="2"/>
  <c r="N2778" i="2" a="1"/>
  <c r="N2778" i="2"/>
  <c r="N2779" i="2" a="1"/>
  <c r="N2779" i="2"/>
  <c r="N2780" i="2" a="1"/>
  <c r="N2780" i="2"/>
  <c r="N2781" i="2" a="1"/>
  <c r="N2781" i="2"/>
  <c r="N2782" i="2" a="1"/>
  <c r="N2782" i="2"/>
  <c r="N2783" i="2" a="1"/>
  <c r="N2783" i="2"/>
  <c r="N2784" i="2" a="1"/>
  <c r="N2784" i="2"/>
  <c r="N2785" i="2" a="1"/>
  <c r="N2785" i="2"/>
  <c r="N2786" i="2" a="1"/>
  <c r="N2786" i="2"/>
  <c r="N2787" i="2" a="1"/>
  <c r="N2787" i="2"/>
  <c r="N2788" i="2" a="1"/>
  <c r="N2788" i="2"/>
  <c r="N2789" i="2" a="1"/>
  <c r="N2789" i="2"/>
  <c r="N2790" i="2" a="1"/>
  <c r="N2790" i="2"/>
  <c r="N2791" i="2" a="1"/>
  <c r="N2791" i="2"/>
  <c r="N2792" i="2" a="1"/>
  <c r="N2792" i="2"/>
  <c r="N2793" i="2" a="1"/>
  <c r="N2793" i="2"/>
  <c r="N2794" i="2" a="1"/>
  <c r="N2794" i="2"/>
  <c r="N2795" i="2" a="1"/>
  <c r="N2795" i="2"/>
  <c r="N2796" i="2" a="1"/>
  <c r="N2796" i="2"/>
  <c r="N2797" i="2" a="1"/>
  <c r="N2797" i="2"/>
  <c r="N2798" i="2" a="1"/>
  <c r="N2798" i="2"/>
  <c r="N2799" i="2" a="1"/>
  <c r="N2799" i="2"/>
  <c r="N2800" i="2" a="1"/>
  <c r="N2800" i="2"/>
  <c r="N2801" i="2" a="1"/>
  <c r="N2801" i="2"/>
  <c r="H2" i="2" a="1"/>
  <c r="H2" i="2"/>
  <c r="H3" i="2" a="1"/>
  <c r="H3" i="2"/>
  <c r="H4" i="2" a="1"/>
  <c r="H4" i="2"/>
  <c r="H5" i="2" a="1"/>
  <c r="H5" i="2"/>
  <c r="H6" i="2" a="1"/>
  <c r="H6" i="2"/>
  <c r="H7" i="2" a="1"/>
  <c r="H7" i="2"/>
  <c r="H8" i="2" a="1"/>
  <c r="H8" i="2"/>
  <c r="H9" i="2" a="1"/>
  <c r="H9" i="2"/>
  <c r="H10" i="2" a="1"/>
  <c r="H10" i="2"/>
  <c r="H11" i="2" a="1"/>
  <c r="H11" i="2"/>
  <c r="H12" i="2" a="1"/>
  <c r="H12" i="2"/>
  <c r="H13" i="2" a="1"/>
  <c r="H13" i="2"/>
  <c r="H14" i="2" a="1"/>
  <c r="H14" i="2"/>
  <c r="H15" i="2" a="1"/>
  <c r="H15" i="2"/>
  <c r="H16" i="2" a="1"/>
  <c r="H16" i="2"/>
  <c r="H17" i="2" a="1"/>
  <c r="H17" i="2"/>
  <c r="H18" i="2" a="1"/>
  <c r="H18" i="2"/>
  <c r="H19" i="2" a="1"/>
  <c r="H19" i="2"/>
  <c r="H20" i="2" a="1"/>
  <c r="H20" i="2"/>
  <c r="H21" i="2" a="1"/>
  <c r="H21" i="2"/>
  <c r="H22" i="2" a="1"/>
  <c r="H22" i="2"/>
  <c r="H23" i="2" a="1"/>
  <c r="H23" i="2"/>
  <c r="H24" i="2" a="1"/>
  <c r="H24" i="2"/>
  <c r="H25" i="2" a="1"/>
  <c r="H25" i="2"/>
  <c r="H26" i="2" a="1"/>
  <c r="H26" i="2"/>
  <c r="H27" i="2" a="1"/>
  <c r="H27" i="2"/>
  <c r="H28" i="2" a="1"/>
  <c r="H28" i="2"/>
  <c r="H29" i="2" a="1"/>
  <c r="H29" i="2"/>
  <c r="H30" i="2" a="1"/>
  <c r="H30" i="2"/>
  <c r="H31" i="2" a="1"/>
  <c r="H31" i="2"/>
  <c r="H32" i="2" a="1"/>
  <c r="H32" i="2"/>
  <c r="H33" i="2" a="1"/>
  <c r="H33" i="2"/>
  <c r="H34" i="2" a="1"/>
  <c r="H34" i="2"/>
  <c r="H35" i="2" a="1"/>
  <c r="H35" i="2"/>
  <c r="H36" i="2" a="1"/>
  <c r="H36" i="2"/>
  <c r="H37" i="2" a="1"/>
  <c r="H37" i="2"/>
  <c r="H38" i="2" a="1"/>
  <c r="H38" i="2"/>
  <c r="H39" i="2" a="1"/>
  <c r="H39" i="2"/>
  <c r="H40" i="2" a="1"/>
  <c r="H40" i="2"/>
  <c r="H41" i="2" a="1"/>
  <c r="H41" i="2"/>
  <c r="H42" i="2" a="1"/>
  <c r="H42" i="2"/>
  <c r="H43" i="2" a="1"/>
  <c r="H43" i="2"/>
  <c r="H44" i="2" a="1"/>
  <c r="H44" i="2"/>
  <c r="H45" i="2" a="1"/>
  <c r="H45" i="2"/>
  <c r="H46" i="2" a="1"/>
  <c r="H46" i="2"/>
  <c r="H47" i="2" a="1"/>
  <c r="H47" i="2"/>
  <c r="H48" i="2" a="1"/>
  <c r="H48" i="2"/>
  <c r="H49" i="2" a="1"/>
  <c r="H49" i="2"/>
  <c r="H50" i="2" a="1"/>
  <c r="H50" i="2"/>
  <c r="H51" i="2" a="1"/>
  <c r="H51" i="2"/>
  <c r="H52" i="2" a="1"/>
  <c r="H52" i="2"/>
  <c r="H53" i="2" a="1"/>
  <c r="H53" i="2"/>
  <c r="H54" i="2" a="1"/>
  <c r="H54" i="2"/>
  <c r="H55" i="2" a="1"/>
  <c r="H55" i="2"/>
  <c r="H56" i="2" a="1"/>
  <c r="H56" i="2"/>
  <c r="H57" i="2" a="1"/>
  <c r="H57" i="2"/>
  <c r="H58" i="2" a="1"/>
  <c r="H58" i="2"/>
  <c r="H59" i="2" a="1"/>
  <c r="H59" i="2"/>
  <c r="H60" i="2" a="1"/>
  <c r="H60" i="2"/>
  <c r="H61" i="2" a="1"/>
  <c r="H61" i="2"/>
  <c r="H62" i="2" a="1"/>
  <c r="H62" i="2"/>
  <c r="H63" i="2" a="1"/>
  <c r="H63" i="2"/>
  <c r="H64" i="2" a="1"/>
  <c r="H64" i="2"/>
  <c r="H65" i="2" a="1"/>
  <c r="H65" i="2"/>
  <c r="H66" i="2" a="1"/>
  <c r="H66" i="2"/>
  <c r="H67" i="2" a="1"/>
  <c r="H67" i="2"/>
  <c r="H68" i="2" a="1"/>
  <c r="H68" i="2"/>
  <c r="H69" i="2" a="1"/>
  <c r="H69" i="2"/>
  <c r="H70" i="2" a="1"/>
  <c r="H70" i="2"/>
  <c r="H71" i="2" a="1"/>
  <c r="H71" i="2"/>
  <c r="H72" i="2" a="1"/>
  <c r="H72" i="2"/>
  <c r="H73" i="2" a="1"/>
  <c r="H73" i="2"/>
  <c r="H74" i="2" a="1"/>
  <c r="H74" i="2"/>
  <c r="H75" i="2" a="1"/>
  <c r="H75" i="2"/>
  <c r="H76" i="2" a="1"/>
  <c r="H76" i="2"/>
  <c r="H77" i="2" a="1"/>
  <c r="H77" i="2"/>
  <c r="H78" i="2" a="1"/>
  <c r="H78" i="2"/>
  <c r="H79" i="2" a="1"/>
  <c r="H79" i="2"/>
  <c r="H80" i="2" a="1"/>
  <c r="H80" i="2"/>
  <c r="H81" i="2" a="1"/>
  <c r="H81" i="2"/>
  <c r="H82" i="2" a="1"/>
  <c r="H82" i="2"/>
  <c r="H83" i="2" a="1"/>
  <c r="H83" i="2"/>
  <c r="H84" i="2" a="1"/>
  <c r="H84" i="2"/>
  <c r="H85" i="2" a="1"/>
  <c r="H85" i="2"/>
  <c r="H86" i="2" a="1"/>
  <c r="H86" i="2"/>
  <c r="H87" i="2" a="1"/>
  <c r="H87" i="2"/>
  <c r="H88" i="2" a="1"/>
  <c r="H88" i="2"/>
  <c r="H89" i="2" a="1"/>
  <c r="H89" i="2"/>
  <c r="H90" i="2" a="1"/>
  <c r="H90" i="2"/>
  <c r="H91" i="2" a="1"/>
  <c r="H91" i="2"/>
  <c r="H92" i="2" a="1"/>
  <c r="H92" i="2"/>
  <c r="H93" i="2" a="1"/>
  <c r="H93" i="2"/>
  <c r="H94" i="2" a="1"/>
  <c r="H94" i="2"/>
  <c r="H95" i="2" a="1"/>
  <c r="H95" i="2"/>
  <c r="H96" i="2" a="1"/>
  <c r="H96" i="2"/>
  <c r="H97" i="2" a="1"/>
  <c r="H97" i="2"/>
  <c r="H98" i="2" a="1"/>
  <c r="H98" i="2"/>
  <c r="H99" i="2" a="1"/>
  <c r="H99" i="2"/>
  <c r="H100" i="2" a="1"/>
  <c r="H100" i="2"/>
  <c r="H101" i="2" a="1"/>
  <c r="H101" i="2"/>
  <c r="H102" i="2" a="1"/>
  <c r="H102" i="2"/>
  <c r="H103" i="2" a="1"/>
  <c r="H103" i="2"/>
  <c r="H104" i="2" a="1"/>
  <c r="H104" i="2"/>
  <c r="H105" i="2" a="1"/>
  <c r="H105" i="2"/>
  <c r="H106" i="2" a="1"/>
  <c r="H106" i="2"/>
  <c r="H107" i="2" a="1"/>
  <c r="H107" i="2"/>
  <c r="H108" i="2" a="1"/>
  <c r="H108" i="2"/>
  <c r="H109" i="2" a="1"/>
  <c r="H109" i="2"/>
  <c r="H110" i="2" a="1"/>
  <c r="H110" i="2"/>
  <c r="H111" i="2" a="1"/>
  <c r="H111" i="2"/>
  <c r="H112" i="2" a="1"/>
  <c r="H112" i="2"/>
  <c r="H113" i="2" a="1"/>
  <c r="H113" i="2"/>
  <c r="H114" i="2" a="1"/>
  <c r="H114" i="2"/>
  <c r="H115" i="2" a="1"/>
  <c r="H115" i="2"/>
  <c r="H116" i="2" a="1"/>
  <c r="H116" i="2"/>
  <c r="H117" i="2" a="1"/>
  <c r="H117" i="2"/>
  <c r="H118" i="2" a="1"/>
  <c r="H118" i="2"/>
  <c r="H119" i="2" a="1"/>
  <c r="H119" i="2"/>
  <c r="H120" i="2" a="1"/>
  <c r="H120" i="2"/>
  <c r="H121" i="2" a="1"/>
  <c r="H121" i="2"/>
  <c r="H122" i="2" a="1"/>
  <c r="H122" i="2"/>
  <c r="H123" i="2" a="1"/>
  <c r="H123" i="2"/>
  <c r="H124" i="2" a="1"/>
  <c r="H124" i="2"/>
  <c r="H125" i="2" a="1"/>
  <c r="H125" i="2"/>
  <c r="H126" i="2" a="1"/>
  <c r="H126" i="2"/>
  <c r="H127" i="2" a="1"/>
  <c r="H127" i="2"/>
  <c r="H128" i="2" a="1"/>
  <c r="H128" i="2"/>
  <c r="H129" i="2" a="1"/>
  <c r="H129" i="2"/>
  <c r="H130" i="2" a="1"/>
  <c r="H130" i="2"/>
  <c r="H131" i="2" a="1"/>
  <c r="H131" i="2"/>
  <c r="H132" i="2" a="1"/>
  <c r="H132" i="2"/>
  <c r="H133" i="2" a="1"/>
  <c r="H133" i="2"/>
  <c r="H134" i="2" a="1"/>
  <c r="H134" i="2"/>
  <c r="H135" i="2" a="1"/>
  <c r="H135" i="2"/>
  <c r="H136" i="2" a="1"/>
  <c r="H136" i="2"/>
  <c r="H137" i="2" a="1"/>
  <c r="H137" i="2"/>
  <c r="H138" i="2" a="1"/>
  <c r="H138" i="2"/>
  <c r="H139" i="2" a="1"/>
  <c r="H139" i="2"/>
  <c r="H140" i="2" a="1"/>
  <c r="H140" i="2"/>
  <c r="H141" i="2" a="1"/>
  <c r="H141" i="2"/>
  <c r="H142" i="2" a="1"/>
  <c r="H142" i="2"/>
  <c r="H143" i="2" a="1"/>
  <c r="H143" i="2"/>
  <c r="H144" i="2" a="1"/>
  <c r="H144" i="2"/>
  <c r="H145" i="2" a="1"/>
  <c r="H145" i="2"/>
  <c r="H146" i="2" a="1"/>
  <c r="H146" i="2"/>
  <c r="H147" i="2" a="1"/>
  <c r="H147" i="2"/>
  <c r="H148" i="2" a="1"/>
  <c r="H148" i="2"/>
  <c r="H149" i="2" a="1"/>
  <c r="H149" i="2"/>
  <c r="H150" i="2" a="1"/>
  <c r="H150" i="2"/>
  <c r="H151" i="2" a="1"/>
  <c r="H151" i="2"/>
  <c r="H152" i="2" a="1"/>
  <c r="H152" i="2"/>
  <c r="H153" i="2" a="1"/>
  <c r="H153" i="2"/>
  <c r="H154" i="2" a="1"/>
  <c r="H154" i="2"/>
  <c r="H155" i="2" a="1"/>
  <c r="H155" i="2"/>
  <c r="H156" i="2" a="1"/>
  <c r="H156" i="2"/>
  <c r="H157" i="2" a="1"/>
  <c r="H157" i="2"/>
  <c r="H158" i="2" a="1"/>
  <c r="H158" i="2"/>
  <c r="H159" i="2" a="1"/>
  <c r="H159" i="2"/>
  <c r="H160" i="2" a="1"/>
  <c r="H160" i="2"/>
  <c r="H161" i="2" a="1"/>
  <c r="H161" i="2"/>
  <c r="H162" i="2" a="1"/>
  <c r="H162" i="2"/>
  <c r="H163" i="2" a="1"/>
  <c r="H163" i="2"/>
  <c r="H164" i="2" a="1"/>
  <c r="H164" i="2"/>
  <c r="H165" i="2" a="1"/>
  <c r="H165" i="2"/>
  <c r="H166" i="2" a="1"/>
  <c r="H166" i="2"/>
  <c r="H167" i="2" a="1"/>
  <c r="H167" i="2"/>
  <c r="H168" i="2" a="1"/>
  <c r="H168" i="2"/>
  <c r="H169" i="2" a="1"/>
  <c r="H169" i="2"/>
  <c r="H170" i="2" a="1"/>
  <c r="H170" i="2"/>
  <c r="H171" i="2" a="1"/>
  <c r="H171" i="2"/>
  <c r="H172" i="2" a="1"/>
  <c r="H172" i="2"/>
  <c r="H173" i="2" a="1"/>
  <c r="H173" i="2"/>
  <c r="H174" i="2" a="1"/>
  <c r="H174" i="2"/>
  <c r="H175" i="2" a="1"/>
  <c r="H175" i="2"/>
  <c r="H176" i="2" a="1"/>
  <c r="H176" i="2"/>
  <c r="H177" i="2" a="1"/>
  <c r="H177" i="2"/>
  <c r="H178" i="2" a="1"/>
  <c r="H178" i="2"/>
  <c r="H179" i="2" a="1"/>
  <c r="H179" i="2"/>
  <c r="H180" i="2" a="1"/>
  <c r="H180" i="2"/>
  <c r="H181" i="2" a="1"/>
  <c r="H181" i="2"/>
  <c r="H182" i="2" a="1"/>
  <c r="H182" i="2"/>
  <c r="H183" i="2" a="1"/>
  <c r="H183" i="2"/>
  <c r="H184" i="2" a="1"/>
  <c r="H184" i="2"/>
  <c r="H185" i="2" a="1"/>
  <c r="H185" i="2"/>
  <c r="H186" i="2" a="1"/>
  <c r="H186" i="2"/>
  <c r="H187" i="2" a="1"/>
  <c r="H187" i="2"/>
  <c r="H188" i="2" a="1"/>
  <c r="H188" i="2"/>
  <c r="H189" i="2" a="1"/>
  <c r="H189" i="2"/>
  <c r="H190" i="2" a="1"/>
  <c r="H190" i="2"/>
  <c r="H191" i="2" a="1"/>
  <c r="H191" i="2"/>
  <c r="H192" i="2" a="1"/>
  <c r="H192" i="2"/>
  <c r="H193" i="2" a="1"/>
  <c r="H193" i="2"/>
  <c r="H194" i="2" a="1"/>
  <c r="H194" i="2"/>
  <c r="H195" i="2" a="1"/>
  <c r="H195" i="2"/>
  <c r="H196" i="2" a="1"/>
  <c r="H196" i="2"/>
  <c r="H197" i="2" a="1"/>
  <c r="H197" i="2"/>
  <c r="H198" i="2" a="1"/>
  <c r="H198" i="2"/>
  <c r="H199" i="2" a="1"/>
  <c r="H199" i="2"/>
  <c r="H200" i="2" a="1"/>
  <c r="H200" i="2"/>
  <c r="H201" i="2" a="1"/>
  <c r="H201" i="2"/>
  <c r="H202" i="2" a="1"/>
  <c r="H202" i="2"/>
  <c r="H203" i="2" a="1"/>
  <c r="H203" i="2"/>
  <c r="H204" i="2" a="1"/>
  <c r="H204" i="2"/>
  <c r="H205" i="2" a="1"/>
  <c r="H205" i="2"/>
  <c r="H206" i="2" a="1"/>
  <c r="H206" i="2"/>
  <c r="H207" i="2" a="1"/>
  <c r="H207" i="2"/>
  <c r="H208" i="2" a="1"/>
  <c r="H208" i="2"/>
  <c r="H209" i="2" a="1"/>
  <c r="H209" i="2"/>
  <c r="H210" i="2" a="1"/>
  <c r="H210" i="2"/>
  <c r="H211" i="2" a="1"/>
  <c r="H211" i="2"/>
  <c r="H212" i="2" a="1"/>
  <c r="H212" i="2"/>
  <c r="H213" i="2" a="1"/>
  <c r="H213" i="2"/>
  <c r="H214" i="2" a="1"/>
  <c r="H214" i="2"/>
  <c r="H215" i="2" a="1"/>
  <c r="H215" i="2"/>
  <c r="H216" i="2" a="1"/>
  <c r="H216" i="2"/>
  <c r="H217" i="2" a="1"/>
  <c r="H217" i="2"/>
  <c r="H218" i="2" a="1"/>
  <c r="H218" i="2"/>
  <c r="H219" i="2" a="1"/>
  <c r="H219" i="2"/>
  <c r="H220" i="2" a="1"/>
  <c r="H220" i="2"/>
  <c r="H221" i="2" a="1"/>
  <c r="H221" i="2"/>
  <c r="H222" i="2" a="1"/>
  <c r="H222" i="2"/>
  <c r="H223" i="2" a="1"/>
  <c r="H223" i="2"/>
  <c r="H224" i="2" a="1"/>
  <c r="H224" i="2"/>
  <c r="H225" i="2" a="1"/>
  <c r="H225" i="2"/>
  <c r="H226" i="2" a="1"/>
  <c r="H226" i="2"/>
  <c r="H227" i="2" a="1"/>
  <c r="H227" i="2"/>
  <c r="H228" i="2" a="1"/>
  <c r="H228" i="2"/>
  <c r="H229" i="2" a="1"/>
  <c r="H229" i="2"/>
  <c r="H230" i="2" a="1"/>
  <c r="H230" i="2"/>
  <c r="H231" i="2" a="1"/>
  <c r="H231" i="2"/>
  <c r="H232" i="2" a="1"/>
  <c r="H232" i="2"/>
  <c r="H233" i="2" a="1"/>
  <c r="H233" i="2"/>
  <c r="H234" i="2" a="1"/>
  <c r="H234" i="2"/>
  <c r="H235" i="2" a="1"/>
  <c r="H235" i="2"/>
  <c r="H236" i="2" a="1"/>
  <c r="H236" i="2"/>
  <c r="H237" i="2" a="1"/>
  <c r="H237" i="2"/>
  <c r="H238" i="2" a="1"/>
  <c r="H238" i="2"/>
  <c r="H239" i="2" a="1"/>
  <c r="H239" i="2"/>
  <c r="H240" i="2" a="1"/>
  <c r="H240" i="2"/>
  <c r="H241" i="2" a="1"/>
  <c r="H241" i="2"/>
  <c r="H242" i="2" a="1"/>
  <c r="H242" i="2"/>
  <c r="H243" i="2" a="1"/>
  <c r="H243" i="2"/>
  <c r="H244" i="2" a="1"/>
  <c r="H244" i="2"/>
  <c r="H245" i="2" a="1"/>
  <c r="H245" i="2"/>
  <c r="H246" i="2" a="1"/>
  <c r="H246" i="2"/>
  <c r="H247" i="2" a="1"/>
  <c r="H247" i="2"/>
  <c r="H248" i="2" a="1"/>
  <c r="H248" i="2"/>
  <c r="H249" i="2" a="1"/>
  <c r="H249" i="2"/>
  <c r="H250" i="2" a="1"/>
  <c r="H250" i="2"/>
  <c r="H251" i="2" a="1"/>
  <c r="H251" i="2"/>
  <c r="H252" i="2" a="1"/>
  <c r="H252" i="2"/>
  <c r="H253" i="2" a="1"/>
  <c r="H253" i="2"/>
  <c r="H254" i="2" a="1"/>
  <c r="H254" i="2"/>
  <c r="H255" i="2" a="1"/>
  <c r="H255" i="2"/>
  <c r="H256" i="2" a="1"/>
  <c r="H256" i="2"/>
  <c r="H257" i="2" a="1"/>
  <c r="H257" i="2"/>
  <c r="H258" i="2" a="1"/>
  <c r="H258" i="2"/>
  <c r="H259" i="2" a="1"/>
  <c r="H259" i="2"/>
  <c r="H260" i="2" a="1"/>
  <c r="H260" i="2"/>
  <c r="H261" i="2" a="1"/>
  <c r="H261" i="2"/>
  <c r="H262" i="2" a="1"/>
  <c r="H262" i="2"/>
  <c r="H263" i="2" a="1"/>
  <c r="H263" i="2"/>
  <c r="H264" i="2" a="1"/>
  <c r="H264" i="2"/>
  <c r="H265" i="2" a="1"/>
  <c r="H265" i="2"/>
  <c r="H266" i="2" a="1"/>
  <c r="H266" i="2"/>
  <c r="H267" i="2" a="1"/>
  <c r="H267" i="2"/>
  <c r="H268" i="2" a="1"/>
  <c r="H268" i="2"/>
  <c r="H269" i="2" a="1"/>
  <c r="H269" i="2"/>
  <c r="H270" i="2" a="1"/>
  <c r="H270" i="2"/>
  <c r="H271" i="2" a="1"/>
  <c r="H271" i="2"/>
  <c r="H272" i="2" a="1"/>
  <c r="H272" i="2"/>
  <c r="H273" i="2" a="1"/>
  <c r="H273" i="2"/>
  <c r="H274" i="2" a="1"/>
  <c r="H274" i="2"/>
  <c r="H275" i="2" a="1"/>
  <c r="H275" i="2"/>
  <c r="H276" i="2" a="1"/>
  <c r="H276" i="2"/>
  <c r="H277" i="2" a="1"/>
  <c r="H277" i="2"/>
  <c r="H278" i="2" a="1"/>
  <c r="H278" i="2"/>
  <c r="H279" i="2" a="1"/>
  <c r="H279" i="2"/>
  <c r="H280" i="2" a="1"/>
  <c r="H280" i="2"/>
  <c r="H281" i="2" a="1"/>
  <c r="H281" i="2"/>
  <c r="H282" i="2" a="1"/>
  <c r="H282" i="2"/>
  <c r="H283" i="2" a="1"/>
  <c r="H283" i="2"/>
  <c r="H284" i="2" a="1"/>
  <c r="H284" i="2"/>
  <c r="H285" i="2" a="1"/>
  <c r="H285" i="2"/>
  <c r="H286" i="2" a="1"/>
  <c r="H286" i="2"/>
  <c r="H287" i="2" a="1"/>
  <c r="H287" i="2"/>
  <c r="H288" i="2" a="1"/>
  <c r="H288" i="2"/>
  <c r="H289" i="2" a="1"/>
  <c r="H289" i="2"/>
  <c r="H290" i="2" a="1"/>
  <c r="H290" i="2"/>
  <c r="H291" i="2" a="1"/>
  <c r="H291" i="2"/>
  <c r="H292" i="2" a="1"/>
  <c r="H292" i="2"/>
  <c r="H293" i="2" a="1"/>
  <c r="H293" i="2"/>
  <c r="H294" i="2" a="1"/>
  <c r="H294" i="2"/>
  <c r="H295" i="2" a="1"/>
  <c r="H295" i="2"/>
  <c r="H296" i="2" a="1"/>
  <c r="H296" i="2"/>
  <c r="H297" i="2" a="1"/>
  <c r="H297" i="2"/>
  <c r="H298" i="2" a="1"/>
  <c r="H298" i="2"/>
  <c r="H299" i="2" a="1"/>
  <c r="H299" i="2"/>
  <c r="H300" i="2" a="1"/>
  <c r="H300" i="2"/>
  <c r="H301" i="2" a="1"/>
  <c r="H301" i="2"/>
  <c r="H302" i="2" a="1"/>
  <c r="H302" i="2"/>
  <c r="H303" i="2" a="1"/>
  <c r="H303" i="2"/>
  <c r="H304" i="2" a="1"/>
  <c r="H304" i="2"/>
  <c r="H305" i="2" a="1"/>
  <c r="H305" i="2"/>
  <c r="H306" i="2" a="1"/>
  <c r="H306" i="2"/>
  <c r="H307" i="2" a="1"/>
  <c r="H307" i="2"/>
  <c r="H308" i="2" a="1"/>
  <c r="H308" i="2"/>
  <c r="H309" i="2" a="1"/>
  <c r="H309" i="2"/>
  <c r="H310" i="2" a="1"/>
  <c r="H310" i="2"/>
  <c r="H311" i="2" a="1"/>
  <c r="H311" i="2"/>
  <c r="H312" i="2" a="1"/>
  <c r="H312" i="2"/>
  <c r="H313" i="2" a="1"/>
  <c r="H313" i="2"/>
  <c r="H314" i="2" a="1"/>
  <c r="H314" i="2"/>
  <c r="H315" i="2" a="1"/>
  <c r="H315" i="2"/>
  <c r="H316" i="2" a="1"/>
  <c r="H316" i="2"/>
  <c r="H317" i="2" a="1"/>
  <c r="H317" i="2"/>
  <c r="H318" i="2" a="1"/>
  <c r="H318" i="2"/>
  <c r="H319" i="2" a="1"/>
  <c r="H319" i="2"/>
  <c r="H320" i="2" a="1"/>
  <c r="H320" i="2"/>
  <c r="H321" i="2" a="1"/>
  <c r="H321" i="2"/>
  <c r="H322" i="2" a="1"/>
  <c r="H322" i="2"/>
  <c r="H323" i="2" a="1"/>
  <c r="H323" i="2"/>
  <c r="H324" i="2" a="1"/>
  <c r="H324" i="2"/>
  <c r="H325" i="2" a="1"/>
  <c r="H325" i="2"/>
  <c r="H326" i="2" a="1"/>
  <c r="H326" i="2"/>
  <c r="H327" i="2" a="1"/>
  <c r="H327" i="2"/>
  <c r="H328" i="2" a="1"/>
  <c r="H328" i="2"/>
  <c r="H329" i="2" a="1"/>
  <c r="H329" i="2"/>
  <c r="H330" i="2" a="1"/>
  <c r="H330" i="2"/>
  <c r="H331" i="2" a="1"/>
  <c r="H331" i="2"/>
  <c r="H332" i="2" a="1"/>
  <c r="H332" i="2"/>
  <c r="H333" i="2" a="1"/>
  <c r="H333" i="2"/>
  <c r="H334" i="2" a="1"/>
  <c r="H334" i="2"/>
  <c r="H335" i="2" a="1"/>
  <c r="H335" i="2"/>
  <c r="H336" i="2" a="1"/>
  <c r="H336" i="2"/>
  <c r="H337" i="2" a="1"/>
  <c r="H337" i="2"/>
  <c r="H338" i="2" a="1"/>
  <c r="H338" i="2"/>
  <c r="H339" i="2" a="1"/>
  <c r="H339" i="2"/>
  <c r="H340" i="2" a="1"/>
  <c r="H340" i="2"/>
  <c r="H341" i="2" a="1"/>
  <c r="H341" i="2"/>
  <c r="H342" i="2" a="1"/>
  <c r="H342" i="2"/>
  <c r="H343" i="2" a="1"/>
  <c r="H343" i="2"/>
  <c r="H344" i="2" a="1"/>
  <c r="H344" i="2"/>
  <c r="H345" i="2" a="1"/>
  <c r="H345" i="2"/>
  <c r="H346" i="2" a="1"/>
  <c r="H346" i="2"/>
  <c r="H347" i="2" a="1"/>
  <c r="H347" i="2"/>
  <c r="H348" i="2" a="1"/>
  <c r="H348" i="2"/>
  <c r="H349" i="2" a="1"/>
  <c r="H349" i="2"/>
  <c r="H350" i="2" a="1"/>
  <c r="H350" i="2"/>
  <c r="H351" i="2" a="1"/>
  <c r="H351" i="2"/>
  <c r="H352" i="2" a="1"/>
  <c r="H352" i="2"/>
  <c r="H353" i="2" a="1"/>
  <c r="H353" i="2"/>
  <c r="H354" i="2" a="1"/>
  <c r="H354" i="2"/>
  <c r="H355" i="2" a="1"/>
  <c r="H355" i="2"/>
  <c r="H356" i="2" a="1"/>
  <c r="H356" i="2"/>
  <c r="H357" i="2" a="1"/>
  <c r="H357" i="2"/>
  <c r="H358" i="2" a="1"/>
  <c r="H358" i="2"/>
  <c r="H359" i="2" a="1"/>
  <c r="H359" i="2"/>
  <c r="H360" i="2" a="1"/>
  <c r="H360" i="2"/>
  <c r="H361" i="2" a="1"/>
  <c r="H361" i="2"/>
  <c r="H362" i="2" a="1"/>
  <c r="H362" i="2"/>
  <c r="H363" i="2" a="1"/>
  <c r="H363" i="2"/>
  <c r="H364" i="2" a="1"/>
  <c r="H364" i="2"/>
  <c r="H365" i="2" a="1"/>
  <c r="H365" i="2"/>
  <c r="H366" i="2" a="1"/>
  <c r="H366" i="2"/>
  <c r="H367" i="2" a="1"/>
  <c r="H367" i="2"/>
  <c r="H368" i="2" a="1"/>
  <c r="H368" i="2"/>
  <c r="H369" i="2" a="1"/>
  <c r="H369" i="2"/>
  <c r="H370" i="2" a="1"/>
  <c r="H370" i="2"/>
  <c r="H371" i="2" a="1"/>
  <c r="H371" i="2"/>
  <c r="H372" i="2" a="1"/>
  <c r="H372" i="2"/>
  <c r="H373" i="2" a="1"/>
  <c r="H373" i="2"/>
  <c r="H374" i="2" a="1"/>
  <c r="H374" i="2"/>
  <c r="H375" i="2" a="1"/>
  <c r="H375" i="2"/>
  <c r="H376" i="2" a="1"/>
  <c r="H376" i="2"/>
  <c r="H377" i="2" a="1"/>
  <c r="H377" i="2"/>
  <c r="H378" i="2" a="1"/>
  <c r="H378" i="2"/>
  <c r="H379" i="2" a="1"/>
  <c r="H379" i="2"/>
  <c r="H380" i="2" a="1"/>
  <c r="H380" i="2"/>
  <c r="H381" i="2" a="1"/>
  <c r="H381" i="2"/>
  <c r="H382" i="2" a="1"/>
  <c r="H382" i="2"/>
  <c r="H383" i="2" a="1"/>
  <c r="H383" i="2"/>
  <c r="H384" i="2" a="1"/>
  <c r="H384" i="2"/>
  <c r="H385" i="2" a="1"/>
  <c r="H385" i="2"/>
  <c r="H386" i="2" a="1"/>
  <c r="H386" i="2"/>
  <c r="H387" i="2" a="1"/>
  <c r="H387" i="2"/>
  <c r="H388" i="2" a="1"/>
  <c r="H388" i="2"/>
  <c r="H389" i="2" a="1"/>
  <c r="H389" i="2"/>
  <c r="H390" i="2" a="1"/>
  <c r="H390" i="2"/>
  <c r="H391" i="2" a="1"/>
  <c r="H391" i="2"/>
  <c r="H392" i="2" a="1"/>
  <c r="H392" i="2"/>
  <c r="H393" i="2" a="1"/>
  <c r="H393" i="2"/>
  <c r="H394" i="2" a="1"/>
  <c r="H394" i="2"/>
  <c r="H395" i="2" a="1"/>
  <c r="H395" i="2"/>
  <c r="H396" i="2" a="1"/>
  <c r="H396" i="2"/>
  <c r="H397" i="2" a="1"/>
  <c r="H397" i="2"/>
  <c r="H398" i="2" a="1"/>
  <c r="H398" i="2"/>
  <c r="H399" i="2" a="1"/>
  <c r="H399" i="2"/>
  <c r="H400" i="2" a="1"/>
  <c r="H400" i="2"/>
  <c r="H401" i="2" a="1"/>
  <c r="H401" i="2"/>
  <c r="H402" i="2" a="1"/>
  <c r="H402" i="2"/>
  <c r="H403" i="2" a="1"/>
  <c r="H403" i="2"/>
  <c r="H404" i="2" a="1"/>
  <c r="H404" i="2"/>
  <c r="H405" i="2" a="1"/>
  <c r="H405" i="2"/>
  <c r="H406" i="2" a="1"/>
  <c r="H406" i="2"/>
  <c r="H407" i="2" a="1"/>
  <c r="H407" i="2"/>
  <c r="H408" i="2" a="1"/>
  <c r="H408" i="2"/>
  <c r="H409" i="2" a="1"/>
  <c r="H409" i="2"/>
  <c r="H410" i="2" a="1"/>
  <c r="H410" i="2"/>
  <c r="H411" i="2" a="1"/>
  <c r="H411" i="2"/>
  <c r="H412" i="2" a="1"/>
  <c r="H412" i="2"/>
  <c r="H413" i="2" a="1"/>
  <c r="H413" i="2"/>
  <c r="H414" i="2" a="1"/>
  <c r="H414" i="2"/>
  <c r="H415" i="2" a="1"/>
  <c r="H415" i="2"/>
  <c r="H416" i="2" a="1"/>
  <c r="H416" i="2"/>
  <c r="H417" i="2" a="1"/>
  <c r="H417" i="2"/>
  <c r="H418" i="2" a="1"/>
  <c r="H418" i="2"/>
  <c r="H419" i="2" a="1"/>
  <c r="H419" i="2"/>
  <c r="H420" i="2" a="1"/>
  <c r="H420" i="2"/>
  <c r="H421" i="2" a="1"/>
  <c r="H421" i="2"/>
  <c r="H422" i="2" a="1"/>
  <c r="H422" i="2"/>
  <c r="H423" i="2" a="1"/>
  <c r="H423" i="2"/>
  <c r="H424" i="2" a="1"/>
  <c r="H424" i="2"/>
  <c r="H425" i="2" a="1"/>
  <c r="H425" i="2"/>
  <c r="H426" i="2" a="1"/>
  <c r="H426" i="2"/>
  <c r="H427" i="2" a="1"/>
  <c r="H427" i="2"/>
  <c r="H428" i="2" a="1"/>
  <c r="H428" i="2"/>
  <c r="H429" i="2" a="1"/>
  <c r="H429" i="2"/>
  <c r="H430" i="2" a="1"/>
  <c r="H430" i="2"/>
  <c r="H431" i="2" a="1"/>
  <c r="H431" i="2"/>
  <c r="H432" i="2" a="1"/>
  <c r="H432" i="2"/>
  <c r="H433" i="2" a="1"/>
  <c r="H433" i="2"/>
  <c r="H434" i="2" a="1"/>
  <c r="H434" i="2"/>
  <c r="H435" i="2" a="1"/>
  <c r="H435" i="2"/>
  <c r="H436" i="2" a="1"/>
  <c r="H436" i="2"/>
  <c r="H437" i="2" a="1"/>
  <c r="H437" i="2"/>
  <c r="H438" i="2" a="1"/>
  <c r="H438" i="2"/>
  <c r="H439" i="2" a="1"/>
  <c r="H439" i="2"/>
  <c r="H440" i="2" a="1"/>
  <c r="H440" i="2"/>
  <c r="H441" i="2" a="1"/>
  <c r="H441" i="2"/>
  <c r="H442" i="2" a="1"/>
  <c r="H442" i="2"/>
  <c r="H443" i="2" a="1"/>
  <c r="H443" i="2"/>
  <c r="H444" i="2" a="1"/>
  <c r="H444" i="2"/>
  <c r="H445" i="2" a="1"/>
  <c r="H445" i="2"/>
  <c r="H446" i="2" a="1"/>
  <c r="H446" i="2"/>
  <c r="H447" i="2" a="1"/>
  <c r="H447" i="2"/>
  <c r="H448" i="2" a="1"/>
  <c r="H448" i="2"/>
  <c r="H449" i="2" a="1"/>
  <c r="H449" i="2"/>
  <c r="H450" i="2" a="1"/>
  <c r="H450" i="2"/>
  <c r="H451" i="2" a="1"/>
  <c r="H451" i="2"/>
  <c r="H452" i="2" a="1"/>
  <c r="H452" i="2"/>
  <c r="H453" i="2" a="1"/>
  <c r="H453" i="2"/>
  <c r="H454" i="2" a="1"/>
  <c r="H454" i="2"/>
  <c r="H455" i="2" a="1"/>
  <c r="H455" i="2"/>
  <c r="H456" i="2" a="1"/>
  <c r="H456" i="2"/>
  <c r="H457" i="2" a="1"/>
  <c r="H457" i="2"/>
  <c r="H458" i="2" a="1"/>
  <c r="H458" i="2"/>
  <c r="H459" i="2" a="1"/>
  <c r="H459" i="2"/>
  <c r="H460" i="2" a="1"/>
  <c r="H460" i="2"/>
  <c r="H461" i="2" a="1"/>
  <c r="H461" i="2"/>
  <c r="H462" i="2" a="1"/>
  <c r="H462" i="2"/>
  <c r="H463" i="2" a="1"/>
  <c r="H463" i="2"/>
  <c r="H464" i="2" a="1"/>
  <c r="H464" i="2"/>
  <c r="H465" i="2" a="1"/>
  <c r="H465" i="2"/>
  <c r="H466" i="2" a="1"/>
  <c r="H466" i="2"/>
  <c r="H467" i="2" a="1"/>
  <c r="H467" i="2"/>
  <c r="H468" i="2" a="1"/>
  <c r="H468" i="2"/>
  <c r="H469" i="2" a="1"/>
  <c r="H469" i="2"/>
  <c r="H470" i="2" a="1"/>
  <c r="H470" i="2"/>
  <c r="H471" i="2" a="1"/>
  <c r="H471" i="2"/>
  <c r="H472" i="2" a="1"/>
  <c r="H472" i="2"/>
  <c r="H473" i="2" a="1"/>
  <c r="H473" i="2"/>
  <c r="H474" i="2" a="1"/>
  <c r="H474" i="2"/>
  <c r="H475" i="2" a="1"/>
  <c r="H475" i="2"/>
  <c r="H476" i="2" a="1"/>
  <c r="H476" i="2"/>
  <c r="H477" i="2" a="1"/>
  <c r="H477" i="2"/>
  <c r="H478" i="2" a="1"/>
  <c r="H478" i="2"/>
  <c r="H479" i="2" a="1"/>
  <c r="H479" i="2"/>
  <c r="H480" i="2" a="1"/>
  <c r="H480" i="2"/>
  <c r="H481" i="2" a="1"/>
  <c r="H481" i="2"/>
  <c r="H482" i="2" a="1"/>
  <c r="H482" i="2"/>
  <c r="H483" i="2" a="1"/>
  <c r="H483" i="2"/>
  <c r="H484" i="2" a="1"/>
  <c r="H484" i="2"/>
  <c r="H485" i="2" a="1"/>
  <c r="H485" i="2"/>
  <c r="H486" i="2" a="1"/>
  <c r="H486" i="2"/>
  <c r="H487" i="2" a="1"/>
  <c r="H487" i="2"/>
  <c r="H488" i="2" a="1"/>
  <c r="H488" i="2"/>
  <c r="H489" i="2" a="1"/>
  <c r="H489" i="2"/>
  <c r="H490" i="2" a="1"/>
  <c r="H490" i="2"/>
  <c r="H491" i="2" a="1"/>
  <c r="H491" i="2"/>
  <c r="H492" i="2" a="1"/>
  <c r="H492" i="2"/>
  <c r="H493" i="2" a="1"/>
  <c r="H493" i="2"/>
  <c r="H494" i="2" a="1"/>
  <c r="H494" i="2"/>
  <c r="H495" i="2" a="1"/>
  <c r="H495" i="2"/>
  <c r="H496" i="2" a="1"/>
  <c r="H496" i="2"/>
  <c r="H497" i="2" a="1"/>
  <c r="H497" i="2"/>
  <c r="H498" i="2" a="1"/>
  <c r="H498" i="2"/>
  <c r="H499" i="2" a="1"/>
  <c r="H499" i="2"/>
  <c r="H500" i="2" a="1"/>
  <c r="H500" i="2"/>
  <c r="H501" i="2" a="1"/>
  <c r="H501" i="2"/>
  <c r="H502" i="2" a="1"/>
  <c r="H502" i="2"/>
  <c r="H503" i="2" a="1"/>
  <c r="H503" i="2"/>
  <c r="H504" i="2" a="1"/>
  <c r="H504" i="2"/>
  <c r="H505" i="2" a="1"/>
  <c r="H505" i="2"/>
  <c r="H506" i="2" a="1"/>
  <c r="H506" i="2"/>
  <c r="H507" i="2" a="1"/>
  <c r="H507" i="2"/>
  <c r="H508" i="2" a="1"/>
  <c r="H508" i="2"/>
  <c r="H509" i="2" a="1"/>
  <c r="H509" i="2"/>
  <c r="H510" i="2" a="1"/>
  <c r="H510" i="2"/>
  <c r="H511" i="2" a="1"/>
  <c r="H511" i="2"/>
  <c r="H512" i="2" a="1"/>
  <c r="H512" i="2"/>
  <c r="H513" i="2" a="1"/>
  <c r="H513" i="2"/>
  <c r="H514" i="2" a="1"/>
  <c r="H514" i="2"/>
  <c r="H515" i="2" a="1"/>
  <c r="H515" i="2"/>
  <c r="H516" i="2" a="1"/>
  <c r="H516" i="2"/>
  <c r="H517" i="2" a="1"/>
  <c r="H517" i="2"/>
  <c r="H518" i="2" a="1"/>
  <c r="H518" i="2"/>
  <c r="H519" i="2" a="1"/>
  <c r="H519" i="2"/>
  <c r="H520" i="2" a="1"/>
  <c r="H520" i="2"/>
  <c r="H521" i="2" a="1"/>
  <c r="H521" i="2"/>
  <c r="H522" i="2" a="1"/>
  <c r="H522" i="2"/>
  <c r="H523" i="2" a="1"/>
  <c r="H523" i="2"/>
  <c r="H524" i="2" a="1"/>
  <c r="H524" i="2"/>
  <c r="H525" i="2" a="1"/>
  <c r="H525" i="2"/>
  <c r="H526" i="2" a="1"/>
  <c r="H526" i="2"/>
  <c r="H527" i="2" a="1"/>
  <c r="H527" i="2"/>
  <c r="H528" i="2" a="1"/>
  <c r="H528" i="2"/>
  <c r="H529" i="2" a="1"/>
  <c r="H529" i="2"/>
  <c r="H530" i="2" a="1"/>
  <c r="H530" i="2"/>
  <c r="H531" i="2" a="1"/>
  <c r="H531" i="2"/>
  <c r="H532" i="2" a="1"/>
  <c r="H532" i="2"/>
  <c r="H533" i="2" a="1"/>
  <c r="H533" i="2"/>
  <c r="H534" i="2" a="1"/>
  <c r="H534" i="2"/>
  <c r="H535" i="2" a="1"/>
  <c r="H535" i="2"/>
  <c r="H536" i="2" a="1"/>
  <c r="H536" i="2"/>
  <c r="H537" i="2" a="1"/>
  <c r="H537" i="2"/>
  <c r="H538" i="2" a="1"/>
  <c r="H538" i="2"/>
  <c r="H539" i="2" a="1"/>
  <c r="H539" i="2"/>
  <c r="H540" i="2" a="1"/>
  <c r="H540" i="2"/>
  <c r="H541" i="2" a="1"/>
  <c r="H541" i="2"/>
  <c r="H542" i="2" a="1"/>
  <c r="H542" i="2"/>
  <c r="H543" i="2" a="1"/>
  <c r="H543" i="2"/>
  <c r="H544" i="2" a="1"/>
  <c r="H544" i="2"/>
  <c r="H545" i="2" a="1"/>
  <c r="H545" i="2"/>
  <c r="H546" i="2" a="1"/>
  <c r="H546" i="2"/>
  <c r="H547" i="2" a="1"/>
  <c r="H547" i="2"/>
  <c r="H548" i="2" a="1"/>
  <c r="H548" i="2"/>
  <c r="H549" i="2" a="1"/>
  <c r="H549" i="2"/>
  <c r="H550" i="2" a="1"/>
  <c r="H550" i="2"/>
  <c r="H551" i="2" a="1"/>
  <c r="H551" i="2"/>
  <c r="H552" i="2" a="1"/>
  <c r="H552" i="2"/>
  <c r="H553" i="2" a="1"/>
  <c r="H553" i="2"/>
  <c r="H554" i="2" a="1"/>
  <c r="H554" i="2"/>
  <c r="H555" i="2" a="1"/>
  <c r="H555" i="2"/>
  <c r="H556" i="2" a="1"/>
  <c r="H556" i="2"/>
  <c r="H557" i="2" a="1"/>
  <c r="H557" i="2"/>
  <c r="H558" i="2" a="1"/>
  <c r="H558" i="2"/>
  <c r="H559" i="2" a="1"/>
  <c r="H559" i="2"/>
  <c r="H560" i="2" a="1"/>
  <c r="H560" i="2"/>
  <c r="H561" i="2" a="1"/>
  <c r="H561" i="2"/>
  <c r="H562" i="2" a="1"/>
  <c r="H562" i="2"/>
  <c r="H563" i="2" a="1"/>
  <c r="H563" i="2"/>
  <c r="H564" i="2" a="1"/>
  <c r="H564" i="2"/>
  <c r="H565" i="2" a="1"/>
  <c r="H565" i="2"/>
  <c r="H566" i="2" a="1"/>
  <c r="H566" i="2"/>
  <c r="H567" i="2" a="1"/>
  <c r="H567" i="2"/>
  <c r="H568" i="2" a="1"/>
  <c r="H568" i="2"/>
  <c r="H569" i="2" a="1"/>
  <c r="H569" i="2"/>
  <c r="H570" i="2" a="1"/>
  <c r="H570" i="2"/>
  <c r="H571" i="2" a="1"/>
  <c r="H571" i="2"/>
  <c r="H572" i="2" a="1"/>
  <c r="H572" i="2"/>
  <c r="H573" i="2" a="1"/>
  <c r="H573" i="2"/>
  <c r="H574" i="2" a="1"/>
  <c r="H574" i="2"/>
  <c r="H575" i="2" a="1"/>
  <c r="H575" i="2"/>
  <c r="H576" i="2" a="1"/>
  <c r="H576" i="2"/>
  <c r="H577" i="2" a="1"/>
  <c r="H577" i="2"/>
  <c r="H578" i="2" a="1"/>
  <c r="H578" i="2"/>
  <c r="H579" i="2" a="1"/>
  <c r="H579" i="2"/>
  <c r="H580" i="2" a="1"/>
  <c r="H580" i="2"/>
  <c r="H581" i="2" a="1"/>
  <c r="H581" i="2"/>
  <c r="H582" i="2" a="1"/>
  <c r="H582" i="2"/>
  <c r="H583" i="2" a="1"/>
  <c r="H583" i="2"/>
  <c r="H584" i="2" a="1"/>
  <c r="H584" i="2"/>
  <c r="H585" i="2" a="1"/>
  <c r="H585" i="2"/>
  <c r="H586" i="2" a="1"/>
  <c r="H586" i="2"/>
  <c r="H587" i="2" a="1"/>
  <c r="H587" i="2"/>
  <c r="H588" i="2" a="1"/>
  <c r="H588" i="2"/>
  <c r="H589" i="2" a="1"/>
  <c r="H589" i="2"/>
  <c r="H590" i="2" a="1"/>
  <c r="H590" i="2"/>
  <c r="H591" i="2" a="1"/>
  <c r="H591" i="2"/>
  <c r="H592" i="2" a="1"/>
  <c r="H592" i="2"/>
  <c r="H593" i="2" a="1"/>
  <c r="H593" i="2"/>
  <c r="H594" i="2" a="1"/>
  <c r="H594" i="2"/>
  <c r="H595" i="2" a="1"/>
  <c r="H595" i="2"/>
  <c r="H596" i="2" a="1"/>
  <c r="H596" i="2"/>
  <c r="H597" i="2" a="1"/>
  <c r="H597" i="2"/>
  <c r="H598" i="2" a="1"/>
  <c r="H598" i="2"/>
  <c r="H599" i="2" a="1"/>
  <c r="H599" i="2"/>
  <c r="H600" i="2" a="1"/>
  <c r="H600" i="2"/>
  <c r="H601" i="2" a="1"/>
  <c r="H601" i="2"/>
  <c r="H602" i="2" a="1"/>
  <c r="H602" i="2"/>
  <c r="H603" i="2" a="1"/>
  <c r="H603" i="2"/>
  <c r="H604" i="2" a="1"/>
  <c r="H604" i="2"/>
  <c r="H605" i="2" a="1"/>
  <c r="H605" i="2"/>
  <c r="H606" i="2" a="1"/>
  <c r="H606" i="2"/>
  <c r="H607" i="2" a="1"/>
  <c r="H607" i="2"/>
  <c r="H608" i="2" a="1"/>
  <c r="H608" i="2"/>
  <c r="H609" i="2" a="1"/>
  <c r="H609" i="2"/>
  <c r="H610" i="2" a="1"/>
  <c r="H610" i="2"/>
  <c r="H611" i="2" a="1"/>
  <c r="H611" i="2"/>
  <c r="H612" i="2" a="1"/>
  <c r="H612" i="2"/>
  <c r="H613" i="2" a="1"/>
  <c r="H613" i="2"/>
  <c r="H614" i="2" a="1"/>
  <c r="H614" i="2"/>
  <c r="H615" i="2" a="1"/>
  <c r="H615" i="2"/>
  <c r="H616" i="2" a="1"/>
  <c r="H616" i="2"/>
  <c r="H617" i="2" a="1"/>
  <c r="H617" i="2"/>
  <c r="H618" i="2" a="1"/>
  <c r="H618" i="2"/>
  <c r="H619" i="2" a="1"/>
  <c r="H619" i="2"/>
  <c r="H620" i="2" a="1"/>
  <c r="H620" i="2"/>
  <c r="H621" i="2" a="1"/>
  <c r="H621" i="2"/>
  <c r="H622" i="2" a="1"/>
  <c r="H622" i="2"/>
  <c r="H623" i="2" a="1"/>
  <c r="H623" i="2"/>
  <c r="H624" i="2" a="1"/>
  <c r="H624" i="2"/>
  <c r="H625" i="2" a="1"/>
  <c r="H625" i="2"/>
  <c r="H626" i="2" a="1"/>
  <c r="H626" i="2"/>
  <c r="H627" i="2" a="1"/>
  <c r="H627" i="2"/>
  <c r="H628" i="2" a="1"/>
  <c r="H628" i="2"/>
  <c r="H629" i="2" a="1"/>
  <c r="H629" i="2"/>
  <c r="H630" i="2" a="1"/>
  <c r="H630" i="2"/>
  <c r="H631" i="2" a="1"/>
  <c r="H631" i="2"/>
  <c r="H632" i="2" a="1"/>
  <c r="H632" i="2"/>
  <c r="H633" i="2" a="1"/>
  <c r="H633" i="2"/>
  <c r="H634" i="2" a="1"/>
  <c r="H634" i="2"/>
  <c r="H635" i="2" a="1"/>
  <c r="H635" i="2"/>
  <c r="H636" i="2" a="1"/>
  <c r="H636" i="2"/>
  <c r="H637" i="2" a="1"/>
  <c r="H637" i="2"/>
  <c r="H638" i="2" a="1"/>
  <c r="H638" i="2"/>
  <c r="H639" i="2" a="1"/>
  <c r="H639" i="2"/>
  <c r="H640" i="2" a="1"/>
  <c r="H640" i="2"/>
  <c r="H641" i="2" a="1"/>
  <c r="H641" i="2"/>
  <c r="H642" i="2" a="1"/>
  <c r="H642" i="2"/>
  <c r="H643" i="2" a="1"/>
  <c r="H643" i="2"/>
  <c r="H644" i="2" a="1"/>
  <c r="H644" i="2"/>
  <c r="H645" i="2" a="1"/>
  <c r="H645" i="2"/>
  <c r="H646" i="2" a="1"/>
  <c r="H646" i="2"/>
  <c r="H647" i="2" a="1"/>
  <c r="H647" i="2"/>
  <c r="H648" i="2" a="1"/>
  <c r="H648" i="2"/>
  <c r="H649" i="2" a="1"/>
  <c r="H649" i="2"/>
  <c r="H650" i="2" a="1"/>
  <c r="H650" i="2"/>
  <c r="H651" i="2" a="1"/>
  <c r="H651" i="2"/>
  <c r="H652" i="2" a="1"/>
  <c r="H652" i="2"/>
  <c r="H653" i="2" a="1"/>
  <c r="H653" i="2"/>
  <c r="H654" i="2" a="1"/>
  <c r="H654" i="2"/>
  <c r="H655" i="2" a="1"/>
  <c r="H655" i="2"/>
  <c r="H656" i="2" a="1"/>
  <c r="H656" i="2"/>
  <c r="H657" i="2" a="1"/>
  <c r="H657" i="2"/>
  <c r="H658" i="2" a="1"/>
  <c r="H658" i="2"/>
  <c r="H659" i="2" a="1"/>
  <c r="H659" i="2"/>
  <c r="H660" i="2" a="1"/>
  <c r="H660" i="2"/>
  <c r="H661" i="2" a="1"/>
  <c r="H661" i="2"/>
  <c r="H662" i="2" a="1"/>
  <c r="H662" i="2"/>
  <c r="H663" i="2" a="1"/>
  <c r="H663" i="2"/>
  <c r="H664" i="2" a="1"/>
  <c r="H664" i="2"/>
  <c r="H665" i="2" a="1"/>
  <c r="H665" i="2"/>
  <c r="H666" i="2" a="1"/>
  <c r="H666" i="2"/>
  <c r="H667" i="2" a="1"/>
  <c r="H667" i="2"/>
  <c r="H668" i="2" a="1"/>
  <c r="H668" i="2"/>
  <c r="H669" i="2" a="1"/>
  <c r="H669" i="2"/>
  <c r="H670" i="2" a="1"/>
  <c r="H670" i="2"/>
  <c r="H671" i="2" a="1"/>
  <c r="H671" i="2"/>
  <c r="H672" i="2" a="1"/>
  <c r="H672" i="2"/>
  <c r="H673" i="2" a="1"/>
  <c r="H673" i="2"/>
  <c r="H674" i="2" a="1"/>
  <c r="H674" i="2"/>
  <c r="H675" i="2" a="1"/>
  <c r="H675" i="2"/>
  <c r="H676" i="2" a="1"/>
  <c r="H676" i="2"/>
  <c r="H677" i="2" a="1"/>
  <c r="H677" i="2"/>
  <c r="H678" i="2" a="1"/>
  <c r="H678" i="2"/>
  <c r="H679" i="2" a="1"/>
  <c r="H679" i="2"/>
  <c r="H680" i="2" a="1"/>
  <c r="H680" i="2"/>
  <c r="H681" i="2" a="1"/>
  <c r="H681" i="2"/>
  <c r="H682" i="2" a="1"/>
  <c r="H682" i="2"/>
  <c r="H683" i="2" a="1"/>
  <c r="H683" i="2"/>
  <c r="H684" i="2" a="1"/>
  <c r="H684" i="2"/>
  <c r="H685" i="2" a="1"/>
  <c r="H685" i="2"/>
  <c r="H686" i="2" a="1"/>
  <c r="H686" i="2"/>
  <c r="H687" i="2" a="1"/>
  <c r="H687" i="2"/>
  <c r="H688" i="2" a="1"/>
  <c r="H688" i="2"/>
  <c r="H689" i="2" a="1"/>
  <c r="H689" i="2"/>
  <c r="H690" i="2" a="1"/>
  <c r="H690" i="2"/>
  <c r="H691" i="2" a="1"/>
  <c r="H691" i="2"/>
  <c r="H692" i="2" a="1"/>
  <c r="H692" i="2"/>
  <c r="H693" i="2" a="1"/>
  <c r="H693" i="2"/>
  <c r="H694" i="2" a="1"/>
  <c r="H694" i="2"/>
  <c r="H695" i="2" a="1"/>
  <c r="H695" i="2"/>
  <c r="H696" i="2" a="1"/>
  <c r="H696" i="2"/>
  <c r="H697" i="2" a="1"/>
  <c r="H697" i="2"/>
  <c r="H698" i="2" a="1"/>
  <c r="H698" i="2"/>
  <c r="H699" i="2" a="1"/>
  <c r="H699" i="2"/>
  <c r="H700" i="2" a="1"/>
  <c r="H700" i="2"/>
  <c r="H701" i="2" a="1"/>
  <c r="H701" i="2"/>
  <c r="H702" i="2" a="1"/>
  <c r="H702" i="2"/>
  <c r="H703" i="2" a="1"/>
  <c r="H703" i="2"/>
  <c r="H704" i="2" a="1"/>
  <c r="H704" i="2"/>
  <c r="H705" i="2" a="1"/>
  <c r="H705" i="2"/>
  <c r="H706" i="2" a="1"/>
  <c r="H706" i="2"/>
  <c r="H707" i="2" a="1"/>
  <c r="H707" i="2"/>
  <c r="H708" i="2" a="1"/>
  <c r="H708" i="2"/>
  <c r="H709" i="2" a="1"/>
  <c r="H709" i="2"/>
  <c r="H710" i="2" a="1"/>
  <c r="H710" i="2"/>
  <c r="H711" i="2" a="1"/>
  <c r="H711" i="2"/>
  <c r="H712" i="2" a="1"/>
  <c r="H712" i="2"/>
  <c r="H713" i="2" a="1"/>
  <c r="H713" i="2"/>
  <c r="H714" i="2" a="1"/>
  <c r="H714" i="2"/>
  <c r="H715" i="2" a="1"/>
  <c r="H715" i="2"/>
  <c r="H716" i="2" a="1"/>
  <c r="H716" i="2"/>
  <c r="H717" i="2" a="1"/>
  <c r="H717" i="2"/>
  <c r="H718" i="2" a="1"/>
  <c r="H718" i="2"/>
  <c r="H719" i="2" a="1"/>
  <c r="H719" i="2"/>
  <c r="H720" i="2" a="1"/>
  <c r="H720" i="2"/>
  <c r="H721" i="2" a="1"/>
  <c r="H721" i="2"/>
  <c r="H722" i="2" a="1"/>
  <c r="H722" i="2"/>
  <c r="H723" i="2" a="1"/>
  <c r="H723" i="2"/>
  <c r="H724" i="2" a="1"/>
  <c r="H724" i="2"/>
  <c r="H725" i="2" a="1"/>
  <c r="H725" i="2"/>
  <c r="H726" i="2" a="1"/>
  <c r="H726" i="2"/>
  <c r="H727" i="2" a="1"/>
  <c r="H727" i="2"/>
  <c r="H728" i="2" a="1"/>
  <c r="H728" i="2"/>
  <c r="H729" i="2" a="1"/>
  <c r="H729" i="2"/>
  <c r="H730" i="2" a="1"/>
  <c r="H730" i="2"/>
  <c r="H731" i="2" a="1"/>
  <c r="H731" i="2"/>
  <c r="H732" i="2" a="1"/>
  <c r="H732" i="2"/>
  <c r="H733" i="2" a="1"/>
  <c r="H733" i="2"/>
  <c r="H734" i="2" a="1"/>
  <c r="H734" i="2"/>
  <c r="H735" i="2" a="1"/>
  <c r="H735" i="2"/>
  <c r="H736" i="2" a="1"/>
  <c r="H736" i="2"/>
  <c r="H737" i="2" a="1"/>
  <c r="H737" i="2"/>
  <c r="H738" i="2" a="1"/>
  <c r="H738" i="2"/>
  <c r="H739" i="2" a="1"/>
  <c r="H739" i="2"/>
  <c r="H740" i="2" a="1"/>
  <c r="H740" i="2"/>
  <c r="H741" i="2" a="1"/>
  <c r="H741" i="2"/>
  <c r="H742" i="2" a="1"/>
  <c r="H742" i="2"/>
  <c r="H743" i="2" a="1"/>
  <c r="H743" i="2"/>
  <c r="H744" i="2" a="1"/>
  <c r="H744" i="2"/>
  <c r="H745" i="2" a="1"/>
  <c r="H745" i="2"/>
  <c r="H746" i="2" a="1"/>
  <c r="H746" i="2"/>
  <c r="H747" i="2" a="1"/>
  <c r="H747" i="2"/>
  <c r="H748" i="2" a="1"/>
  <c r="H748" i="2"/>
  <c r="H749" i="2" a="1"/>
  <c r="H749" i="2"/>
  <c r="H750" i="2" a="1"/>
  <c r="H750" i="2"/>
  <c r="H751" i="2" a="1"/>
  <c r="H751" i="2"/>
  <c r="H752" i="2" a="1"/>
  <c r="H752" i="2"/>
  <c r="H753" i="2" a="1"/>
  <c r="H753" i="2"/>
  <c r="H754" i="2" a="1"/>
  <c r="H754" i="2"/>
  <c r="H755" i="2" a="1"/>
  <c r="H755" i="2"/>
  <c r="H756" i="2" a="1"/>
  <c r="H756" i="2"/>
  <c r="H757" i="2" a="1"/>
  <c r="H757" i="2"/>
  <c r="H758" i="2" a="1"/>
  <c r="H758" i="2"/>
  <c r="H759" i="2" a="1"/>
  <c r="H759" i="2"/>
  <c r="H760" i="2" a="1"/>
  <c r="H760" i="2"/>
  <c r="H761" i="2" a="1"/>
  <c r="H761" i="2"/>
  <c r="H762" i="2" a="1"/>
  <c r="H762" i="2"/>
  <c r="H763" i="2" a="1"/>
  <c r="H763" i="2"/>
  <c r="H764" i="2" a="1"/>
  <c r="H764" i="2"/>
  <c r="H765" i="2" a="1"/>
  <c r="H765" i="2"/>
  <c r="H766" i="2" a="1"/>
  <c r="H766" i="2"/>
  <c r="H767" i="2" a="1"/>
  <c r="H767" i="2"/>
  <c r="H768" i="2" a="1"/>
  <c r="H768" i="2"/>
  <c r="H769" i="2" a="1"/>
  <c r="H769" i="2"/>
  <c r="H770" i="2" a="1"/>
  <c r="H770" i="2"/>
  <c r="H771" i="2" a="1"/>
  <c r="H771" i="2"/>
  <c r="H772" i="2" a="1"/>
  <c r="H772" i="2"/>
  <c r="H773" i="2" a="1"/>
  <c r="H773" i="2"/>
  <c r="H774" i="2" a="1"/>
  <c r="H774" i="2"/>
  <c r="H775" i="2" a="1"/>
  <c r="H775" i="2"/>
  <c r="H776" i="2" a="1"/>
  <c r="H776" i="2"/>
  <c r="H777" i="2" a="1"/>
  <c r="H777" i="2"/>
  <c r="H778" i="2" a="1"/>
  <c r="H778" i="2"/>
  <c r="H779" i="2" a="1"/>
  <c r="H779" i="2"/>
  <c r="H780" i="2" a="1"/>
  <c r="H780" i="2"/>
  <c r="H781" i="2" a="1"/>
  <c r="H781" i="2"/>
  <c r="H782" i="2" a="1"/>
  <c r="H782" i="2"/>
  <c r="H783" i="2" a="1"/>
  <c r="H783" i="2"/>
  <c r="H784" i="2" a="1"/>
  <c r="H784" i="2"/>
  <c r="H785" i="2" a="1"/>
  <c r="H785" i="2"/>
  <c r="H786" i="2" a="1"/>
  <c r="H786" i="2"/>
  <c r="H787" i="2" a="1"/>
  <c r="H787" i="2"/>
  <c r="H788" i="2" a="1"/>
  <c r="H788" i="2"/>
  <c r="H789" i="2" a="1"/>
  <c r="H789" i="2"/>
  <c r="H790" i="2" a="1"/>
  <c r="H790" i="2"/>
  <c r="H791" i="2" a="1"/>
  <c r="H791" i="2"/>
  <c r="H792" i="2" a="1"/>
  <c r="H792" i="2"/>
  <c r="H793" i="2" a="1"/>
  <c r="H793" i="2"/>
  <c r="H794" i="2" a="1"/>
  <c r="H794" i="2"/>
  <c r="H795" i="2" a="1"/>
  <c r="H795" i="2"/>
  <c r="H796" i="2" a="1"/>
  <c r="H796" i="2"/>
  <c r="H797" i="2" a="1"/>
  <c r="H797" i="2"/>
  <c r="H798" i="2" a="1"/>
  <c r="H798" i="2"/>
  <c r="H799" i="2" a="1"/>
  <c r="H799" i="2"/>
  <c r="H800" i="2" a="1"/>
  <c r="H800" i="2"/>
  <c r="H801" i="2" a="1"/>
  <c r="H801" i="2"/>
  <c r="H802" i="2" a="1"/>
  <c r="H802" i="2"/>
  <c r="H803" i="2" a="1"/>
  <c r="H803" i="2"/>
  <c r="H804" i="2" a="1"/>
  <c r="H804" i="2"/>
  <c r="H805" i="2" a="1"/>
  <c r="H805" i="2"/>
  <c r="H806" i="2" a="1"/>
  <c r="H806" i="2"/>
  <c r="H807" i="2" a="1"/>
  <c r="H807" i="2"/>
  <c r="H808" i="2" a="1"/>
  <c r="H808" i="2"/>
  <c r="H809" i="2" a="1"/>
  <c r="H809" i="2"/>
  <c r="H810" i="2" a="1"/>
  <c r="H810" i="2"/>
  <c r="H811" i="2" a="1"/>
  <c r="H811" i="2"/>
  <c r="H812" i="2" a="1"/>
  <c r="H812" i="2"/>
  <c r="H813" i="2" a="1"/>
  <c r="H813" i="2"/>
  <c r="H814" i="2" a="1"/>
  <c r="H814" i="2"/>
  <c r="H815" i="2" a="1"/>
  <c r="H815" i="2"/>
  <c r="H816" i="2" a="1"/>
  <c r="H816" i="2"/>
  <c r="H817" i="2" a="1"/>
  <c r="H817" i="2"/>
  <c r="H818" i="2" a="1"/>
  <c r="H818" i="2"/>
  <c r="H819" i="2" a="1"/>
  <c r="H819" i="2"/>
  <c r="H820" i="2" a="1"/>
  <c r="H820" i="2"/>
  <c r="H821" i="2" a="1"/>
  <c r="H821" i="2"/>
  <c r="H822" i="2" a="1"/>
  <c r="H822" i="2"/>
  <c r="H823" i="2" a="1"/>
  <c r="H823" i="2"/>
  <c r="H824" i="2" a="1"/>
  <c r="H824" i="2"/>
  <c r="H825" i="2" a="1"/>
  <c r="H825" i="2"/>
  <c r="H826" i="2" a="1"/>
  <c r="H826" i="2"/>
  <c r="H827" i="2" a="1"/>
  <c r="H827" i="2"/>
  <c r="H828" i="2" a="1"/>
  <c r="H828" i="2"/>
  <c r="H829" i="2" a="1"/>
  <c r="H829" i="2"/>
  <c r="H830" i="2" a="1"/>
  <c r="H830" i="2"/>
  <c r="H831" i="2" a="1"/>
  <c r="H831" i="2"/>
  <c r="H832" i="2" a="1"/>
  <c r="H832" i="2"/>
  <c r="H833" i="2" a="1"/>
  <c r="H833" i="2"/>
  <c r="H834" i="2" a="1"/>
  <c r="H834" i="2"/>
  <c r="H835" i="2" a="1"/>
  <c r="H835" i="2"/>
  <c r="H836" i="2" a="1"/>
  <c r="H836" i="2"/>
  <c r="H837" i="2" a="1"/>
  <c r="H837" i="2"/>
  <c r="H838" i="2" a="1"/>
  <c r="H838" i="2"/>
  <c r="H839" i="2" a="1"/>
  <c r="H839" i="2"/>
  <c r="H840" i="2" a="1"/>
  <c r="H840" i="2"/>
  <c r="H841" i="2" a="1"/>
  <c r="H841" i="2"/>
  <c r="H842" i="2" a="1"/>
  <c r="H842" i="2"/>
  <c r="H843" i="2" a="1"/>
  <c r="H843" i="2"/>
  <c r="H844" i="2" a="1"/>
  <c r="H844" i="2"/>
  <c r="H845" i="2" a="1"/>
  <c r="H845" i="2"/>
  <c r="H846" i="2" a="1"/>
  <c r="H846" i="2"/>
  <c r="H847" i="2" a="1"/>
  <c r="H847" i="2"/>
  <c r="H848" i="2" a="1"/>
  <c r="H848" i="2"/>
  <c r="H849" i="2" a="1"/>
  <c r="H849" i="2"/>
  <c r="H850" i="2" a="1"/>
  <c r="H850" i="2"/>
  <c r="H851" i="2" a="1"/>
  <c r="H851" i="2"/>
  <c r="H852" i="2" a="1"/>
  <c r="H852" i="2"/>
  <c r="H853" i="2" a="1"/>
  <c r="H853" i="2"/>
  <c r="H854" i="2" a="1"/>
  <c r="H854" i="2"/>
  <c r="H855" i="2" a="1"/>
  <c r="H855" i="2"/>
  <c r="H856" i="2" a="1"/>
  <c r="H856" i="2"/>
  <c r="H857" i="2" a="1"/>
  <c r="H857" i="2"/>
  <c r="H858" i="2" a="1"/>
  <c r="H858" i="2"/>
  <c r="H859" i="2" a="1"/>
  <c r="H859" i="2"/>
  <c r="H860" i="2" a="1"/>
  <c r="H860" i="2"/>
  <c r="H861" i="2" a="1"/>
  <c r="H861" i="2"/>
  <c r="H862" i="2" a="1"/>
  <c r="H862" i="2"/>
  <c r="H863" i="2" a="1"/>
  <c r="H863" i="2"/>
  <c r="H864" i="2" a="1"/>
  <c r="H864" i="2"/>
  <c r="H865" i="2" a="1"/>
  <c r="H865" i="2"/>
  <c r="H866" i="2" a="1"/>
  <c r="H866" i="2"/>
  <c r="H867" i="2" a="1"/>
  <c r="H867" i="2"/>
  <c r="H868" i="2" a="1"/>
  <c r="H868" i="2"/>
  <c r="H869" i="2" a="1"/>
  <c r="H869" i="2"/>
  <c r="H870" i="2" a="1"/>
  <c r="H870" i="2"/>
  <c r="H871" i="2" a="1"/>
  <c r="H871" i="2"/>
  <c r="H872" i="2" a="1"/>
  <c r="H872" i="2"/>
  <c r="H873" i="2" a="1"/>
  <c r="H873" i="2"/>
  <c r="H874" i="2" a="1"/>
  <c r="H874" i="2"/>
  <c r="H875" i="2" a="1"/>
  <c r="H875" i="2"/>
  <c r="H876" i="2" a="1"/>
  <c r="H876" i="2"/>
  <c r="H877" i="2" a="1"/>
  <c r="H877" i="2"/>
  <c r="H878" i="2" a="1"/>
  <c r="H878" i="2"/>
  <c r="H879" i="2" a="1"/>
  <c r="H879" i="2"/>
  <c r="H880" i="2" a="1"/>
  <c r="H880" i="2"/>
  <c r="H881" i="2" a="1"/>
  <c r="H881" i="2"/>
  <c r="H882" i="2" a="1"/>
  <c r="H882" i="2"/>
  <c r="H883" i="2" a="1"/>
  <c r="H883" i="2"/>
  <c r="H884" i="2" a="1"/>
  <c r="H884" i="2"/>
  <c r="H885" i="2" a="1"/>
  <c r="H885" i="2"/>
  <c r="H886" i="2" a="1"/>
  <c r="H886" i="2"/>
  <c r="H887" i="2" a="1"/>
  <c r="H887" i="2"/>
  <c r="H888" i="2" a="1"/>
  <c r="H888" i="2"/>
  <c r="H889" i="2" a="1"/>
  <c r="H889" i="2"/>
  <c r="H890" i="2" a="1"/>
  <c r="H890" i="2"/>
  <c r="H891" i="2" a="1"/>
  <c r="H891" i="2"/>
  <c r="H892" i="2" a="1"/>
  <c r="H892" i="2"/>
  <c r="H893" i="2" a="1"/>
  <c r="H893" i="2"/>
  <c r="H894" i="2" a="1"/>
  <c r="H894" i="2"/>
  <c r="H895" i="2" a="1"/>
  <c r="H895" i="2"/>
  <c r="H896" i="2" a="1"/>
  <c r="H896" i="2"/>
  <c r="H897" i="2" a="1"/>
  <c r="H897" i="2"/>
  <c r="H898" i="2" a="1"/>
  <c r="H898" i="2"/>
  <c r="H899" i="2" a="1"/>
  <c r="H899" i="2"/>
  <c r="H900" i="2" a="1"/>
  <c r="H900" i="2"/>
  <c r="H901" i="2" a="1"/>
  <c r="H901" i="2"/>
  <c r="H902" i="2" a="1"/>
  <c r="H902" i="2"/>
  <c r="H903" i="2" a="1"/>
  <c r="H903" i="2"/>
  <c r="H904" i="2" a="1"/>
  <c r="H904" i="2"/>
  <c r="H905" i="2" a="1"/>
  <c r="H905" i="2"/>
  <c r="H906" i="2" a="1"/>
  <c r="H906" i="2"/>
  <c r="H907" i="2" a="1"/>
  <c r="H907" i="2"/>
  <c r="H908" i="2" a="1"/>
  <c r="H908" i="2"/>
  <c r="H909" i="2" a="1"/>
  <c r="H909" i="2"/>
  <c r="H910" i="2" a="1"/>
  <c r="H910" i="2"/>
  <c r="H911" i="2" a="1"/>
  <c r="H911" i="2"/>
  <c r="H912" i="2" a="1"/>
  <c r="H912" i="2"/>
  <c r="H913" i="2" a="1"/>
  <c r="H913" i="2"/>
  <c r="H914" i="2" a="1"/>
  <c r="H914" i="2"/>
  <c r="H915" i="2" a="1"/>
  <c r="H915" i="2"/>
  <c r="H916" i="2" a="1"/>
  <c r="H916" i="2"/>
  <c r="H917" i="2" a="1"/>
  <c r="H917" i="2"/>
  <c r="H918" i="2" a="1"/>
  <c r="H918" i="2"/>
  <c r="H919" i="2" a="1"/>
  <c r="H919" i="2"/>
  <c r="H920" i="2" a="1"/>
  <c r="H920" i="2"/>
  <c r="H921" i="2" a="1"/>
  <c r="H921" i="2"/>
  <c r="H922" i="2" a="1"/>
  <c r="H922" i="2"/>
  <c r="H923" i="2" a="1"/>
  <c r="H923" i="2"/>
  <c r="H924" i="2" a="1"/>
  <c r="H924" i="2"/>
  <c r="H925" i="2" a="1"/>
  <c r="H925" i="2"/>
  <c r="H926" i="2" a="1"/>
  <c r="H926" i="2"/>
  <c r="H927" i="2" a="1"/>
  <c r="H927" i="2"/>
  <c r="H928" i="2" a="1"/>
  <c r="H928" i="2"/>
  <c r="H929" i="2" a="1"/>
  <c r="H929" i="2"/>
  <c r="H930" i="2" a="1"/>
  <c r="H930" i="2"/>
  <c r="H931" i="2" a="1"/>
  <c r="H931" i="2"/>
  <c r="H932" i="2" a="1"/>
  <c r="H932" i="2"/>
  <c r="H933" i="2" a="1"/>
  <c r="H933" i="2"/>
  <c r="H934" i="2" a="1"/>
  <c r="H934" i="2"/>
  <c r="H935" i="2" a="1"/>
  <c r="H935" i="2"/>
  <c r="H936" i="2" a="1"/>
  <c r="H936" i="2"/>
  <c r="H937" i="2" a="1"/>
  <c r="H937" i="2"/>
  <c r="H938" i="2" a="1"/>
  <c r="H938" i="2"/>
  <c r="H939" i="2" a="1"/>
  <c r="H939" i="2"/>
  <c r="H940" i="2" a="1"/>
  <c r="H940" i="2"/>
  <c r="H941" i="2" a="1"/>
  <c r="H941" i="2"/>
  <c r="H942" i="2" a="1"/>
  <c r="H942" i="2"/>
  <c r="H943" i="2" a="1"/>
  <c r="H943" i="2"/>
  <c r="H944" i="2" a="1"/>
  <c r="H944" i="2"/>
  <c r="H945" i="2" a="1"/>
  <c r="H945" i="2"/>
  <c r="H946" i="2" a="1"/>
  <c r="H946" i="2"/>
  <c r="H947" i="2" a="1"/>
  <c r="H947" i="2"/>
  <c r="H948" i="2" a="1"/>
  <c r="H948" i="2"/>
  <c r="H949" i="2" a="1"/>
  <c r="H949" i="2"/>
  <c r="H950" i="2" a="1"/>
  <c r="H950" i="2"/>
  <c r="H951" i="2" a="1"/>
  <c r="H951" i="2"/>
  <c r="H952" i="2" a="1"/>
  <c r="H952" i="2"/>
  <c r="H953" i="2" a="1"/>
  <c r="H953" i="2"/>
  <c r="H954" i="2" a="1"/>
  <c r="H954" i="2"/>
  <c r="H955" i="2" a="1"/>
  <c r="H955" i="2"/>
  <c r="H956" i="2" a="1"/>
  <c r="H956" i="2"/>
  <c r="H957" i="2" a="1"/>
  <c r="H957" i="2"/>
  <c r="H958" i="2" a="1"/>
  <c r="H958" i="2"/>
  <c r="H959" i="2" a="1"/>
  <c r="H959" i="2"/>
  <c r="H960" i="2" a="1"/>
  <c r="H960" i="2"/>
  <c r="H961" i="2" a="1"/>
  <c r="H961" i="2"/>
  <c r="H962" i="2" a="1"/>
  <c r="H962" i="2"/>
  <c r="H963" i="2" a="1"/>
  <c r="H963" i="2"/>
  <c r="H964" i="2" a="1"/>
  <c r="H964" i="2"/>
  <c r="H965" i="2" a="1"/>
  <c r="H965" i="2"/>
  <c r="H966" i="2" a="1"/>
  <c r="H966" i="2"/>
  <c r="H967" i="2" a="1"/>
  <c r="H967" i="2"/>
  <c r="H968" i="2" a="1"/>
  <c r="H968" i="2"/>
  <c r="H969" i="2" a="1"/>
  <c r="H969" i="2"/>
  <c r="H970" i="2" a="1"/>
  <c r="H970" i="2"/>
  <c r="H971" i="2" a="1"/>
  <c r="H971" i="2"/>
  <c r="H972" i="2" a="1"/>
  <c r="H972" i="2"/>
  <c r="H973" i="2" a="1"/>
  <c r="H973" i="2"/>
  <c r="H974" i="2" a="1"/>
  <c r="H974" i="2"/>
  <c r="H975" i="2" a="1"/>
  <c r="H975" i="2"/>
  <c r="H976" i="2" a="1"/>
  <c r="H976" i="2"/>
  <c r="H977" i="2" a="1"/>
  <c r="H977" i="2"/>
  <c r="H978" i="2" a="1"/>
  <c r="H978" i="2"/>
  <c r="H979" i="2" a="1"/>
  <c r="H979" i="2"/>
  <c r="H980" i="2" a="1"/>
  <c r="H980" i="2"/>
  <c r="H981" i="2" a="1"/>
  <c r="H981" i="2"/>
  <c r="H982" i="2" a="1"/>
  <c r="H982" i="2"/>
  <c r="H983" i="2" a="1"/>
  <c r="H983" i="2"/>
  <c r="H984" i="2" a="1"/>
  <c r="H984" i="2"/>
  <c r="H985" i="2" a="1"/>
  <c r="H985" i="2"/>
  <c r="H986" i="2" a="1"/>
  <c r="H986" i="2"/>
  <c r="H987" i="2" a="1"/>
  <c r="H987" i="2"/>
  <c r="H988" i="2" a="1"/>
  <c r="H988" i="2"/>
  <c r="H989" i="2" a="1"/>
  <c r="H989" i="2"/>
  <c r="H990" i="2" a="1"/>
  <c r="H990" i="2"/>
  <c r="H991" i="2" a="1"/>
  <c r="H991" i="2"/>
  <c r="H992" i="2" a="1"/>
  <c r="H992" i="2"/>
  <c r="H993" i="2" a="1"/>
  <c r="H993" i="2"/>
  <c r="H994" i="2" a="1"/>
  <c r="H994" i="2"/>
  <c r="H995" i="2" a="1"/>
  <c r="H995" i="2"/>
  <c r="H996" i="2" a="1"/>
  <c r="H996" i="2"/>
  <c r="H997" i="2" a="1"/>
  <c r="H997" i="2"/>
  <c r="H998" i="2" a="1"/>
  <c r="H998" i="2"/>
  <c r="H999" i="2" a="1"/>
  <c r="H999" i="2"/>
  <c r="H1000" i="2" a="1"/>
  <c r="H1000" i="2"/>
  <c r="H1001" i="2" a="1"/>
  <c r="H1001" i="2"/>
  <c r="H1002" i="2" a="1"/>
  <c r="H1002" i="2"/>
  <c r="H1003" i="2" a="1"/>
  <c r="H1003" i="2"/>
  <c r="H1004" i="2" a="1"/>
  <c r="H1004" i="2"/>
  <c r="H1005" i="2" a="1"/>
  <c r="H1005" i="2"/>
  <c r="H1006" i="2" a="1"/>
  <c r="H1006" i="2"/>
  <c r="H1007" i="2" a="1"/>
  <c r="H1007" i="2"/>
  <c r="H1008" i="2" a="1"/>
  <c r="H1008" i="2"/>
  <c r="H1009" i="2" a="1"/>
  <c r="H1009" i="2"/>
  <c r="H1010" i="2" a="1"/>
  <c r="H1010" i="2"/>
  <c r="H1011" i="2" a="1"/>
  <c r="H1011" i="2"/>
  <c r="H1012" i="2" a="1"/>
  <c r="H1012" i="2"/>
  <c r="H1013" i="2" a="1"/>
  <c r="H1013" i="2"/>
  <c r="H1014" i="2" a="1"/>
  <c r="H1014" i="2"/>
  <c r="H1015" i="2" a="1"/>
  <c r="H1015" i="2"/>
  <c r="H1016" i="2" a="1"/>
  <c r="H1016" i="2"/>
  <c r="H1017" i="2" a="1"/>
  <c r="H1017" i="2"/>
  <c r="H1018" i="2" a="1"/>
  <c r="H1018" i="2"/>
  <c r="H1019" i="2" a="1"/>
  <c r="H1019" i="2"/>
  <c r="H1020" i="2" a="1"/>
  <c r="H1020" i="2"/>
  <c r="H1021" i="2" a="1"/>
  <c r="H1021" i="2"/>
  <c r="H1022" i="2" a="1"/>
  <c r="H1022" i="2"/>
  <c r="H1023" i="2" a="1"/>
  <c r="H1023" i="2"/>
  <c r="H1024" i="2" a="1"/>
  <c r="H1024" i="2"/>
  <c r="H1025" i="2" a="1"/>
  <c r="H1025" i="2"/>
  <c r="H1026" i="2" a="1"/>
  <c r="H1026" i="2"/>
  <c r="H1027" i="2" a="1"/>
  <c r="H1027" i="2"/>
  <c r="H1028" i="2" a="1"/>
  <c r="H1028" i="2"/>
  <c r="H1029" i="2" a="1"/>
  <c r="H1029" i="2"/>
  <c r="H1030" i="2" a="1"/>
  <c r="H1030" i="2"/>
  <c r="H1031" i="2" a="1"/>
  <c r="H1031" i="2"/>
  <c r="H1032" i="2" a="1"/>
  <c r="H1032" i="2"/>
  <c r="H1033" i="2" a="1"/>
  <c r="H1033" i="2"/>
  <c r="H1034" i="2" a="1"/>
  <c r="H1034" i="2"/>
  <c r="H1035" i="2" a="1"/>
  <c r="H1035" i="2"/>
  <c r="H1036" i="2" a="1"/>
  <c r="H1036" i="2"/>
  <c r="H1037" i="2" a="1"/>
  <c r="H1037" i="2"/>
  <c r="H1038" i="2" a="1"/>
  <c r="H1038" i="2"/>
  <c r="H1039" i="2" a="1"/>
  <c r="H1039" i="2"/>
  <c r="H1040" i="2" a="1"/>
  <c r="H1040" i="2"/>
  <c r="H1041" i="2" a="1"/>
  <c r="H1041" i="2"/>
  <c r="H1042" i="2" a="1"/>
  <c r="H1042" i="2"/>
  <c r="H1043" i="2" a="1"/>
  <c r="H1043" i="2"/>
  <c r="H1044" i="2" a="1"/>
  <c r="H1044" i="2"/>
  <c r="H1045" i="2" a="1"/>
  <c r="H1045" i="2"/>
  <c r="H1046" i="2" a="1"/>
  <c r="H1046" i="2"/>
  <c r="H1047" i="2" a="1"/>
  <c r="H1047" i="2"/>
  <c r="H1048" i="2" a="1"/>
  <c r="H1048" i="2"/>
  <c r="H1049" i="2" a="1"/>
  <c r="H1049" i="2"/>
  <c r="H1050" i="2" a="1"/>
  <c r="H1050" i="2"/>
  <c r="H1051" i="2" a="1"/>
  <c r="H1051" i="2"/>
  <c r="H1052" i="2" a="1"/>
  <c r="H1052" i="2"/>
  <c r="H1053" i="2" a="1"/>
  <c r="H1053" i="2"/>
  <c r="H1054" i="2" a="1"/>
  <c r="H1054" i="2"/>
  <c r="H1055" i="2" a="1"/>
  <c r="H1055" i="2"/>
  <c r="H1056" i="2" a="1"/>
  <c r="H1056" i="2"/>
  <c r="H1057" i="2" a="1"/>
  <c r="H1057" i="2"/>
  <c r="H1058" i="2" a="1"/>
  <c r="H1058" i="2"/>
  <c r="H1059" i="2" a="1"/>
  <c r="H1059" i="2"/>
  <c r="H1060" i="2" a="1"/>
  <c r="H1060" i="2"/>
  <c r="H1061" i="2" a="1"/>
  <c r="H1061" i="2"/>
  <c r="H1062" i="2" a="1"/>
  <c r="H1062" i="2"/>
  <c r="H1063" i="2" a="1"/>
  <c r="H1063" i="2"/>
  <c r="H1064" i="2" a="1"/>
  <c r="H1064" i="2"/>
  <c r="H1065" i="2" a="1"/>
  <c r="H1065" i="2"/>
  <c r="H1066" i="2" a="1"/>
  <c r="H1066" i="2"/>
  <c r="H1067" i="2" a="1"/>
  <c r="H1067" i="2"/>
  <c r="H1068" i="2" a="1"/>
  <c r="H1068" i="2"/>
  <c r="H1069" i="2" a="1"/>
  <c r="H1069" i="2"/>
  <c r="H1070" i="2" a="1"/>
  <c r="H1070" i="2"/>
  <c r="H1071" i="2" a="1"/>
  <c r="H1071" i="2"/>
  <c r="H1072" i="2" a="1"/>
  <c r="H1072" i="2"/>
  <c r="H1073" i="2" a="1"/>
  <c r="H1073" i="2"/>
  <c r="H1074" i="2" a="1"/>
  <c r="H1074" i="2"/>
  <c r="H1075" i="2" a="1"/>
  <c r="H1075" i="2"/>
  <c r="H1076" i="2" a="1"/>
  <c r="H1076" i="2"/>
  <c r="H1077" i="2" a="1"/>
  <c r="H1077" i="2"/>
  <c r="H1078" i="2" a="1"/>
  <c r="H1078" i="2"/>
  <c r="H1079" i="2" a="1"/>
  <c r="H1079" i="2"/>
  <c r="H1080" i="2" a="1"/>
  <c r="H1080" i="2"/>
  <c r="H1081" i="2" a="1"/>
  <c r="H1081" i="2"/>
  <c r="H1082" i="2" a="1"/>
  <c r="H1082" i="2"/>
  <c r="H1083" i="2" a="1"/>
  <c r="H1083" i="2"/>
  <c r="H1084" i="2" a="1"/>
  <c r="H1084" i="2"/>
  <c r="H1085" i="2" a="1"/>
  <c r="H1085" i="2"/>
  <c r="H1086" i="2" a="1"/>
  <c r="H1086" i="2"/>
  <c r="H1087" i="2" a="1"/>
  <c r="H1087" i="2"/>
  <c r="H1088" i="2" a="1"/>
  <c r="H1088" i="2"/>
  <c r="H1089" i="2" a="1"/>
  <c r="H1089" i="2"/>
  <c r="H1090" i="2" a="1"/>
  <c r="H1090" i="2"/>
  <c r="H1091" i="2" a="1"/>
  <c r="H1091" i="2"/>
  <c r="H1092" i="2" a="1"/>
  <c r="H1092" i="2"/>
  <c r="H1093" i="2" a="1"/>
  <c r="H1093" i="2"/>
  <c r="H1094" i="2" a="1"/>
  <c r="H1094" i="2"/>
  <c r="H1095" i="2" a="1"/>
  <c r="H1095" i="2"/>
  <c r="H1096" i="2" a="1"/>
  <c r="H1096" i="2"/>
  <c r="H1097" i="2" a="1"/>
  <c r="H1097" i="2"/>
  <c r="H1098" i="2" a="1"/>
  <c r="H1098" i="2"/>
  <c r="H1099" i="2" a="1"/>
  <c r="H1099" i="2"/>
  <c r="H1100" i="2" a="1"/>
  <c r="H1100" i="2"/>
  <c r="H1101" i="2" a="1"/>
  <c r="H1101" i="2"/>
  <c r="H1102" i="2" a="1"/>
  <c r="H1102" i="2"/>
  <c r="H1103" i="2" a="1"/>
  <c r="H1103" i="2"/>
  <c r="H1104" i="2" a="1"/>
  <c r="H1104" i="2"/>
  <c r="H1105" i="2" a="1"/>
  <c r="H1105" i="2"/>
  <c r="H1106" i="2" a="1"/>
  <c r="H1106" i="2"/>
  <c r="H1107" i="2" a="1"/>
  <c r="H1107" i="2"/>
  <c r="H1108" i="2" a="1"/>
  <c r="H1108" i="2"/>
  <c r="H1109" i="2" a="1"/>
  <c r="H1109" i="2"/>
  <c r="H1110" i="2" a="1"/>
  <c r="H1110" i="2"/>
  <c r="H1111" i="2" a="1"/>
  <c r="H1111" i="2"/>
  <c r="H1112" i="2" a="1"/>
  <c r="H1112" i="2"/>
  <c r="H1113" i="2" a="1"/>
  <c r="H1113" i="2"/>
  <c r="H1114" i="2" a="1"/>
  <c r="H1114" i="2"/>
  <c r="H1115" i="2" a="1"/>
  <c r="H1115" i="2"/>
  <c r="H1116" i="2" a="1"/>
  <c r="H1116" i="2"/>
  <c r="H1117" i="2" a="1"/>
  <c r="H1117" i="2"/>
  <c r="H1118" i="2" a="1"/>
  <c r="H1118" i="2"/>
  <c r="H1119" i="2" a="1"/>
  <c r="H1119" i="2"/>
  <c r="H1120" i="2" a="1"/>
  <c r="H1120" i="2"/>
  <c r="H1121" i="2" a="1"/>
  <c r="H1121" i="2"/>
  <c r="H1122" i="2" a="1"/>
  <c r="H1122" i="2"/>
  <c r="H1123" i="2" a="1"/>
  <c r="H1123" i="2"/>
  <c r="H1124" i="2" a="1"/>
  <c r="H1124" i="2"/>
  <c r="H1125" i="2" a="1"/>
  <c r="H1125" i="2"/>
  <c r="H1126" i="2" a="1"/>
  <c r="H1126" i="2"/>
  <c r="H1127" i="2" a="1"/>
  <c r="H1127" i="2"/>
  <c r="H1128" i="2" a="1"/>
  <c r="H1128" i="2"/>
  <c r="H1129" i="2" a="1"/>
  <c r="H1129" i="2"/>
  <c r="H1130" i="2" a="1"/>
  <c r="H1130" i="2"/>
  <c r="H1131" i="2" a="1"/>
  <c r="H1131" i="2"/>
  <c r="H1132" i="2" a="1"/>
  <c r="H1132" i="2"/>
  <c r="H1133" i="2" a="1"/>
  <c r="H1133" i="2"/>
  <c r="H1134" i="2" a="1"/>
  <c r="H1134" i="2"/>
  <c r="H1135" i="2" a="1"/>
  <c r="H1135" i="2"/>
  <c r="H1136" i="2" a="1"/>
  <c r="H1136" i="2"/>
  <c r="H1137" i="2" a="1"/>
  <c r="H1137" i="2"/>
  <c r="H1138" i="2" a="1"/>
  <c r="H1138" i="2"/>
  <c r="H1139" i="2" a="1"/>
  <c r="H1139" i="2"/>
  <c r="H1140" i="2" a="1"/>
  <c r="H1140" i="2"/>
  <c r="H1141" i="2" a="1"/>
  <c r="H1141" i="2"/>
  <c r="H1142" i="2" a="1"/>
  <c r="H1142" i="2"/>
  <c r="H1143" i="2" a="1"/>
  <c r="H1143" i="2"/>
  <c r="H1144" i="2" a="1"/>
  <c r="H1144" i="2"/>
  <c r="H1145" i="2" a="1"/>
  <c r="H1145" i="2"/>
  <c r="H1146" i="2" a="1"/>
  <c r="H1146" i="2"/>
  <c r="H1147" i="2" a="1"/>
  <c r="H1147" i="2"/>
  <c r="H1148" i="2" a="1"/>
  <c r="H1148" i="2"/>
  <c r="H1149" i="2" a="1"/>
  <c r="H1149" i="2"/>
  <c r="H1150" i="2" a="1"/>
  <c r="H1150" i="2"/>
  <c r="H1151" i="2" a="1"/>
  <c r="H1151" i="2"/>
  <c r="H1152" i="2" a="1"/>
  <c r="H1152" i="2"/>
  <c r="H1153" i="2" a="1"/>
  <c r="H1153" i="2"/>
  <c r="H1154" i="2" a="1"/>
  <c r="H1154" i="2"/>
  <c r="H1155" i="2" a="1"/>
  <c r="H1155" i="2"/>
  <c r="H1156" i="2" a="1"/>
  <c r="H1156" i="2"/>
  <c r="H1157" i="2" a="1"/>
  <c r="H1157" i="2"/>
  <c r="H1158" i="2" a="1"/>
  <c r="H1158" i="2"/>
  <c r="H1159" i="2" a="1"/>
  <c r="H1159" i="2"/>
  <c r="H1160" i="2" a="1"/>
  <c r="H1160" i="2"/>
  <c r="H1161" i="2" a="1"/>
  <c r="H1161" i="2"/>
  <c r="H1162" i="2" a="1"/>
  <c r="H1162" i="2"/>
  <c r="H1163" i="2" a="1"/>
  <c r="H1163" i="2"/>
  <c r="H1164" i="2" a="1"/>
  <c r="H1164" i="2"/>
  <c r="H1165" i="2" a="1"/>
  <c r="H1165" i="2"/>
  <c r="H1166" i="2" a="1"/>
  <c r="H1166" i="2"/>
  <c r="H1167" i="2" a="1"/>
  <c r="H1167" i="2"/>
  <c r="H1168" i="2" a="1"/>
  <c r="H1168" i="2"/>
  <c r="H1169" i="2" a="1"/>
  <c r="H1169" i="2"/>
  <c r="H1170" i="2" a="1"/>
  <c r="H1170" i="2"/>
  <c r="H1171" i="2" a="1"/>
  <c r="H1171" i="2"/>
  <c r="H1172" i="2" a="1"/>
  <c r="H1172" i="2"/>
  <c r="H1173" i="2" a="1"/>
  <c r="H1173" i="2"/>
  <c r="H1174" i="2" a="1"/>
  <c r="H1174" i="2"/>
  <c r="H1175" i="2" a="1"/>
  <c r="H1175" i="2"/>
  <c r="H1176" i="2" a="1"/>
  <c r="H1176" i="2"/>
  <c r="H1177" i="2" a="1"/>
  <c r="H1177" i="2"/>
  <c r="H1178" i="2" a="1"/>
  <c r="H1178" i="2"/>
  <c r="H1179" i="2" a="1"/>
  <c r="H1179" i="2"/>
  <c r="H1180" i="2" a="1"/>
  <c r="H1180" i="2"/>
  <c r="H1181" i="2" a="1"/>
  <c r="H1181" i="2"/>
  <c r="H1182" i="2" a="1"/>
  <c r="H1182" i="2"/>
  <c r="H1183" i="2" a="1"/>
  <c r="H1183" i="2"/>
  <c r="H1184" i="2" a="1"/>
  <c r="H1184" i="2"/>
  <c r="H1185" i="2" a="1"/>
  <c r="H1185" i="2"/>
  <c r="H1186" i="2" a="1"/>
  <c r="H1186" i="2"/>
  <c r="H1187" i="2" a="1"/>
  <c r="H1187" i="2"/>
  <c r="H1188" i="2" a="1"/>
  <c r="H1188" i="2"/>
  <c r="H1189" i="2" a="1"/>
  <c r="H1189" i="2"/>
  <c r="H1190" i="2" a="1"/>
  <c r="H1190" i="2"/>
  <c r="H1191" i="2" a="1"/>
  <c r="H1191" i="2"/>
  <c r="H1192" i="2" a="1"/>
  <c r="H1192" i="2"/>
  <c r="H1193" i="2" a="1"/>
  <c r="H1193" i="2"/>
  <c r="H1194" i="2" a="1"/>
  <c r="H1194" i="2"/>
  <c r="H1195" i="2" a="1"/>
  <c r="H1195" i="2"/>
  <c r="H1196" i="2" a="1"/>
  <c r="H1196" i="2"/>
  <c r="H1197" i="2" a="1"/>
  <c r="H1197" i="2"/>
  <c r="H1198" i="2" a="1"/>
  <c r="H1198" i="2"/>
  <c r="H1199" i="2" a="1"/>
  <c r="H1199" i="2"/>
  <c r="H1200" i="2" a="1"/>
  <c r="H1200" i="2"/>
  <c r="H1201" i="2" a="1"/>
  <c r="H1201" i="2"/>
  <c r="H1202" i="2" a="1"/>
  <c r="H1202" i="2"/>
  <c r="H1203" i="2" a="1"/>
  <c r="H1203" i="2"/>
  <c r="H1204" i="2" a="1"/>
  <c r="H1204" i="2"/>
  <c r="H1205" i="2" a="1"/>
  <c r="H1205" i="2"/>
  <c r="H1206" i="2" a="1"/>
  <c r="H1206" i="2"/>
  <c r="H1207" i="2" a="1"/>
  <c r="H1207" i="2"/>
  <c r="H1208" i="2" a="1"/>
  <c r="H1208" i="2"/>
  <c r="H1209" i="2" a="1"/>
  <c r="H1209" i="2"/>
  <c r="H1210" i="2" a="1"/>
  <c r="H1210" i="2"/>
  <c r="H1211" i="2" a="1"/>
  <c r="H1211" i="2"/>
  <c r="H1212" i="2" a="1"/>
  <c r="H1212" i="2"/>
  <c r="H1213" i="2" a="1"/>
  <c r="H1213" i="2"/>
  <c r="H1214" i="2" a="1"/>
  <c r="H1214" i="2"/>
  <c r="H1215" i="2" a="1"/>
  <c r="H1215" i="2"/>
  <c r="H1216" i="2" a="1"/>
  <c r="H1216" i="2"/>
  <c r="H1217" i="2" a="1"/>
  <c r="H1217" i="2"/>
  <c r="H1218" i="2" a="1"/>
  <c r="H1218" i="2"/>
  <c r="H1219" i="2" a="1"/>
  <c r="H1219" i="2"/>
  <c r="H1220" i="2" a="1"/>
  <c r="H1220" i="2"/>
  <c r="H1221" i="2" a="1"/>
  <c r="H1221" i="2"/>
  <c r="H1222" i="2" a="1"/>
  <c r="H1222" i="2"/>
  <c r="H1223" i="2" a="1"/>
  <c r="H1223" i="2"/>
  <c r="H1224" i="2" a="1"/>
  <c r="H1224" i="2"/>
  <c r="H1225" i="2" a="1"/>
  <c r="H1225" i="2"/>
  <c r="H1226" i="2" a="1"/>
  <c r="H1226" i="2"/>
  <c r="H1227" i="2" a="1"/>
  <c r="H1227" i="2"/>
  <c r="H1228" i="2" a="1"/>
  <c r="H1228" i="2"/>
  <c r="H1229" i="2" a="1"/>
  <c r="H1229" i="2"/>
  <c r="H1230" i="2" a="1"/>
  <c r="H1230" i="2"/>
  <c r="H1231" i="2" a="1"/>
  <c r="H1231" i="2"/>
  <c r="H1232" i="2" a="1"/>
  <c r="H1232" i="2"/>
  <c r="H1233" i="2" a="1"/>
  <c r="H1233" i="2"/>
  <c r="H1234" i="2" a="1"/>
  <c r="H1234" i="2"/>
  <c r="H1235" i="2" a="1"/>
  <c r="H1235" i="2"/>
  <c r="H1236" i="2" a="1"/>
  <c r="H1236" i="2"/>
  <c r="H1237" i="2" a="1"/>
  <c r="H1237" i="2"/>
  <c r="H1238" i="2" a="1"/>
  <c r="H1238" i="2"/>
  <c r="H1239" i="2" a="1"/>
  <c r="H1239" i="2"/>
  <c r="H1240" i="2" a="1"/>
  <c r="H1240" i="2"/>
  <c r="H1241" i="2" a="1"/>
  <c r="H1241" i="2"/>
  <c r="H1242" i="2" a="1"/>
  <c r="H1242" i="2"/>
  <c r="H1243" i="2" a="1"/>
  <c r="H1243" i="2"/>
  <c r="H1244" i="2" a="1"/>
  <c r="H1244" i="2"/>
  <c r="H1245" i="2" a="1"/>
  <c r="H1245" i="2"/>
  <c r="H1246" i="2" a="1"/>
  <c r="H1246" i="2"/>
  <c r="H1247" i="2" a="1"/>
  <c r="H1247" i="2"/>
  <c r="H1248" i="2" a="1"/>
  <c r="H1248" i="2"/>
  <c r="H1249" i="2" a="1"/>
  <c r="H1249" i="2"/>
  <c r="H1250" i="2" a="1"/>
  <c r="H1250" i="2"/>
  <c r="H1251" i="2" a="1"/>
  <c r="H1251" i="2"/>
  <c r="H1252" i="2" a="1"/>
  <c r="H1252" i="2"/>
  <c r="H1253" i="2" a="1"/>
  <c r="H1253" i="2"/>
  <c r="H1254" i="2" a="1"/>
  <c r="H1254" i="2"/>
  <c r="H1255" i="2" a="1"/>
  <c r="H1255" i="2"/>
  <c r="H1256" i="2" a="1"/>
  <c r="H1256" i="2"/>
  <c r="H1257" i="2" a="1"/>
  <c r="H1257" i="2"/>
  <c r="H1258" i="2" a="1"/>
  <c r="H1258" i="2"/>
  <c r="H1259" i="2" a="1"/>
  <c r="H1259" i="2"/>
  <c r="H1260" i="2" a="1"/>
  <c r="H1260" i="2"/>
  <c r="H1261" i="2" a="1"/>
  <c r="H1261" i="2"/>
  <c r="H1262" i="2" a="1"/>
  <c r="H1262" i="2"/>
  <c r="H1263" i="2" a="1"/>
  <c r="H1263" i="2"/>
  <c r="H1264" i="2" a="1"/>
  <c r="H1264" i="2"/>
  <c r="H1265" i="2" a="1"/>
  <c r="H1265" i="2"/>
  <c r="H1266" i="2" a="1"/>
  <c r="H1266" i="2"/>
  <c r="H1267" i="2" a="1"/>
  <c r="H1267" i="2"/>
  <c r="H1268" i="2" a="1"/>
  <c r="H1268" i="2"/>
  <c r="H1269" i="2" a="1"/>
  <c r="H1269" i="2"/>
  <c r="H1270" i="2" a="1"/>
  <c r="H1270" i="2"/>
  <c r="H1271" i="2" a="1"/>
  <c r="H1271" i="2"/>
  <c r="H1272" i="2" a="1"/>
  <c r="H1272" i="2"/>
  <c r="H1273" i="2" a="1"/>
  <c r="H1273" i="2"/>
  <c r="H1274" i="2" a="1"/>
  <c r="H1274" i="2"/>
  <c r="H1275" i="2" a="1"/>
  <c r="H1275" i="2"/>
  <c r="H1276" i="2" a="1"/>
  <c r="H1276" i="2"/>
  <c r="H1277" i="2" a="1"/>
  <c r="H1277" i="2"/>
  <c r="H1278" i="2" a="1"/>
  <c r="H1278" i="2"/>
  <c r="H1279" i="2" a="1"/>
  <c r="H1279" i="2"/>
  <c r="H1280" i="2" a="1"/>
  <c r="H1280" i="2"/>
  <c r="H1281" i="2" a="1"/>
  <c r="H1281" i="2"/>
  <c r="H1282" i="2" a="1"/>
  <c r="H1282" i="2"/>
  <c r="H1283" i="2" a="1"/>
  <c r="H1283" i="2"/>
  <c r="H1284" i="2" a="1"/>
  <c r="H1284" i="2"/>
  <c r="H1285" i="2" a="1"/>
  <c r="H1285" i="2"/>
  <c r="H1286" i="2" a="1"/>
  <c r="H1286" i="2"/>
  <c r="H1287" i="2" a="1"/>
  <c r="H1287" i="2"/>
  <c r="H1288" i="2" a="1"/>
  <c r="H1288" i="2"/>
  <c r="H1289" i="2" a="1"/>
  <c r="H1289" i="2"/>
  <c r="H1290" i="2" a="1"/>
  <c r="H1290" i="2"/>
  <c r="H1291" i="2" a="1"/>
  <c r="H1291" i="2"/>
  <c r="H1292" i="2" a="1"/>
  <c r="H1292" i="2"/>
  <c r="H1293" i="2" a="1"/>
  <c r="H1293" i="2"/>
  <c r="H1294" i="2" a="1"/>
  <c r="H1294" i="2"/>
  <c r="H1295" i="2" a="1"/>
  <c r="H1295" i="2"/>
  <c r="H1296" i="2" a="1"/>
  <c r="H1296" i="2"/>
  <c r="H1297" i="2" a="1"/>
  <c r="H1297" i="2"/>
  <c r="H1298" i="2" a="1"/>
  <c r="H1298" i="2"/>
  <c r="H1299" i="2" a="1"/>
  <c r="H1299" i="2"/>
  <c r="H1300" i="2" a="1"/>
  <c r="H1300" i="2"/>
  <c r="H1301" i="2" a="1"/>
  <c r="H1301" i="2"/>
  <c r="H1302" i="2" a="1"/>
  <c r="H1302" i="2"/>
  <c r="H1303" i="2" a="1"/>
  <c r="H1303" i="2"/>
  <c r="H1304" i="2" a="1"/>
  <c r="H1304" i="2"/>
  <c r="H1305" i="2" a="1"/>
  <c r="H1305" i="2"/>
  <c r="H1306" i="2" a="1"/>
  <c r="H1306" i="2"/>
  <c r="H1307" i="2" a="1"/>
  <c r="H1307" i="2"/>
  <c r="H1308" i="2" a="1"/>
  <c r="H1308" i="2"/>
  <c r="H1309" i="2" a="1"/>
  <c r="H1309" i="2"/>
  <c r="H1310" i="2" a="1"/>
  <c r="H1310" i="2"/>
  <c r="H1311" i="2" a="1"/>
  <c r="H1311" i="2"/>
  <c r="H1312" i="2" a="1"/>
  <c r="H1312" i="2"/>
  <c r="H1313" i="2" a="1"/>
  <c r="H1313" i="2"/>
  <c r="H1314" i="2" a="1"/>
  <c r="H1314" i="2"/>
  <c r="H1315" i="2" a="1"/>
  <c r="H1315" i="2"/>
  <c r="H1316" i="2" a="1"/>
  <c r="H1316" i="2"/>
  <c r="H1317" i="2" a="1"/>
  <c r="H1317" i="2"/>
  <c r="H1318" i="2" a="1"/>
  <c r="H1318" i="2"/>
  <c r="H1319" i="2" a="1"/>
  <c r="H1319" i="2"/>
  <c r="H1320" i="2" a="1"/>
  <c r="H1320" i="2"/>
  <c r="H1321" i="2" a="1"/>
  <c r="H1321" i="2"/>
  <c r="H1322" i="2" a="1"/>
  <c r="H1322" i="2"/>
  <c r="H1323" i="2" a="1"/>
  <c r="H1323" i="2"/>
  <c r="H1324" i="2" a="1"/>
  <c r="H1324" i="2"/>
  <c r="H1325" i="2" a="1"/>
  <c r="H1325" i="2"/>
  <c r="H1326" i="2" a="1"/>
  <c r="H1326" i="2"/>
  <c r="H1327" i="2" a="1"/>
  <c r="H1327" i="2"/>
  <c r="H1328" i="2" a="1"/>
  <c r="H1328" i="2"/>
  <c r="H1329" i="2" a="1"/>
  <c r="H1329" i="2"/>
  <c r="H1330" i="2" a="1"/>
  <c r="H1330" i="2"/>
  <c r="H1331" i="2" a="1"/>
  <c r="H1331" i="2"/>
  <c r="H1332" i="2" a="1"/>
  <c r="H1332" i="2"/>
  <c r="H1333" i="2" a="1"/>
  <c r="H1333" i="2"/>
  <c r="H1334" i="2" a="1"/>
  <c r="H1334" i="2"/>
  <c r="H1335" i="2" a="1"/>
  <c r="H1335" i="2"/>
  <c r="H1336" i="2" a="1"/>
  <c r="H1336" i="2"/>
  <c r="H1337" i="2" a="1"/>
  <c r="H1337" i="2"/>
  <c r="H1338" i="2" a="1"/>
  <c r="H1338" i="2"/>
  <c r="H1339" i="2" a="1"/>
  <c r="H1339" i="2"/>
  <c r="H1340" i="2" a="1"/>
  <c r="H1340" i="2"/>
  <c r="H1341" i="2" a="1"/>
  <c r="H1341" i="2"/>
  <c r="H1342" i="2" a="1"/>
  <c r="H1342" i="2"/>
  <c r="H1343" i="2" a="1"/>
  <c r="H1343" i="2"/>
  <c r="H1344" i="2" a="1"/>
  <c r="H1344" i="2"/>
  <c r="H1345" i="2" a="1"/>
  <c r="H1345" i="2"/>
  <c r="H1346" i="2" a="1"/>
  <c r="H1346" i="2"/>
  <c r="H1347" i="2" a="1"/>
  <c r="H1347" i="2"/>
  <c r="H1348" i="2" a="1"/>
  <c r="H1348" i="2"/>
  <c r="H1349" i="2" a="1"/>
  <c r="H1349" i="2"/>
  <c r="H1350" i="2" a="1"/>
  <c r="H1350" i="2"/>
  <c r="H1351" i="2" a="1"/>
  <c r="H1351" i="2"/>
  <c r="H1352" i="2" a="1"/>
  <c r="H1352" i="2"/>
  <c r="H1353" i="2" a="1"/>
  <c r="H1353" i="2"/>
  <c r="H1354" i="2" a="1"/>
  <c r="H1354" i="2"/>
  <c r="H1355" i="2" a="1"/>
  <c r="H1355" i="2"/>
  <c r="H1356" i="2" a="1"/>
  <c r="H1356" i="2"/>
  <c r="H1357" i="2" a="1"/>
  <c r="H1357" i="2"/>
  <c r="H1358" i="2" a="1"/>
  <c r="H1358" i="2"/>
  <c r="H1359" i="2" a="1"/>
  <c r="H1359" i="2"/>
  <c r="H1360" i="2" a="1"/>
  <c r="H1360" i="2"/>
  <c r="H1361" i="2" a="1"/>
  <c r="H1361" i="2"/>
  <c r="H1362" i="2" a="1"/>
  <c r="H1362" i="2"/>
  <c r="H1363" i="2" a="1"/>
  <c r="H1363" i="2"/>
  <c r="H1364" i="2" a="1"/>
  <c r="H1364" i="2"/>
  <c r="H1365" i="2" a="1"/>
  <c r="H1365" i="2"/>
  <c r="H1366" i="2" a="1"/>
  <c r="H1366" i="2"/>
  <c r="H1367" i="2" a="1"/>
  <c r="H1367" i="2"/>
  <c r="H1368" i="2" a="1"/>
  <c r="H1368" i="2"/>
  <c r="H1369" i="2" a="1"/>
  <c r="H1369" i="2"/>
  <c r="H1370" i="2" a="1"/>
  <c r="H1370" i="2"/>
  <c r="H1371" i="2" a="1"/>
  <c r="H1371" i="2"/>
  <c r="H1372" i="2" a="1"/>
  <c r="H1372" i="2"/>
  <c r="H1373" i="2" a="1"/>
  <c r="H1373" i="2"/>
  <c r="H1374" i="2" a="1"/>
  <c r="H1374" i="2"/>
  <c r="H1375" i="2" a="1"/>
  <c r="H1375" i="2"/>
  <c r="H1376" i="2" a="1"/>
  <c r="H1376" i="2"/>
  <c r="H1377" i="2" a="1"/>
  <c r="H1377" i="2"/>
  <c r="H1378" i="2" a="1"/>
  <c r="H1378" i="2"/>
  <c r="H1379" i="2" a="1"/>
  <c r="H1379" i="2"/>
  <c r="H1380" i="2" a="1"/>
  <c r="H1380" i="2"/>
  <c r="H1381" i="2" a="1"/>
  <c r="H1381" i="2"/>
  <c r="H1382" i="2" a="1"/>
  <c r="H1382" i="2"/>
  <c r="H1383" i="2" a="1"/>
  <c r="H1383" i="2"/>
  <c r="H1384" i="2" a="1"/>
  <c r="H1384" i="2"/>
  <c r="H1385" i="2" a="1"/>
  <c r="H1385" i="2"/>
  <c r="H1386" i="2" a="1"/>
  <c r="H1386" i="2"/>
  <c r="H1387" i="2" a="1"/>
  <c r="H1387" i="2"/>
  <c r="H1388" i="2" a="1"/>
  <c r="H1388" i="2"/>
  <c r="H1389" i="2" a="1"/>
  <c r="H1389" i="2"/>
  <c r="H1390" i="2" a="1"/>
  <c r="H1390" i="2"/>
  <c r="H1391" i="2" a="1"/>
  <c r="H1391" i="2"/>
  <c r="H1392" i="2" a="1"/>
  <c r="H1392" i="2"/>
  <c r="H1393" i="2" a="1"/>
  <c r="H1393" i="2"/>
  <c r="H1394" i="2" a="1"/>
  <c r="H1394" i="2"/>
  <c r="H1395" i="2" a="1"/>
  <c r="H1395" i="2"/>
  <c r="H1396" i="2" a="1"/>
  <c r="H1396" i="2"/>
  <c r="H1397" i="2" a="1"/>
  <c r="H1397" i="2"/>
  <c r="H1398" i="2" a="1"/>
  <c r="H1398" i="2"/>
  <c r="H1399" i="2" a="1"/>
  <c r="H1399" i="2"/>
  <c r="H1400" i="2" a="1"/>
  <c r="H1400" i="2"/>
  <c r="H1401" i="2" a="1"/>
  <c r="H1401" i="2"/>
  <c r="H1402" i="2" a="1"/>
  <c r="H1402" i="2"/>
  <c r="H1403" i="2" a="1"/>
  <c r="H1403" i="2"/>
  <c r="H1404" i="2" a="1"/>
  <c r="H1404" i="2"/>
  <c r="H1405" i="2" a="1"/>
  <c r="H1405" i="2"/>
  <c r="H1406" i="2" a="1"/>
  <c r="H1406" i="2"/>
  <c r="H1407" i="2" a="1"/>
  <c r="H1407" i="2"/>
  <c r="H1408" i="2" a="1"/>
  <c r="H1408" i="2"/>
  <c r="H1409" i="2" a="1"/>
  <c r="H1409" i="2"/>
  <c r="H1410" i="2" a="1"/>
  <c r="H1410" i="2"/>
  <c r="H1411" i="2" a="1"/>
  <c r="H1411" i="2"/>
  <c r="H1412" i="2" a="1"/>
  <c r="H1412" i="2"/>
  <c r="H1413" i="2" a="1"/>
  <c r="H1413" i="2"/>
  <c r="H1414" i="2" a="1"/>
  <c r="H1414" i="2"/>
  <c r="H1415" i="2" a="1"/>
  <c r="H1415" i="2"/>
  <c r="H1416" i="2" a="1"/>
  <c r="H1416" i="2"/>
  <c r="H1417" i="2" a="1"/>
  <c r="H1417" i="2"/>
  <c r="H1418" i="2" a="1"/>
  <c r="H1418" i="2"/>
  <c r="H1419" i="2" a="1"/>
  <c r="H1419" i="2"/>
  <c r="H1420" i="2" a="1"/>
  <c r="H1420" i="2"/>
  <c r="H1421" i="2" a="1"/>
  <c r="H1421" i="2"/>
  <c r="H1422" i="2" a="1"/>
  <c r="H1422" i="2"/>
  <c r="H1423" i="2" a="1"/>
  <c r="H1423" i="2"/>
  <c r="H1424" i="2" a="1"/>
  <c r="H1424" i="2"/>
  <c r="H1425" i="2" a="1"/>
  <c r="H1425" i="2"/>
  <c r="H1426" i="2" a="1"/>
  <c r="H1426" i="2"/>
  <c r="H1427" i="2" a="1"/>
  <c r="H1427" i="2"/>
  <c r="H1428" i="2" a="1"/>
  <c r="H1428" i="2"/>
  <c r="H1429" i="2" a="1"/>
  <c r="H1429" i="2"/>
  <c r="H1430" i="2" a="1"/>
  <c r="H1430" i="2"/>
  <c r="H1431" i="2" a="1"/>
  <c r="H1431" i="2"/>
  <c r="H1432" i="2" a="1"/>
  <c r="H1432" i="2"/>
  <c r="H1433" i="2" a="1"/>
  <c r="H1433" i="2"/>
  <c r="H1434" i="2" a="1"/>
  <c r="H1434" i="2"/>
  <c r="H1435" i="2" a="1"/>
  <c r="H1435" i="2"/>
  <c r="H1436" i="2" a="1"/>
  <c r="H1436" i="2"/>
  <c r="H1437" i="2" a="1"/>
  <c r="H1437" i="2"/>
  <c r="H1438" i="2" a="1"/>
  <c r="H1438" i="2"/>
  <c r="H1439" i="2" a="1"/>
  <c r="H1439" i="2"/>
  <c r="H1440" i="2" a="1"/>
  <c r="H1440" i="2"/>
  <c r="H1441" i="2" a="1"/>
  <c r="H1441" i="2"/>
  <c r="H1442" i="2" a="1"/>
  <c r="H1442" i="2"/>
  <c r="H1443" i="2" a="1"/>
  <c r="H1443" i="2"/>
  <c r="H1444" i="2" a="1"/>
  <c r="H1444" i="2"/>
  <c r="H1445" i="2" a="1"/>
  <c r="H1445" i="2"/>
  <c r="H1446" i="2" a="1"/>
  <c r="H1446" i="2"/>
  <c r="H1447" i="2" a="1"/>
  <c r="H1447" i="2"/>
  <c r="H1448" i="2" a="1"/>
  <c r="H1448" i="2"/>
  <c r="H1449" i="2" a="1"/>
  <c r="H1449" i="2"/>
  <c r="H1450" i="2" a="1"/>
  <c r="H1450" i="2"/>
  <c r="H1451" i="2" a="1"/>
  <c r="H1451" i="2"/>
  <c r="H1452" i="2" a="1"/>
  <c r="H1452" i="2"/>
  <c r="H1453" i="2" a="1"/>
  <c r="H1453" i="2"/>
  <c r="H1454" i="2" a="1"/>
  <c r="H1454" i="2"/>
  <c r="H1455" i="2" a="1"/>
  <c r="H1455" i="2"/>
  <c r="H1456" i="2" a="1"/>
  <c r="H1456" i="2"/>
  <c r="H1457" i="2" a="1"/>
  <c r="H1457" i="2"/>
  <c r="H1458" i="2" a="1"/>
  <c r="H1458" i="2"/>
  <c r="H1459" i="2" a="1"/>
  <c r="H1459" i="2"/>
  <c r="H1460" i="2" a="1"/>
  <c r="H1460" i="2"/>
  <c r="H1461" i="2" a="1"/>
  <c r="H1461" i="2"/>
  <c r="H1462" i="2" a="1"/>
  <c r="H1462" i="2"/>
  <c r="H1463" i="2" a="1"/>
  <c r="H1463" i="2"/>
  <c r="H1464" i="2" a="1"/>
  <c r="H1464" i="2"/>
  <c r="H1465" i="2" a="1"/>
  <c r="H1465" i="2"/>
  <c r="H1466" i="2" a="1"/>
  <c r="H1466" i="2"/>
  <c r="H1467" i="2" a="1"/>
  <c r="H1467" i="2"/>
  <c r="H1468" i="2" a="1"/>
  <c r="H1468" i="2"/>
  <c r="H1469" i="2" a="1"/>
  <c r="H1469" i="2"/>
  <c r="H1470" i="2" a="1"/>
  <c r="H1470" i="2"/>
  <c r="H1471" i="2" a="1"/>
  <c r="H1471" i="2"/>
  <c r="H1472" i="2" a="1"/>
  <c r="H1472" i="2"/>
  <c r="H1473" i="2" a="1"/>
  <c r="H1473" i="2"/>
  <c r="H1474" i="2" a="1"/>
  <c r="H1474" i="2"/>
  <c r="H1475" i="2" a="1"/>
  <c r="H1475" i="2"/>
  <c r="H1476" i="2" a="1"/>
  <c r="H1476" i="2"/>
  <c r="H1477" i="2" a="1"/>
  <c r="H1477" i="2"/>
  <c r="H1478" i="2" a="1"/>
  <c r="H1478" i="2"/>
  <c r="H1479" i="2" a="1"/>
  <c r="H1479" i="2"/>
  <c r="H1480" i="2" a="1"/>
  <c r="H1480" i="2"/>
  <c r="H1481" i="2" a="1"/>
  <c r="H1481" i="2"/>
  <c r="H1482" i="2" a="1"/>
  <c r="H1482" i="2"/>
  <c r="H1483" i="2" a="1"/>
  <c r="H1483" i="2"/>
  <c r="H1484" i="2" a="1"/>
  <c r="H1484" i="2"/>
  <c r="H1485" i="2" a="1"/>
  <c r="H1485" i="2"/>
  <c r="H1486" i="2" a="1"/>
  <c r="H1486" i="2"/>
  <c r="H1487" i="2" a="1"/>
  <c r="H1487" i="2"/>
  <c r="H1488" i="2" a="1"/>
  <c r="H1488" i="2"/>
  <c r="H1489" i="2" a="1"/>
  <c r="H1489" i="2"/>
  <c r="H1490" i="2" a="1"/>
  <c r="H1490" i="2"/>
  <c r="H1491" i="2" a="1"/>
  <c r="H1491" i="2"/>
  <c r="H1492" i="2" a="1"/>
  <c r="H1492" i="2"/>
  <c r="H1493" i="2" a="1"/>
  <c r="H1493" i="2"/>
  <c r="H1494" i="2" a="1"/>
  <c r="H1494" i="2"/>
  <c r="H1495" i="2" a="1"/>
  <c r="H1495" i="2"/>
  <c r="H1496" i="2" a="1"/>
  <c r="H1496" i="2"/>
  <c r="H1497" i="2" a="1"/>
  <c r="H1497" i="2"/>
  <c r="H1498" i="2" a="1"/>
  <c r="H1498" i="2"/>
  <c r="H1499" i="2" a="1"/>
  <c r="H1499" i="2"/>
  <c r="H1500" i="2" a="1"/>
  <c r="H1500" i="2"/>
  <c r="H1501" i="2" a="1"/>
  <c r="H1501" i="2"/>
  <c r="H1502" i="2" a="1"/>
  <c r="H1502" i="2"/>
  <c r="H1503" i="2" a="1"/>
  <c r="H1503" i="2"/>
  <c r="H1504" i="2" a="1"/>
  <c r="H1504" i="2"/>
  <c r="H1505" i="2" a="1"/>
  <c r="H1505" i="2"/>
  <c r="H1506" i="2" a="1"/>
  <c r="H1506" i="2"/>
  <c r="H1507" i="2" a="1"/>
  <c r="H1507" i="2"/>
  <c r="H1508" i="2" a="1"/>
  <c r="H1508" i="2"/>
  <c r="H1509" i="2" a="1"/>
  <c r="H1509" i="2"/>
  <c r="H1510" i="2" a="1"/>
  <c r="H1510" i="2"/>
  <c r="H1511" i="2" a="1"/>
  <c r="H1511" i="2"/>
  <c r="H1512" i="2" a="1"/>
  <c r="H1512" i="2"/>
  <c r="H1513" i="2" a="1"/>
  <c r="H1513" i="2"/>
  <c r="H1514" i="2" a="1"/>
  <c r="H1514" i="2"/>
  <c r="H1515" i="2" a="1"/>
  <c r="H1515" i="2"/>
  <c r="H1516" i="2" a="1"/>
  <c r="H1516" i="2"/>
  <c r="H1517" i="2" a="1"/>
  <c r="H1517" i="2"/>
  <c r="H1518" i="2" a="1"/>
  <c r="H1518" i="2"/>
  <c r="H1519" i="2" a="1"/>
  <c r="H1519" i="2"/>
  <c r="H1520" i="2" a="1"/>
  <c r="H1520" i="2"/>
  <c r="H1521" i="2" a="1"/>
  <c r="H1521" i="2"/>
  <c r="H1522" i="2" a="1"/>
  <c r="H1522" i="2"/>
  <c r="H1523" i="2" a="1"/>
  <c r="H1523" i="2"/>
  <c r="H1524" i="2" a="1"/>
  <c r="H1524" i="2"/>
  <c r="H1525" i="2" a="1"/>
  <c r="H1525" i="2"/>
  <c r="H1526" i="2" a="1"/>
  <c r="H1526" i="2"/>
  <c r="H1527" i="2" a="1"/>
  <c r="H1527" i="2"/>
  <c r="H1528" i="2" a="1"/>
  <c r="H1528" i="2"/>
  <c r="H1529" i="2" a="1"/>
  <c r="H1529" i="2"/>
  <c r="H1530" i="2" a="1"/>
  <c r="H1530" i="2"/>
  <c r="H1531" i="2" a="1"/>
  <c r="H1531" i="2"/>
  <c r="H1532" i="2" a="1"/>
  <c r="H1532" i="2"/>
  <c r="H1533" i="2" a="1"/>
  <c r="H1533" i="2"/>
  <c r="H1534" i="2" a="1"/>
  <c r="H1534" i="2"/>
  <c r="H1535" i="2" a="1"/>
  <c r="H1535" i="2"/>
  <c r="H1536" i="2" a="1"/>
  <c r="H1536" i="2"/>
  <c r="H1537" i="2" a="1"/>
  <c r="H1537" i="2"/>
  <c r="H1538" i="2" a="1"/>
  <c r="H1538" i="2"/>
  <c r="H1539" i="2" a="1"/>
  <c r="H1539" i="2"/>
  <c r="H1540" i="2" a="1"/>
  <c r="H1540" i="2"/>
  <c r="H1541" i="2" a="1"/>
  <c r="H1541" i="2"/>
  <c r="H1542" i="2" a="1"/>
  <c r="H1542" i="2"/>
  <c r="H1543" i="2" a="1"/>
  <c r="H1543" i="2"/>
  <c r="H1544" i="2" a="1"/>
  <c r="H1544" i="2"/>
  <c r="H1545" i="2" a="1"/>
  <c r="H1545" i="2"/>
  <c r="H1546" i="2" a="1"/>
  <c r="H1546" i="2"/>
  <c r="H1547" i="2" a="1"/>
  <c r="H1547" i="2"/>
  <c r="H1548" i="2" a="1"/>
  <c r="H1548" i="2"/>
  <c r="H1549" i="2" a="1"/>
  <c r="H1549" i="2"/>
  <c r="H1550" i="2" a="1"/>
  <c r="H1550" i="2"/>
  <c r="H1551" i="2" a="1"/>
  <c r="H1551" i="2"/>
  <c r="H1552" i="2" a="1"/>
  <c r="H1552" i="2"/>
  <c r="H1553" i="2" a="1"/>
  <c r="H1553" i="2"/>
  <c r="H1554" i="2" a="1"/>
  <c r="H1554" i="2"/>
  <c r="H1555" i="2" a="1"/>
  <c r="H1555" i="2"/>
  <c r="H1556" i="2" a="1"/>
  <c r="H1556" i="2"/>
  <c r="H1557" i="2" a="1"/>
  <c r="H1557" i="2"/>
  <c r="H1558" i="2" a="1"/>
  <c r="H1558" i="2"/>
  <c r="H1559" i="2" a="1"/>
  <c r="H1559" i="2"/>
  <c r="H1560" i="2" a="1"/>
  <c r="H1560" i="2"/>
  <c r="H1561" i="2" a="1"/>
  <c r="H1561" i="2"/>
  <c r="H1562" i="2" a="1"/>
  <c r="H1562" i="2"/>
  <c r="H1563" i="2" a="1"/>
  <c r="H1563" i="2"/>
  <c r="H1564" i="2" a="1"/>
  <c r="H1564" i="2"/>
  <c r="H1565" i="2" a="1"/>
  <c r="H1565" i="2"/>
  <c r="H1566" i="2" a="1"/>
  <c r="H1566" i="2"/>
  <c r="H1567" i="2" a="1"/>
  <c r="H1567" i="2"/>
  <c r="H1568" i="2" a="1"/>
  <c r="H1568" i="2"/>
  <c r="H1569" i="2" a="1"/>
  <c r="H1569" i="2"/>
  <c r="H1570" i="2" a="1"/>
  <c r="H1570" i="2"/>
  <c r="H1571" i="2" a="1"/>
  <c r="H1571" i="2"/>
  <c r="H1572" i="2" a="1"/>
  <c r="H1572" i="2"/>
  <c r="H1573" i="2" a="1"/>
  <c r="H1573" i="2"/>
  <c r="H1574" i="2" a="1"/>
  <c r="H1574" i="2"/>
  <c r="H1575" i="2" a="1"/>
  <c r="H1575" i="2"/>
  <c r="H1576" i="2" a="1"/>
  <c r="H1576" i="2"/>
  <c r="H1577" i="2" a="1"/>
  <c r="H1577" i="2"/>
  <c r="H1578" i="2" a="1"/>
  <c r="H1578" i="2"/>
  <c r="H1579" i="2" a="1"/>
  <c r="H1579" i="2"/>
  <c r="H1580" i="2" a="1"/>
  <c r="H1580" i="2"/>
  <c r="H1581" i="2" a="1"/>
  <c r="H1581" i="2"/>
  <c r="H1582" i="2" a="1"/>
  <c r="H1582" i="2"/>
  <c r="H1583" i="2" a="1"/>
  <c r="H1583" i="2"/>
  <c r="H1584" i="2" a="1"/>
  <c r="H1584" i="2"/>
  <c r="H1585" i="2" a="1"/>
  <c r="H1585" i="2"/>
  <c r="H1586" i="2" a="1"/>
  <c r="H1586" i="2"/>
  <c r="H1587" i="2" a="1"/>
  <c r="H1587" i="2"/>
  <c r="H1588" i="2" a="1"/>
  <c r="H1588" i="2"/>
  <c r="H1589" i="2" a="1"/>
  <c r="H1589" i="2"/>
  <c r="H1590" i="2" a="1"/>
  <c r="H1590" i="2"/>
  <c r="H1591" i="2" a="1"/>
  <c r="H1591" i="2"/>
  <c r="H1592" i="2" a="1"/>
  <c r="H1592" i="2"/>
  <c r="H1593" i="2" a="1"/>
  <c r="H1593" i="2"/>
  <c r="H1594" i="2" a="1"/>
  <c r="H1594" i="2"/>
  <c r="H1595" i="2" a="1"/>
  <c r="H1595" i="2"/>
  <c r="H1596" i="2" a="1"/>
  <c r="H1596" i="2"/>
  <c r="H1597" i="2" a="1"/>
  <c r="H1597" i="2"/>
  <c r="H1598" i="2" a="1"/>
  <c r="H1598" i="2"/>
  <c r="H1599" i="2" a="1"/>
  <c r="H1599" i="2"/>
  <c r="H1600" i="2" a="1"/>
  <c r="H1600" i="2"/>
  <c r="H1601" i="2" a="1"/>
  <c r="H1601" i="2"/>
  <c r="H1602" i="2" a="1"/>
  <c r="H1602" i="2"/>
  <c r="H1603" i="2" a="1"/>
  <c r="H1603" i="2"/>
  <c r="H1604" i="2" a="1"/>
  <c r="H1604" i="2"/>
  <c r="H1605" i="2" a="1"/>
  <c r="H1605" i="2"/>
  <c r="H1606" i="2" a="1"/>
  <c r="H1606" i="2"/>
  <c r="H1607" i="2" a="1"/>
  <c r="H1607" i="2"/>
  <c r="H1608" i="2" a="1"/>
  <c r="H1608" i="2"/>
  <c r="H1609" i="2" a="1"/>
  <c r="H1609" i="2"/>
  <c r="H1610" i="2" a="1"/>
  <c r="H1610" i="2"/>
  <c r="H1611" i="2" a="1"/>
  <c r="H1611" i="2"/>
  <c r="H1612" i="2" a="1"/>
  <c r="H1612" i="2"/>
  <c r="H1613" i="2" a="1"/>
  <c r="H1613" i="2"/>
  <c r="H1614" i="2" a="1"/>
  <c r="H1614" i="2"/>
  <c r="H1615" i="2" a="1"/>
  <c r="H1615" i="2"/>
  <c r="H1616" i="2" a="1"/>
  <c r="H1616" i="2"/>
  <c r="H1617" i="2" a="1"/>
  <c r="H1617" i="2"/>
  <c r="H1618" i="2" a="1"/>
  <c r="H1618" i="2"/>
  <c r="H1619" i="2" a="1"/>
  <c r="H1619" i="2"/>
  <c r="H1620" i="2" a="1"/>
  <c r="H1620" i="2"/>
  <c r="H1621" i="2" a="1"/>
  <c r="H1621" i="2"/>
  <c r="H1622" i="2" a="1"/>
  <c r="H1622" i="2"/>
  <c r="H1623" i="2" a="1"/>
  <c r="H1623" i="2"/>
  <c r="H1624" i="2" a="1"/>
  <c r="H1624" i="2"/>
  <c r="H1625" i="2" a="1"/>
  <c r="H1625" i="2"/>
  <c r="H1626" i="2" a="1"/>
  <c r="H1626" i="2"/>
  <c r="H1627" i="2" a="1"/>
  <c r="H1627" i="2"/>
  <c r="H1628" i="2" a="1"/>
  <c r="H1628" i="2"/>
  <c r="H1629" i="2" a="1"/>
  <c r="H1629" i="2"/>
  <c r="H1630" i="2" a="1"/>
  <c r="H1630" i="2"/>
  <c r="H1631" i="2" a="1"/>
  <c r="H1631" i="2"/>
  <c r="H1632" i="2" a="1"/>
  <c r="H1632" i="2"/>
  <c r="H1633" i="2" a="1"/>
  <c r="H1633" i="2"/>
  <c r="H1634" i="2" a="1"/>
  <c r="H1634" i="2"/>
  <c r="H1635" i="2" a="1"/>
  <c r="H1635" i="2"/>
  <c r="H1636" i="2" a="1"/>
  <c r="H1636" i="2"/>
  <c r="H1637" i="2" a="1"/>
  <c r="H1637" i="2"/>
  <c r="H1638" i="2" a="1"/>
  <c r="H1638" i="2"/>
  <c r="H1639" i="2" a="1"/>
  <c r="H1639" i="2"/>
  <c r="H1640" i="2" a="1"/>
  <c r="H1640" i="2"/>
  <c r="H1641" i="2" a="1"/>
  <c r="H1641" i="2"/>
  <c r="H1642" i="2" a="1"/>
  <c r="H1642" i="2"/>
  <c r="H1643" i="2" a="1"/>
  <c r="H1643" i="2"/>
  <c r="H1644" i="2" a="1"/>
  <c r="H1644" i="2"/>
  <c r="H1645" i="2" a="1"/>
  <c r="H1645" i="2"/>
  <c r="H1646" i="2" a="1"/>
  <c r="H1646" i="2"/>
  <c r="H1647" i="2" a="1"/>
  <c r="H1647" i="2"/>
  <c r="H1648" i="2" a="1"/>
  <c r="H1648" i="2"/>
  <c r="H1649" i="2" a="1"/>
  <c r="H1649" i="2"/>
  <c r="H1650" i="2" a="1"/>
  <c r="H1650" i="2"/>
  <c r="H1651" i="2" a="1"/>
  <c r="H1651" i="2"/>
  <c r="H1652" i="2" a="1"/>
  <c r="H1652" i="2"/>
  <c r="H1653" i="2" a="1"/>
  <c r="H1653" i="2"/>
  <c r="H1654" i="2" a="1"/>
  <c r="H1654" i="2"/>
  <c r="H1655" i="2" a="1"/>
  <c r="H1655" i="2"/>
  <c r="H1656" i="2" a="1"/>
  <c r="H1656" i="2"/>
  <c r="H1657" i="2" a="1"/>
  <c r="H1657" i="2"/>
  <c r="H1658" i="2" a="1"/>
  <c r="H1658" i="2"/>
  <c r="H1659" i="2" a="1"/>
  <c r="H1659" i="2"/>
  <c r="H1660" i="2" a="1"/>
  <c r="H1660" i="2"/>
  <c r="H1661" i="2" a="1"/>
  <c r="H1661" i="2"/>
  <c r="H1662" i="2" a="1"/>
  <c r="H1662" i="2"/>
  <c r="H1663" i="2" a="1"/>
  <c r="H1663" i="2"/>
  <c r="H1664" i="2" a="1"/>
  <c r="H1664" i="2"/>
  <c r="H1665" i="2" a="1"/>
  <c r="H1665" i="2"/>
  <c r="H1666" i="2" a="1"/>
  <c r="H1666" i="2"/>
  <c r="H1667" i="2" a="1"/>
  <c r="H1667" i="2"/>
  <c r="H1668" i="2" a="1"/>
  <c r="H1668" i="2"/>
  <c r="H1669" i="2" a="1"/>
  <c r="H1669" i="2"/>
  <c r="H1670" i="2" a="1"/>
  <c r="H1670" i="2"/>
  <c r="H1671" i="2" a="1"/>
  <c r="H1671" i="2"/>
  <c r="H1672" i="2" a="1"/>
  <c r="H1672" i="2"/>
  <c r="H1673" i="2" a="1"/>
  <c r="H1673" i="2"/>
  <c r="H1674" i="2" a="1"/>
  <c r="H1674" i="2"/>
  <c r="H1675" i="2" a="1"/>
  <c r="H1675" i="2"/>
  <c r="H1676" i="2" a="1"/>
  <c r="H1676" i="2"/>
  <c r="H1677" i="2" a="1"/>
  <c r="H1677" i="2"/>
  <c r="H1678" i="2" a="1"/>
  <c r="H1678" i="2"/>
  <c r="H1679" i="2" a="1"/>
  <c r="H1679" i="2"/>
  <c r="H1680" i="2" a="1"/>
  <c r="H1680" i="2"/>
  <c r="H1681" i="2" a="1"/>
  <c r="H1681" i="2"/>
  <c r="H1682" i="2" a="1"/>
  <c r="H1682" i="2"/>
  <c r="H1683" i="2" a="1"/>
  <c r="H1683" i="2"/>
  <c r="H1684" i="2" a="1"/>
  <c r="H1684" i="2"/>
  <c r="H1685" i="2" a="1"/>
  <c r="H1685" i="2"/>
  <c r="H1686" i="2" a="1"/>
  <c r="H1686" i="2"/>
  <c r="H1687" i="2" a="1"/>
  <c r="H1687" i="2"/>
  <c r="H1688" i="2" a="1"/>
  <c r="H1688" i="2"/>
  <c r="H1689" i="2" a="1"/>
  <c r="H1689" i="2"/>
  <c r="H1690" i="2" a="1"/>
  <c r="H1690" i="2"/>
  <c r="H1691" i="2" a="1"/>
  <c r="H1691" i="2"/>
  <c r="H1692" i="2" a="1"/>
  <c r="H1692" i="2"/>
  <c r="H1693" i="2" a="1"/>
  <c r="H1693" i="2"/>
  <c r="H1694" i="2" a="1"/>
  <c r="H1694" i="2"/>
  <c r="H1695" i="2" a="1"/>
  <c r="H1695" i="2"/>
  <c r="H1696" i="2" a="1"/>
  <c r="H1696" i="2"/>
  <c r="H1697" i="2" a="1"/>
  <c r="H1697" i="2"/>
  <c r="H1698" i="2" a="1"/>
  <c r="H1698" i="2"/>
  <c r="H1699" i="2" a="1"/>
  <c r="H1699" i="2"/>
  <c r="H1700" i="2" a="1"/>
  <c r="H1700" i="2"/>
  <c r="H1701" i="2" a="1"/>
  <c r="H1701" i="2"/>
  <c r="H1702" i="2" a="1"/>
  <c r="H1702" i="2"/>
  <c r="H1703" i="2" a="1"/>
  <c r="H1703" i="2"/>
  <c r="H1704" i="2" a="1"/>
  <c r="H1704" i="2"/>
  <c r="H1705" i="2" a="1"/>
  <c r="H1705" i="2"/>
  <c r="H1706" i="2" a="1"/>
  <c r="H1706" i="2"/>
  <c r="H1707" i="2" a="1"/>
  <c r="H1707" i="2"/>
  <c r="H1708" i="2" a="1"/>
  <c r="H1708" i="2"/>
  <c r="H1709" i="2" a="1"/>
  <c r="H1709" i="2"/>
  <c r="H1710" i="2" a="1"/>
  <c r="H1710" i="2"/>
  <c r="H1711" i="2" a="1"/>
  <c r="H1711" i="2"/>
  <c r="H1712" i="2" a="1"/>
  <c r="H1712" i="2"/>
  <c r="H1713" i="2" a="1"/>
  <c r="H1713" i="2"/>
  <c r="H1714" i="2" a="1"/>
  <c r="H1714" i="2"/>
  <c r="H1715" i="2" a="1"/>
  <c r="H1715" i="2"/>
  <c r="H1716" i="2" a="1"/>
  <c r="H1716" i="2"/>
  <c r="H1717" i="2" a="1"/>
  <c r="H1717" i="2"/>
  <c r="H1718" i="2" a="1"/>
  <c r="H1718" i="2"/>
  <c r="H1719" i="2" a="1"/>
  <c r="H1719" i="2"/>
  <c r="H1720" i="2" a="1"/>
  <c r="H1720" i="2"/>
  <c r="H1721" i="2" a="1"/>
  <c r="H1721" i="2"/>
  <c r="H1722" i="2" a="1"/>
  <c r="H1722" i="2"/>
  <c r="H1723" i="2" a="1"/>
  <c r="H1723" i="2"/>
  <c r="H1724" i="2" a="1"/>
  <c r="H1724" i="2"/>
  <c r="H1725" i="2" a="1"/>
  <c r="H1725" i="2"/>
  <c r="H1726" i="2" a="1"/>
  <c r="H1726" i="2"/>
  <c r="H1727" i="2" a="1"/>
  <c r="H1727" i="2"/>
  <c r="H1728" i="2" a="1"/>
  <c r="H1728" i="2"/>
  <c r="H1729" i="2" a="1"/>
  <c r="H1729" i="2"/>
  <c r="H1730" i="2" a="1"/>
  <c r="H1730" i="2"/>
  <c r="H1731" i="2" a="1"/>
  <c r="H1731" i="2"/>
  <c r="H1732" i="2" a="1"/>
  <c r="H1732" i="2"/>
  <c r="H1733" i="2" a="1"/>
  <c r="H1733" i="2"/>
  <c r="H1734" i="2" a="1"/>
  <c r="H1734" i="2"/>
  <c r="H1735" i="2" a="1"/>
  <c r="H1735" i="2"/>
  <c r="H1736" i="2" a="1"/>
  <c r="H1736" i="2"/>
  <c r="H1737" i="2" a="1"/>
  <c r="H1737" i="2"/>
  <c r="H1738" i="2" a="1"/>
  <c r="H1738" i="2"/>
  <c r="H1739" i="2" a="1"/>
  <c r="H1739" i="2"/>
  <c r="H1740" i="2" a="1"/>
  <c r="H1740" i="2"/>
  <c r="H1741" i="2" a="1"/>
  <c r="H1741" i="2"/>
  <c r="H1742" i="2" a="1"/>
  <c r="H1742" i="2"/>
  <c r="H1743" i="2" a="1"/>
  <c r="H1743" i="2"/>
  <c r="H1744" i="2" a="1"/>
  <c r="H1744" i="2"/>
  <c r="H1745" i="2" a="1"/>
  <c r="H1745" i="2"/>
  <c r="H1746" i="2" a="1"/>
  <c r="H1746" i="2"/>
  <c r="H1747" i="2" a="1"/>
  <c r="H1747" i="2"/>
  <c r="H1748" i="2" a="1"/>
  <c r="H1748" i="2"/>
  <c r="H1749" i="2" a="1"/>
  <c r="H1749" i="2"/>
  <c r="H1750" i="2" a="1"/>
  <c r="H1750" i="2"/>
  <c r="H1751" i="2" a="1"/>
  <c r="H1751" i="2"/>
  <c r="H1752" i="2" a="1"/>
  <c r="H1752" i="2"/>
  <c r="H1753" i="2" a="1"/>
  <c r="H1753" i="2"/>
  <c r="H1754" i="2" a="1"/>
  <c r="H1754" i="2"/>
  <c r="H1755" i="2" a="1"/>
  <c r="H1755" i="2"/>
  <c r="H1756" i="2" a="1"/>
  <c r="H1756" i="2"/>
  <c r="H1757" i="2" a="1"/>
  <c r="H1757" i="2"/>
  <c r="H1758" i="2" a="1"/>
  <c r="H1758" i="2"/>
  <c r="H1759" i="2" a="1"/>
  <c r="H1759" i="2"/>
  <c r="H1760" i="2" a="1"/>
  <c r="H1760" i="2"/>
  <c r="H1761" i="2" a="1"/>
  <c r="H1761" i="2"/>
  <c r="H1762" i="2" a="1"/>
  <c r="H1762" i="2"/>
  <c r="H1763" i="2" a="1"/>
  <c r="H1763" i="2"/>
  <c r="H1764" i="2" a="1"/>
  <c r="H1764" i="2"/>
  <c r="H1765" i="2" a="1"/>
  <c r="H1765" i="2"/>
  <c r="H1766" i="2" a="1"/>
  <c r="H1766" i="2"/>
  <c r="H1767" i="2" a="1"/>
  <c r="H1767" i="2"/>
  <c r="H1768" i="2" a="1"/>
  <c r="H1768" i="2"/>
  <c r="H1769" i="2" a="1"/>
  <c r="H1769" i="2"/>
  <c r="H1770" i="2" a="1"/>
  <c r="H1770" i="2"/>
  <c r="H1771" i="2" a="1"/>
  <c r="H1771" i="2"/>
  <c r="H1772" i="2" a="1"/>
  <c r="H1772" i="2"/>
  <c r="H1773" i="2" a="1"/>
  <c r="H1773" i="2"/>
  <c r="H1774" i="2" a="1"/>
  <c r="H1774" i="2"/>
  <c r="H1775" i="2" a="1"/>
  <c r="H1775" i="2"/>
  <c r="H1776" i="2" a="1"/>
  <c r="H1776" i="2"/>
  <c r="H1777" i="2" a="1"/>
  <c r="H1777" i="2"/>
  <c r="H1778" i="2" a="1"/>
  <c r="H1778" i="2"/>
  <c r="H1779" i="2" a="1"/>
  <c r="H1779" i="2"/>
  <c r="H1780" i="2" a="1"/>
  <c r="H1780" i="2"/>
  <c r="H1781" i="2" a="1"/>
  <c r="H1781" i="2"/>
  <c r="H1782" i="2" a="1"/>
  <c r="H1782" i="2"/>
  <c r="H1783" i="2" a="1"/>
  <c r="H1783" i="2"/>
  <c r="H1784" i="2" a="1"/>
  <c r="H1784" i="2"/>
  <c r="H1785" i="2" a="1"/>
  <c r="H1785" i="2"/>
  <c r="H1786" i="2" a="1"/>
  <c r="H1786" i="2"/>
  <c r="H1787" i="2" a="1"/>
  <c r="H1787" i="2"/>
  <c r="H1788" i="2" a="1"/>
  <c r="H1788" i="2"/>
  <c r="H1789" i="2" a="1"/>
  <c r="H1789" i="2"/>
  <c r="H1790" i="2" a="1"/>
  <c r="H1790" i="2"/>
  <c r="H1791" i="2" a="1"/>
  <c r="H1791" i="2"/>
  <c r="H1792" i="2" a="1"/>
  <c r="H1792" i="2"/>
  <c r="H1793" i="2" a="1"/>
  <c r="H1793" i="2"/>
  <c r="H1794" i="2" a="1"/>
  <c r="H1794" i="2"/>
  <c r="H1795" i="2" a="1"/>
  <c r="H1795" i="2"/>
  <c r="H1796" i="2" a="1"/>
  <c r="H1796" i="2"/>
  <c r="H1797" i="2" a="1"/>
  <c r="H1797" i="2"/>
  <c r="H1798" i="2" a="1"/>
  <c r="H1798" i="2"/>
  <c r="H1799" i="2" a="1"/>
  <c r="H1799" i="2"/>
  <c r="H1800" i="2" a="1"/>
  <c r="H1800" i="2"/>
  <c r="H1801" i="2" a="1"/>
  <c r="H1801" i="2"/>
  <c r="H1802" i="2" a="1"/>
  <c r="H1802" i="2"/>
  <c r="H1803" i="2" a="1"/>
  <c r="H1803" i="2"/>
  <c r="H1804" i="2" a="1"/>
  <c r="H1804" i="2"/>
  <c r="H1805" i="2" a="1"/>
  <c r="H1805" i="2"/>
  <c r="H1806" i="2" a="1"/>
  <c r="H1806" i="2"/>
  <c r="H1807" i="2" a="1"/>
  <c r="H1807" i="2"/>
  <c r="H1808" i="2" a="1"/>
  <c r="H1808" i="2"/>
  <c r="H1809" i="2" a="1"/>
  <c r="H1809" i="2"/>
  <c r="H1810" i="2" a="1"/>
  <c r="H1810" i="2"/>
  <c r="H1811" i="2" a="1"/>
  <c r="H1811" i="2"/>
  <c r="H1812" i="2" a="1"/>
  <c r="H1812" i="2"/>
  <c r="H1813" i="2" a="1"/>
  <c r="H1813" i="2"/>
  <c r="H1814" i="2" a="1"/>
  <c r="H1814" i="2"/>
  <c r="H1815" i="2" a="1"/>
  <c r="H1815" i="2"/>
  <c r="H1816" i="2" a="1"/>
  <c r="H1816" i="2"/>
  <c r="H1817" i="2" a="1"/>
  <c r="H1817" i="2"/>
  <c r="H1818" i="2" a="1"/>
  <c r="H1818" i="2"/>
  <c r="H1819" i="2" a="1"/>
  <c r="H1819" i="2"/>
  <c r="H1820" i="2" a="1"/>
  <c r="H1820" i="2"/>
  <c r="H1821" i="2" a="1"/>
  <c r="H1821" i="2"/>
  <c r="H1822" i="2" a="1"/>
  <c r="H1822" i="2"/>
  <c r="H1823" i="2" a="1"/>
  <c r="H1823" i="2"/>
  <c r="H1824" i="2" a="1"/>
  <c r="H1824" i="2"/>
  <c r="H1825" i="2" a="1"/>
  <c r="H1825" i="2"/>
  <c r="H1826" i="2" a="1"/>
  <c r="H1826" i="2"/>
  <c r="H1827" i="2" a="1"/>
  <c r="H1827" i="2"/>
  <c r="H1828" i="2" a="1"/>
  <c r="H1828" i="2"/>
  <c r="H1829" i="2" a="1"/>
  <c r="H1829" i="2"/>
  <c r="H1830" i="2" a="1"/>
  <c r="H1830" i="2"/>
  <c r="H1831" i="2" a="1"/>
  <c r="H1831" i="2"/>
  <c r="H1832" i="2" a="1"/>
  <c r="H1832" i="2"/>
  <c r="H1833" i="2" a="1"/>
  <c r="H1833" i="2"/>
  <c r="H1834" i="2" a="1"/>
  <c r="H1834" i="2"/>
  <c r="H1835" i="2" a="1"/>
  <c r="H1835" i="2"/>
  <c r="H1836" i="2" a="1"/>
  <c r="H1836" i="2"/>
  <c r="H1837" i="2" a="1"/>
  <c r="H1837" i="2"/>
  <c r="H1838" i="2" a="1"/>
  <c r="H1838" i="2"/>
  <c r="H1839" i="2" a="1"/>
  <c r="H1839" i="2"/>
  <c r="H1840" i="2" a="1"/>
  <c r="H1840" i="2"/>
  <c r="H1841" i="2" a="1"/>
  <c r="H1841" i="2"/>
  <c r="H1842" i="2" a="1"/>
  <c r="H1842" i="2"/>
  <c r="H1843" i="2" a="1"/>
  <c r="H1843" i="2"/>
  <c r="H1844" i="2" a="1"/>
  <c r="H1844" i="2"/>
  <c r="H1845" i="2" a="1"/>
  <c r="H1845" i="2"/>
  <c r="H1846" i="2" a="1"/>
  <c r="H1846" i="2"/>
  <c r="H1847" i="2" a="1"/>
  <c r="H1847" i="2"/>
  <c r="H1848" i="2" a="1"/>
  <c r="H1848" i="2"/>
  <c r="H1849" i="2" a="1"/>
  <c r="H1849" i="2"/>
  <c r="H1850" i="2" a="1"/>
  <c r="H1850" i="2"/>
  <c r="H1851" i="2" a="1"/>
  <c r="H1851" i="2"/>
  <c r="H1852" i="2" a="1"/>
  <c r="H1852" i="2"/>
  <c r="H1853" i="2" a="1"/>
  <c r="H1853" i="2"/>
  <c r="H1854" i="2" a="1"/>
  <c r="H1854" i="2"/>
  <c r="H1855" i="2" a="1"/>
  <c r="H1855" i="2"/>
  <c r="H1856" i="2" a="1"/>
  <c r="H1856" i="2"/>
  <c r="H1857" i="2" a="1"/>
  <c r="H1857" i="2"/>
  <c r="H1858" i="2" a="1"/>
  <c r="H1858" i="2"/>
  <c r="H1859" i="2" a="1"/>
  <c r="H1859" i="2"/>
  <c r="H1860" i="2" a="1"/>
  <c r="H1860" i="2"/>
  <c r="H1861" i="2" a="1"/>
  <c r="H1861" i="2"/>
  <c r="H1862" i="2" a="1"/>
  <c r="H1862" i="2"/>
  <c r="H1863" i="2" a="1"/>
  <c r="H1863" i="2"/>
  <c r="H1864" i="2" a="1"/>
  <c r="H1864" i="2"/>
  <c r="H1865" i="2" a="1"/>
  <c r="H1865" i="2"/>
  <c r="H1866" i="2" a="1"/>
  <c r="H1866" i="2"/>
  <c r="H1867" i="2" a="1"/>
  <c r="H1867" i="2"/>
  <c r="H1868" i="2" a="1"/>
  <c r="H1868" i="2"/>
  <c r="H1869" i="2" a="1"/>
  <c r="H1869" i="2"/>
  <c r="H1870" i="2" a="1"/>
  <c r="H1870" i="2"/>
  <c r="H1871" i="2" a="1"/>
  <c r="H1871" i="2"/>
  <c r="H1872" i="2" a="1"/>
  <c r="H1872" i="2"/>
  <c r="H1873" i="2" a="1"/>
  <c r="H1873" i="2"/>
  <c r="H1874" i="2" a="1"/>
  <c r="H1874" i="2"/>
  <c r="H1875" i="2" a="1"/>
  <c r="H1875" i="2"/>
  <c r="H1876" i="2" a="1"/>
  <c r="H1876" i="2"/>
  <c r="H1877" i="2" a="1"/>
  <c r="H1877" i="2"/>
  <c r="H1878" i="2" a="1"/>
  <c r="H1878" i="2"/>
  <c r="H1879" i="2" a="1"/>
  <c r="H1879" i="2"/>
  <c r="H1880" i="2" a="1"/>
  <c r="H1880" i="2"/>
  <c r="H1881" i="2" a="1"/>
  <c r="H1881" i="2"/>
  <c r="H1882" i="2" a="1"/>
  <c r="H1882" i="2"/>
  <c r="H1883" i="2" a="1"/>
  <c r="H1883" i="2"/>
  <c r="H1884" i="2" a="1"/>
  <c r="H1884" i="2"/>
  <c r="H1885" i="2" a="1"/>
  <c r="H1885" i="2"/>
  <c r="H1886" i="2" a="1"/>
  <c r="H1886" i="2"/>
  <c r="H1887" i="2" a="1"/>
  <c r="H1887" i="2"/>
  <c r="H1888" i="2" a="1"/>
  <c r="H1888" i="2"/>
  <c r="H1889" i="2" a="1"/>
  <c r="H1889" i="2"/>
  <c r="H1890" i="2" a="1"/>
  <c r="H1890" i="2"/>
  <c r="H1891" i="2" a="1"/>
  <c r="H1891" i="2"/>
  <c r="H1892" i="2" a="1"/>
  <c r="H1892" i="2"/>
  <c r="H1893" i="2" a="1"/>
  <c r="H1893" i="2"/>
  <c r="H1894" i="2" a="1"/>
  <c r="H1894" i="2"/>
  <c r="H1895" i="2" a="1"/>
  <c r="H1895" i="2"/>
  <c r="H1896" i="2" a="1"/>
  <c r="H1896" i="2"/>
  <c r="H1897" i="2" a="1"/>
  <c r="H1897" i="2"/>
  <c r="H1898" i="2" a="1"/>
  <c r="H1898" i="2"/>
  <c r="H1899" i="2" a="1"/>
  <c r="H1899" i="2"/>
  <c r="H1900" i="2" a="1"/>
  <c r="H1900" i="2"/>
  <c r="H1901" i="2" a="1"/>
  <c r="H1901" i="2"/>
  <c r="H1902" i="2" a="1"/>
  <c r="H1902" i="2"/>
  <c r="H1903" i="2" a="1"/>
  <c r="H1903" i="2"/>
  <c r="H1904" i="2" a="1"/>
  <c r="H1904" i="2"/>
  <c r="H1905" i="2" a="1"/>
  <c r="H1905" i="2"/>
  <c r="H1906" i="2" a="1"/>
  <c r="H1906" i="2"/>
  <c r="H1907" i="2" a="1"/>
  <c r="H1907" i="2"/>
  <c r="H1908" i="2" a="1"/>
  <c r="H1908" i="2"/>
  <c r="H1909" i="2" a="1"/>
  <c r="H1909" i="2"/>
  <c r="H1910" i="2" a="1"/>
  <c r="H1910" i="2"/>
  <c r="H1911" i="2" a="1"/>
  <c r="H1911" i="2"/>
  <c r="H1912" i="2" a="1"/>
  <c r="H1912" i="2"/>
  <c r="H1913" i="2" a="1"/>
  <c r="H1913" i="2"/>
  <c r="H1914" i="2" a="1"/>
  <c r="H1914" i="2"/>
  <c r="H1915" i="2" a="1"/>
  <c r="H1915" i="2"/>
  <c r="H1916" i="2" a="1"/>
  <c r="H1916" i="2"/>
  <c r="H1917" i="2" a="1"/>
  <c r="H1917" i="2"/>
  <c r="H1918" i="2" a="1"/>
  <c r="H1918" i="2"/>
  <c r="H1919" i="2" a="1"/>
  <c r="H1919" i="2"/>
  <c r="H1920" i="2" a="1"/>
  <c r="H1920" i="2"/>
  <c r="H1921" i="2" a="1"/>
  <c r="H1921" i="2"/>
  <c r="H1922" i="2" a="1"/>
  <c r="H1922" i="2"/>
  <c r="H1923" i="2" a="1"/>
  <c r="H1923" i="2"/>
  <c r="H1924" i="2" a="1"/>
  <c r="H1924" i="2"/>
  <c r="H1925" i="2" a="1"/>
  <c r="H1925" i="2"/>
  <c r="H1926" i="2" a="1"/>
  <c r="H1926" i="2"/>
  <c r="H1927" i="2" a="1"/>
  <c r="H1927" i="2"/>
  <c r="H1928" i="2" a="1"/>
  <c r="H1928" i="2"/>
  <c r="H1929" i="2" a="1"/>
  <c r="H1929" i="2"/>
  <c r="H1930" i="2" a="1"/>
  <c r="H1930" i="2"/>
  <c r="H1931" i="2" a="1"/>
  <c r="H1931" i="2"/>
  <c r="H1932" i="2" a="1"/>
  <c r="H1932" i="2"/>
  <c r="H1933" i="2" a="1"/>
  <c r="H1933" i="2"/>
  <c r="H1934" i="2" a="1"/>
  <c r="H1934" i="2"/>
  <c r="H1935" i="2" a="1"/>
  <c r="H1935" i="2"/>
  <c r="H1936" i="2" a="1"/>
  <c r="H1936" i="2"/>
  <c r="H1937" i="2" a="1"/>
  <c r="H1937" i="2"/>
  <c r="H1938" i="2" a="1"/>
  <c r="H1938" i="2"/>
  <c r="H1939" i="2" a="1"/>
  <c r="H1939" i="2"/>
  <c r="H1940" i="2" a="1"/>
  <c r="H1940" i="2"/>
  <c r="H1941" i="2" a="1"/>
  <c r="H1941" i="2"/>
  <c r="H1942" i="2" a="1"/>
  <c r="H1942" i="2"/>
  <c r="H1943" i="2" a="1"/>
  <c r="H1943" i="2"/>
  <c r="H1944" i="2" a="1"/>
  <c r="H1944" i="2"/>
  <c r="H1945" i="2" a="1"/>
  <c r="H1945" i="2"/>
  <c r="H1946" i="2" a="1"/>
  <c r="H1946" i="2"/>
  <c r="H1947" i="2" a="1"/>
  <c r="H1947" i="2"/>
  <c r="H1948" i="2" a="1"/>
  <c r="H1948" i="2"/>
  <c r="H1949" i="2" a="1"/>
  <c r="H1949" i="2"/>
  <c r="H1950" i="2" a="1"/>
  <c r="H1950" i="2"/>
  <c r="H1951" i="2" a="1"/>
  <c r="H1951" i="2"/>
  <c r="H1952" i="2" a="1"/>
  <c r="H1952" i="2"/>
  <c r="H1953" i="2" a="1"/>
  <c r="H1953" i="2"/>
  <c r="H1954" i="2" a="1"/>
  <c r="H1954" i="2"/>
  <c r="H1955" i="2" a="1"/>
  <c r="H1955" i="2"/>
  <c r="H1956" i="2" a="1"/>
  <c r="H1956" i="2"/>
  <c r="H1957" i="2" a="1"/>
  <c r="H1957" i="2"/>
  <c r="H1958" i="2" a="1"/>
  <c r="H1958" i="2"/>
  <c r="H1959" i="2" a="1"/>
  <c r="H1959" i="2"/>
  <c r="H1960" i="2" a="1"/>
  <c r="H1960" i="2"/>
  <c r="H1961" i="2" a="1"/>
  <c r="H1961" i="2"/>
  <c r="H1962" i="2" a="1"/>
  <c r="H1962" i="2"/>
  <c r="H1963" i="2" a="1"/>
  <c r="H1963" i="2"/>
  <c r="H1964" i="2" a="1"/>
  <c r="H1964" i="2"/>
  <c r="H1965" i="2" a="1"/>
  <c r="H1965" i="2"/>
  <c r="H1966" i="2" a="1"/>
  <c r="H1966" i="2"/>
  <c r="H1967" i="2" a="1"/>
  <c r="H1967" i="2"/>
  <c r="H1968" i="2" a="1"/>
  <c r="H1968" i="2"/>
  <c r="H1969" i="2" a="1"/>
  <c r="H1969" i="2"/>
  <c r="H1970" i="2" a="1"/>
  <c r="H1970" i="2"/>
  <c r="H1971" i="2" a="1"/>
  <c r="H1971" i="2"/>
  <c r="H1972" i="2" a="1"/>
  <c r="H1972" i="2"/>
  <c r="H1973" i="2" a="1"/>
  <c r="H1973" i="2"/>
  <c r="H1974" i="2" a="1"/>
  <c r="H1974" i="2"/>
  <c r="H1975" i="2" a="1"/>
  <c r="H1975" i="2"/>
  <c r="H1976" i="2" a="1"/>
  <c r="H1976" i="2"/>
  <c r="H1977" i="2" a="1"/>
  <c r="H1977" i="2"/>
  <c r="H1978" i="2" a="1"/>
  <c r="H1978" i="2"/>
  <c r="H1979" i="2" a="1"/>
  <c r="H1979" i="2"/>
  <c r="H1980" i="2" a="1"/>
  <c r="H1980" i="2"/>
  <c r="H1981" i="2" a="1"/>
  <c r="H1981" i="2"/>
  <c r="H1982" i="2" a="1"/>
  <c r="H1982" i="2"/>
  <c r="H1983" i="2" a="1"/>
  <c r="H1983" i="2"/>
  <c r="H1984" i="2" a="1"/>
  <c r="H1984" i="2"/>
  <c r="H1985" i="2" a="1"/>
  <c r="H1985" i="2"/>
  <c r="H1986" i="2" a="1"/>
  <c r="H1986" i="2"/>
  <c r="H1987" i="2" a="1"/>
  <c r="H1987" i="2"/>
  <c r="H1988" i="2" a="1"/>
  <c r="H1988" i="2"/>
  <c r="H1989" i="2" a="1"/>
  <c r="H1989" i="2"/>
  <c r="H1990" i="2" a="1"/>
  <c r="H1990" i="2"/>
  <c r="H1991" i="2" a="1"/>
  <c r="H1991" i="2"/>
  <c r="H1992" i="2" a="1"/>
  <c r="H1992" i="2"/>
  <c r="H1993" i="2" a="1"/>
  <c r="H1993" i="2"/>
  <c r="H1994" i="2" a="1"/>
  <c r="H1994" i="2"/>
  <c r="H1995" i="2" a="1"/>
  <c r="H1995" i="2"/>
  <c r="H1996" i="2" a="1"/>
  <c r="H1996" i="2"/>
  <c r="H1997" i="2" a="1"/>
  <c r="H1997" i="2"/>
  <c r="H1998" i="2" a="1"/>
  <c r="H1998" i="2"/>
  <c r="H1999" i="2" a="1"/>
  <c r="H1999" i="2"/>
  <c r="H2000" i="2" a="1"/>
  <c r="H2000" i="2"/>
  <c r="H2001" i="2" a="1"/>
  <c r="H2001" i="2"/>
  <c r="H2002" i="2" a="1"/>
  <c r="H2002" i="2"/>
  <c r="H2003" i="2" a="1"/>
  <c r="H2003" i="2"/>
  <c r="H2004" i="2" a="1"/>
  <c r="H2004" i="2"/>
  <c r="H2005" i="2" a="1"/>
  <c r="H2005" i="2"/>
  <c r="H2006" i="2" a="1"/>
  <c r="H2006" i="2"/>
  <c r="H2007" i="2" a="1"/>
  <c r="H2007" i="2"/>
  <c r="H2008" i="2" a="1"/>
  <c r="H2008" i="2"/>
  <c r="H2009" i="2" a="1"/>
  <c r="H2009" i="2"/>
  <c r="H2010" i="2" a="1"/>
  <c r="H2010" i="2"/>
  <c r="H2011" i="2" a="1"/>
  <c r="H2011" i="2"/>
  <c r="H2012" i="2" a="1"/>
  <c r="H2012" i="2"/>
  <c r="H2013" i="2" a="1"/>
  <c r="H2013" i="2"/>
  <c r="H2014" i="2" a="1"/>
  <c r="H2014" i="2"/>
  <c r="H2015" i="2" a="1"/>
  <c r="H2015" i="2"/>
  <c r="H2016" i="2" a="1"/>
  <c r="H2016" i="2"/>
  <c r="H2017" i="2" a="1"/>
  <c r="H2017" i="2"/>
  <c r="H2018" i="2" a="1"/>
  <c r="H2018" i="2"/>
  <c r="H2019" i="2" a="1"/>
  <c r="H2019" i="2"/>
  <c r="H2020" i="2" a="1"/>
  <c r="H2020" i="2"/>
  <c r="H2021" i="2" a="1"/>
  <c r="H2021" i="2"/>
  <c r="H2022" i="2" a="1"/>
  <c r="H2022" i="2"/>
  <c r="H2023" i="2" a="1"/>
  <c r="H2023" i="2"/>
  <c r="H2024" i="2" a="1"/>
  <c r="H2024" i="2"/>
  <c r="H2025" i="2" a="1"/>
  <c r="H2025" i="2"/>
  <c r="H2026" i="2" a="1"/>
  <c r="H2026" i="2"/>
  <c r="H2027" i="2" a="1"/>
  <c r="H2027" i="2"/>
  <c r="H2028" i="2" a="1"/>
  <c r="H2028" i="2"/>
  <c r="H2029" i="2" a="1"/>
  <c r="H2029" i="2"/>
  <c r="H2030" i="2" a="1"/>
  <c r="H2030" i="2"/>
  <c r="H2031" i="2" a="1"/>
  <c r="H2031" i="2"/>
  <c r="H2032" i="2" a="1"/>
  <c r="H2032" i="2"/>
  <c r="H2033" i="2" a="1"/>
  <c r="H2033" i="2"/>
  <c r="H2034" i="2" a="1"/>
  <c r="H2034" i="2"/>
  <c r="H2035" i="2" a="1"/>
  <c r="H2035" i="2"/>
  <c r="H2036" i="2" a="1"/>
  <c r="H2036" i="2"/>
  <c r="H2037" i="2" a="1"/>
  <c r="H2037" i="2"/>
  <c r="H2038" i="2" a="1"/>
  <c r="H2038" i="2"/>
  <c r="H2039" i="2" a="1"/>
  <c r="H2039" i="2"/>
  <c r="H2040" i="2" a="1"/>
  <c r="H2040" i="2"/>
  <c r="H2041" i="2" a="1"/>
  <c r="H2041" i="2"/>
  <c r="H2042" i="2" a="1"/>
  <c r="H2042" i="2"/>
  <c r="H2043" i="2" a="1"/>
  <c r="H2043" i="2"/>
  <c r="H2044" i="2" a="1"/>
  <c r="H2044" i="2"/>
  <c r="H2045" i="2" a="1"/>
  <c r="H2045" i="2"/>
  <c r="H2046" i="2" a="1"/>
  <c r="H2046" i="2"/>
  <c r="H2047" i="2" a="1"/>
  <c r="H2047" i="2"/>
  <c r="H2048" i="2" a="1"/>
  <c r="H2048" i="2"/>
  <c r="H2049" i="2" a="1"/>
  <c r="H2049" i="2"/>
  <c r="H2050" i="2" a="1"/>
  <c r="H2050" i="2"/>
  <c r="H2051" i="2" a="1"/>
  <c r="H2051" i="2"/>
  <c r="H2052" i="2" a="1"/>
  <c r="H2052" i="2"/>
  <c r="H2053" i="2" a="1"/>
  <c r="H2053" i="2"/>
  <c r="H2054" i="2" a="1"/>
  <c r="H2054" i="2"/>
  <c r="H2055" i="2" a="1"/>
  <c r="H2055" i="2"/>
  <c r="H2056" i="2" a="1"/>
  <c r="H2056" i="2"/>
  <c r="H2057" i="2" a="1"/>
  <c r="H2057" i="2"/>
  <c r="H2058" i="2" a="1"/>
  <c r="H2058" i="2"/>
  <c r="H2059" i="2" a="1"/>
  <c r="H2059" i="2"/>
  <c r="H2060" i="2" a="1"/>
  <c r="H2060" i="2"/>
  <c r="H2061" i="2" a="1"/>
  <c r="H2061" i="2"/>
  <c r="H2062" i="2" a="1"/>
  <c r="H2062" i="2"/>
  <c r="H2063" i="2" a="1"/>
  <c r="H2063" i="2"/>
  <c r="H2064" i="2" a="1"/>
  <c r="H2064" i="2"/>
  <c r="H2065" i="2" a="1"/>
  <c r="H2065" i="2"/>
  <c r="H2066" i="2" a="1"/>
  <c r="H2066" i="2"/>
  <c r="H2067" i="2" a="1"/>
  <c r="H2067" i="2"/>
  <c r="H2068" i="2" a="1"/>
  <c r="H2068" i="2"/>
  <c r="H2069" i="2" a="1"/>
  <c r="H2069" i="2"/>
  <c r="H2070" i="2" a="1"/>
  <c r="H2070" i="2"/>
  <c r="H2071" i="2" a="1"/>
  <c r="H2071" i="2"/>
  <c r="H2072" i="2" a="1"/>
  <c r="H2072" i="2"/>
  <c r="H2073" i="2" a="1"/>
  <c r="H2073" i="2"/>
  <c r="H2074" i="2" a="1"/>
  <c r="H2074" i="2"/>
  <c r="H2075" i="2" a="1"/>
  <c r="H2075" i="2"/>
  <c r="H2076" i="2" a="1"/>
  <c r="H2076" i="2"/>
  <c r="H2077" i="2" a="1"/>
  <c r="H2077" i="2"/>
  <c r="H2078" i="2" a="1"/>
  <c r="H2078" i="2"/>
  <c r="H2079" i="2" a="1"/>
  <c r="H2079" i="2"/>
  <c r="H2080" i="2" a="1"/>
  <c r="H2080" i="2"/>
  <c r="H2081" i="2" a="1"/>
  <c r="H2081" i="2"/>
  <c r="H2082" i="2" a="1"/>
  <c r="H2082" i="2"/>
  <c r="H2083" i="2" a="1"/>
  <c r="H2083" i="2"/>
  <c r="H2084" i="2" a="1"/>
  <c r="H2084" i="2"/>
  <c r="H2085" i="2" a="1"/>
  <c r="H2085" i="2"/>
  <c r="H2086" i="2" a="1"/>
  <c r="H2086" i="2"/>
  <c r="H2087" i="2" a="1"/>
  <c r="H2087" i="2"/>
  <c r="H2088" i="2" a="1"/>
  <c r="H2088" i="2"/>
  <c r="H2089" i="2" a="1"/>
  <c r="H2089" i="2"/>
  <c r="H2090" i="2" a="1"/>
  <c r="H2090" i="2"/>
  <c r="H2091" i="2" a="1"/>
  <c r="H2091" i="2"/>
  <c r="H2092" i="2" a="1"/>
  <c r="H2092" i="2"/>
  <c r="H2093" i="2" a="1"/>
  <c r="H2093" i="2"/>
  <c r="H2094" i="2" a="1"/>
  <c r="H2094" i="2"/>
  <c r="H2095" i="2" a="1"/>
  <c r="H2095" i="2"/>
  <c r="H2096" i="2" a="1"/>
  <c r="H2096" i="2"/>
  <c r="H2097" i="2" a="1"/>
  <c r="H2097" i="2"/>
  <c r="H2098" i="2" a="1"/>
  <c r="H2098" i="2"/>
  <c r="H2099" i="2" a="1"/>
  <c r="H2099" i="2"/>
  <c r="H2100" i="2" a="1"/>
  <c r="H2100" i="2"/>
  <c r="H2101" i="2" a="1"/>
  <c r="H2101" i="2"/>
  <c r="H2102" i="2" a="1"/>
  <c r="H2102" i="2"/>
  <c r="H2103" i="2" a="1"/>
  <c r="H2103" i="2"/>
  <c r="H2104" i="2" a="1"/>
  <c r="H2104" i="2"/>
  <c r="H2105" i="2" a="1"/>
  <c r="H2105" i="2"/>
  <c r="H2106" i="2" a="1"/>
  <c r="H2106" i="2"/>
  <c r="H2107" i="2" a="1"/>
  <c r="H2107" i="2"/>
  <c r="H2108" i="2" a="1"/>
  <c r="H2108" i="2"/>
  <c r="H2109" i="2" a="1"/>
  <c r="H2109" i="2"/>
  <c r="H2110" i="2" a="1"/>
  <c r="H2110" i="2"/>
  <c r="H2111" i="2" a="1"/>
  <c r="H2111" i="2"/>
  <c r="H2112" i="2" a="1"/>
  <c r="H2112" i="2"/>
  <c r="H2113" i="2" a="1"/>
  <c r="H2113" i="2"/>
  <c r="H2114" i="2" a="1"/>
  <c r="H2114" i="2"/>
  <c r="H2115" i="2" a="1"/>
  <c r="H2115" i="2"/>
  <c r="H2116" i="2" a="1"/>
  <c r="H2116" i="2"/>
  <c r="H2117" i="2" a="1"/>
  <c r="H2117" i="2"/>
  <c r="H2118" i="2" a="1"/>
  <c r="H2118" i="2"/>
  <c r="H2119" i="2" a="1"/>
  <c r="H2119" i="2"/>
  <c r="H2120" i="2" a="1"/>
  <c r="H2120" i="2"/>
  <c r="H2121" i="2" a="1"/>
  <c r="H2121" i="2"/>
  <c r="H2122" i="2" a="1"/>
  <c r="H2122" i="2"/>
  <c r="H2123" i="2" a="1"/>
  <c r="H2123" i="2"/>
  <c r="H2124" i="2" a="1"/>
  <c r="H2124" i="2"/>
  <c r="H2125" i="2" a="1"/>
  <c r="H2125" i="2"/>
  <c r="H2126" i="2" a="1"/>
  <c r="H2126" i="2"/>
  <c r="H2127" i="2" a="1"/>
  <c r="H2127" i="2"/>
  <c r="H2128" i="2" a="1"/>
  <c r="H2128" i="2"/>
  <c r="H2129" i="2" a="1"/>
  <c r="H2129" i="2"/>
  <c r="H2130" i="2" a="1"/>
  <c r="H2130" i="2"/>
  <c r="H2131" i="2" a="1"/>
  <c r="H2131" i="2"/>
  <c r="H2132" i="2" a="1"/>
  <c r="H2132" i="2"/>
  <c r="H2133" i="2" a="1"/>
  <c r="H2133" i="2"/>
  <c r="H2134" i="2" a="1"/>
  <c r="H2134" i="2"/>
  <c r="H2135" i="2" a="1"/>
  <c r="H2135" i="2"/>
  <c r="H2136" i="2" a="1"/>
  <c r="H2136" i="2"/>
  <c r="H2137" i="2" a="1"/>
  <c r="H2137" i="2"/>
  <c r="H2138" i="2" a="1"/>
  <c r="H2138" i="2"/>
  <c r="H2139" i="2" a="1"/>
  <c r="H2139" i="2"/>
  <c r="H2140" i="2" a="1"/>
  <c r="H2140" i="2"/>
  <c r="H2141" i="2" a="1"/>
  <c r="H2141" i="2"/>
  <c r="H2142" i="2" a="1"/>
  <c r="H2142" i="2"/>
  <c r="H2143" i="2" a="1"/>
  <c r="H2143" i="2"/>
  <c r="H2144" i="2" a="1"/>
  <c r="H2144" i="2"/>
  <c r="H2145" i="2" a="1"/>
  <c r="H2145" i="2"/>
  <c r="H2146" i="2" a="1"/>
  <c r="H2146" i="2"/>
  <c r="H2147" i="2" a="1"/>
  <c r="H2147" i="2"/>
  <c r="H2148" i="2" a="1"/>
  <c r="H2148" i="2"/>
  <c r="H2149" i="2" a="1"/>
  <c r="H2149" i="2"/>
  <c r="H2150" i="2" a="1"/>
  <c r="H2150" i="2"/>
  <c r="H2151" i="2" a="1"/>
  <c r="H2151" i="2"/>
  <c r="H2152" i="2" a="1"/>
  <c r="H2152" i="2"/>
  <c r="H2153" i="2" a="1"/>
  <c r="H2153" i="2"/>
  <c r="H2154" i="2" a="1"/>
  <c r="H2154" i="2"/>
  <c r="H2155" i="2" a="1"/>
  <c r="H2155" i="2"/>
  <c r="H2156" i="2" a="1"/>
  <c r="H2156" i="2"/>
  <c r="H2157" i="2" a="1"/>
  <c r="H2157" i="2"/>
  <c r="H2158" i="2" a="1"/>
  <c r="H2158" i="2"/>
  <c r="H2159" i="2" a="1"/>
  <c r="H2159" i="2"/>
  <c r="H2160" i="2" a="1"/>
  <c r="H2160" i="2"/>
  <c r="H2161" i="2" a="1"/>
  <c r="H2161" i="2"/>
  <c r="H2162" i="2" a="1"/>
  <c r="H2162" i="2"/>
  <c r="H2163" i="2" a="1"/>
  <c r="H2163" i="2"/>
  <c r="H2164" i="2" a="1"/>
  <c r="H2164" i="2"/>
  <c r="H2165" i="2" a="1"/>
  <c r="H2165" i="2"/>
  <c r="H2166" i="2" a="1"/>
  <c r="H2166" i="2"/>
  <c r="H2167" i="2" a="1"/>
  <c r="H2167" i="2"/>
  <c r="H2168" i="2" a="1"/>
  <c r="H2168" i="2"/>
  <c r="H2169" i="2" a="1"/>
  <c r="H2169" i="2"/>
  <c r="H2170" i="2" a="1"/>
  <c r="H2170" i="2"/>
  <c r="H2171" i="2" a="1"/>
  <c r="H2171" i="2"/>
  <c r="H2172" i="2" a="1"/>
  <c r="H2172" i="2"/>
  <c r="H2173" i="2" a="1"/>
  <c r="H2173" i="2"/>
  <c r="H2174" i="2" a="1"/>
  <c r="H2174" i="2"/>
  <c r="H2175" i="2" a="1"/>
  <c r="H2175" i="2"/>
  <c r="H2176" i="2" a="1"/>
  <c r="H2176" i="2"/>
  <c r="H2177" i="2" a="1"/>
  <c r="H2177" i="2"/>
  <c r="H2178" i="2" a="1"/>
  <c r="H2178" i="2"/>
  <c r="H2179" i="2" a="1"/>
  <c r="H2179" i="2"/>
  <c r="H2180" i="2" a="1"/>
  <c r="H2180" i="2"/>
  <c r="H2181" i="2" a="1"/>
  <c r="H2181" i="2"/>
  <c r="H2182" i="2" a="1"/>
  <c r="H2182" i="2"/>
  <c r="H2183" i="2" a="1"/>
  <c r="H2183" i="2"/>
  <c r="H2184" i="2" a="1"/>
  <c r="H2184" i="2"/>
  <c r="H2185" i="2" a="1"/>
  <c r="H2185" i="2"/>
  <c r="H2186" i="2" a="1"/>
  <c r="H2186" i="2"/>
  <c r="H2187" i="2" a="1"/>
  <c r="H2187" i="2"/>
  <c r="H2188" i="2" a="1"/>
  <c r="H2188" i="2"/>
  <c r="H2189" i="2" a="1"/>
  <c r="H2189" i="2"/>
  <c r="H2190" i="2" a="1"/>
  <c r="H2190" i="2"/>
  <c r="H2191" i="2" a="1"/>
  <c r="H2191" i="2"/>
  <c r="H2192" i="2" a="1"/>
  <c r="H2192" i="2"/>
  <c r="H2193" i="2" a="1"/>
  <c r="H2193" i="2"/>
  <c r="H2194" i="2" a="1"/>
  <c r="H2194" i="2"/>
  <c r="H2195" i="2" a="1"/>
  <c r="H2195" i="2"/>
  <c r="H2196" i="2" a="1"/>
  <c r="H2196" i="2"/>
  <c r="H2197" i="2" a="1"/>
  <c r="H2197" i="2"/>
  <c r="H2198" i="2" a="1"/>
  <c r="H2198" i="2"/>
  <c r="H2199" i="2" a="1"/>
  <c r="H2199" i="2"/>
  <c r="H2200" i="2" a="1"/>
  <c r="H2200" i="2"/>
  <c r="H2201" i="2" a="1"/>
  <c r="H2201" i="2"/>
  <c r="H2202" i="2" a="1"/>
  <c r="H2202" i="2"/>
  <c r="H2203" i="2" a="1"/>
  <c r="H2203" i="2"/>
  <c r="H2204" i="2" a="1"/>
  <c r="H2204" i="2"/>
  <c r="H2205" i="2" a="1"/>
  <c r="H2205" i="2"/>
  <c r="H2206" i="2" a="1"/>
  <c r="H2206" i="2"/>
  <c r="H2207" i="2" a="1"/>
  <c r="H2207" i="2"/>
  <c r="H2208" i="2" a="1"/>
  <c r="H2208" i="2"/>
  <c r="H2209" i="2" a="1"/>
  <c r="H2209" i="2"/>
  <c r="H2210" i="2" a="1"/>
  <c r="H2210" i="2"/>
  <c r="H2211" i="2" a="1"/>
  <c r="H2211" i="2"/>
  <c r="H2212" i="2" a="1"/>
  <c r="H2212" i="2"/>
  <c r="H2213" i="2" a="1"/>
  <c r="H2213" i="2"/>
  <c r="H2214" i="2" a="1"/>
  <c r="H2214" i="2"/>
  <c r="H2215" i="2" a="1"/>
  <c r="H2215" i="2"/>
  <c r="H2216" i="2" a="1"/>
  <c r="H2216" i="2"/>
  <c r="H2217" i="2" a="1"/>
  <c r="H2217" i="2"/>
  <c r="H2218" i="2" a="1"/>
  <c r="H2218" i="2"/>
  <c r="H2219" i="2" a="1"/>
  <c r="H2219" i="2"/>
  <c r="H2220" i="2" a="1"/>
  <c r="H2220" i="2"/>
  <c r="H2221" i="2" a="1"/>
  <c r="H2221" i="2"/>
  <c r="H2222" i="2" a="1"/>
  <c r="H2222" i="2"/>
  <c r="H2223" i="2" a="1"/>
  <c r="H2223" i="2"/>
  <c r="H2224" i="2" a="1"/>
  <c r="H2224" i="2"/>
  <c r="H2225" i="2" a="1"/>
  <c r="H2225" i="2"/>
  <c r="H2226" i="2" a="1"/>
  <c r="H2226" i="2"/>
  <c r="H2227" i="2" a="1"/>
  <c r="H2227" i="2"/>
  <c r="H2228" i="2" a="1"/>
  <c r="H2228" i="2"/>
  <c r="H2229" i="2" a="1"/>
  <c r="H2229" i="2"/>
  <c r="H2230" i="2" a="1"/>
  <c r="H2230" i="2"/>
  <c r="H2231" i="2" a="1"/>
  <c r="H2231" i="2"/>
  <c r="H2232" i="2" a="1"/>
  <c r="H2232" i="2"/>
  <c r="H2233" i="2" a="1"/>
  <c r="H2233" i="2"/>
  <c r="H2234" i="2" a="1"/>
  <c r="H2234" i="2"/>
  <c r="H2235" i="2" a="1"/>
  <c r="H2235" i="2"/>
  <c r="H2236" i="2" a="1"/>
  <c r="H2236" i="2"/>
  <c r="H2237" i="2" a="1"/>
  <c r="H2237" i="2"/>
  <c r="H2238" i="2" a="1"/>
  <c r="H2238" i="2"/>
  <c r="H2239" i="2" a="1"/>
  <c r="H2239" i="2"/>
  <c r="H2240" i="2" a="1"/>
  <c r="H2240" i="2"/>
  <c r="H2241" i="2" a="1"/>
  <c r="H2241" i="2"/>
  <c r="H2242" i="2" a="1"/>
  <c r="H2242" i="2"/>
  <c r="H2243" i="2" a="1"/>
  <c r="H2243" i="2"/>
  <c r="H2244" i="2" a="1"/>
  <c r="H2244" i="2"/>
  <c r="H2245" i="2" a="1"/>
  <c r="H2245" i="2"/>
  <c r="H2246" i="2" a="1"/>
  <c r="H2246" i="2"/>
  <c r="H2247" i="2" a="1"/>
  <c r="H2247" i="2"/>
  <c r="H2248" i="2" a="1"/>
  <c r="H2248" i="2"/>
  <c r="H2249" i="2" a="1"/>
  <c r="H2249" i="2"/>
  <c r="H2250" i="2" a="1"/>
  <c r="H2250" i="2"/>
  <c r="H2251" i="2" a="1"/>
  <c r="H2251" i="2"/>
  <c r="H2252" i="2" a="1"/>
  <c r="H2252" i="2"/>
  <c r="H2253" i="2" a="1"/>
  <c r="H2253" i="2"/>
  <c r="H2254" i="2" a="1"/>
  <c r="H2254" i="2"/>
  <c r="H2255" i="2" a="1"/>
  <c r="H2255" i="2"/>
  <c r="H2256" i="2" a="1"/>
  <c r="H2256" i="2"/>
  <c r="H2257" i="2" a="1"/>
  <c r="H2257" i="2"/>
  <c r="H2258" i="2" a="1"/>
  <c r="H2258" i="2"/>
  <c r="H2259" i="2" a="1"/>
  <c r="H2259" i="2"/>
  <c r="H2260" i="2" a="1"/>
  <c r="H2260" i="2"/>
  <c r="H2261" i="2" a="1"/>
  <c r="H2261" i="2"/>
  <c r="H2262" i="2" a="1"/>
  <c r="H2262" i="2"/>
  <c r="H2263" i="2" a="1"/>
  <c r="H2263" i="2"/>
  <c r="H2264" i="2" a="1"/>
  <c r="H2264" i="2"/>
  <c r="H2265" i="2" a="1"/>
  <c r="H2265" i="2"/>
  <c r="H2266" i="2" a="1"/>
  <c r="H2266" i="2"/>
  <c r="H2267" i="2" a="1"/>
  <c r="H2267" i="2"/>
  <c r="H2268" i="2" a="1"/>
  <c r="H2268" i="2"/>
  <c r="H2269" i="2" a="1"/>
  <c r="H2269" i="2"/>
  <c r="H2270" i="2" a="1"/>
  <c r="H2270" i="2"/>
  <c r="H2271" i="2" a="1"/>
  <c r="H2271" i="2"/>
  <c r="H2272" i="2" a="1"/>
  <c r="H2272" i="2"/>
  <c r="H2273" i="2" a="1"/>
  <c r="H2273" i="2"/>
  <c r="H2274" i="2" a="1"/>
  <c r="H2274" i="2"/>
  <c r="H2275" i="2" a="1"/>
  <c r="H2275" i="2"/>
  <c r="H2276" i="2" a="1"/>
  <c r="H2276" i="2"/>
  <c r="H2277" i="2" a="1"/>
  <c r="H2277" i="2"/>
  <c r="H2278" i="2" a="1"/>
  <c r="H2278" i="2"/>
  <c r="H2279" i="2" a="1"/>
  <c r="H2279" i="2"/>
  <c r="H2280" i="2" a="1"/>
  <c r="H2280" i="2"/>
  <c r="H2281" i="2" a="1"/>
  <c r="H2281" i="2"/>
  <c r="H2282" i="2" a="1"/>
  <c r="H2282" i="2"/>
  <c r="H2283" i="2" a="1"/>
  <c r="H2283" i="2"/>
  <c r="H2284" i="2" a="1"/>
  <c r="H2284" i="2"/>
  <c r="H2285" i="2" a="1"/>
  <c r="H2285" i="2"/>
  <c r="H2286" i="2" a="1"/>
  <c r="H2286" i="2"/>
  <c r="H2287" i="2" a="1"/>
  <c r="H2287" i="2"/>
  <c r="H2288" i="2" a="1"/>
  <c r="H2288" i="2"/>
  <c r="H2289" i="2" a="1"/>
  <c r="H2289" i="2"/>
  <c r="H2290" i="2" a="1"/>
  <c r="H2290" i="2"/>
  <c r="H2291" i="2" a="1"/>
  <c r="H2291" i="2"/>
  <c r="H2292" i="2" a="1"/>
  <c r="H2292" i="2"/>
  <c r="H2293" i="2" a="1"/>
  <c r="H2293" i="2"/>
  <c r="H2294" i="2" a="1"/>
  <c r="H2294" i="2"/>
  <c r="H2295" i="2" a="1"/>
  <c r="H2295" i="2"/>
  <c r="H2296" i="2" a="1"/>
  <c r="H2296" i="2"/>
  <c r="H2297" i="2" a="1"/>
  <c r="H2297" i="2"/>
  <c r="H2298" i="2" a="1"/>
  <c r="H2298" i="2"/>
  <c r="H2299" i="2" a="1"/>
  <c r="H2299" i="2"/>
  <c r="H2300" i="2" a="1"/>
  <c r="H2300" i="2"/>
  <c r="H2301" i="2" a="1"/>
  <c r="H2301" i="2"/>
  <c r="H2302" i="2" a="1"/>
  <c r="H2302" i="2"/>
  <c r="H2303" i="2" a="1"/>
  <c r="H2303" i="2"/>
  <c r="H2304" i="2" a="1"/>
  <c r="H2304" i="2"/>
  <c r="H2305" i="2" a="1"/>
  <c r="H2305" i="2"/>
  <c r="H2306" i="2" a="1"/>
  <c r="H2306" i="2"/>
  <c r="H2307" i="2" a="1"/>
  <c r="H2307" i="2"/>
  <c r="H2308" i="2" a="1"/>
  <c r="H2308" i="2"/>
  <c r="H2309" i="2" a="1"/>
  <c r="H2309" i="2"/>
  <c r="H2310" i="2" a="1"/>
  <c r="H2310" i="2"/>
  <c r="H2311" i="2" a="1"/>
  <c r="H2311" i="2"/>
  <c r="H2312" i="2" a="1"/>
  <c r="H2312" i="2"/>
  <c r="H2313" i="2" a="1"/>
  <c r="H2313" i="2"/>
  <c r="H2314" i="2" a="1"/>
  <c r="H2314" i="2"/>
  <c r="H2315" i="2" a="1"/>
  <c r="H2315" i="2"/>
  <c r="H2316" i="2" a="1"/>
  <c r="H2316" i="2"/>
  <c r="H2317" i="2" a="1"/>
  <c r="H2317" i="2"/>
  <c r="H2318" i="2" a="1"/>
  <c r="H2318" i="2"/>
  <c r="H2319" i="2" a="1"/>
  <c r="H2319" i="2"/>
  <c r="H2320" i="2" a="1"/>
  <c r="H2320" i="2"/>
  <c r="H2321" i="2" a="1"/>
  <c r="H2321" i="2"/>
  <c r="H2322" i="2" a="1"/>
  <c r="H2322" i="2"/>
  <c r="H2323" i="2" a="1"/>
  <c r="H2323" i="2"/>
  <c r="H2324" i="2" a="1"/>
  <c r="H2324" i="2"/>
  <c r="H2325" i="2" a="1"/>
  <c r="H2325" i="2"/>
  <c r="H2326" i="2" a="1"/>
  <c r="H2326" i="2"/>
  <c r="H2327" i="2" a="1"/>
  <c r="H2327" i="2"/>
  <c r="H2328" i="2" a="1"/>
  <c r="H2328" i="2"/>
  <c r="H2329" i="2" a="1"/>
  <c r="H2329" i="2"/>
  <c r="H2330" i="2" a="1"/>
  <c r="H2330" i="2"/>
  <c r="H2331" i="2" a="1"/>
  <c r="H2331" i="2"/>
  <c r="H2332" i="2" a="1"/>
  <c r="H2332" i="2"/>
  <c r="H2333" i="2" a="1"/>
  <c r="H2333" i="2"/>
  <c r="H2334" i="2" a="1"/>
  <c r="H2334" i="2"/>
  <c r="H2335" i="2" a="1"/>
  <c r="H2335" i="2"/>
  <c r="H2336" i="2" a="1"/>
  <c r="H2336" i="2"/>
  <c r="H2337" i="2" a="1"/>
  <c r="H2337" i="2"/>
  <c r="H2338" i="2" a="1"/>
  <c r="H2338" i="2"/>
  <c r="H2339" i="2" a="1"/>
  <c r="H2339" i="2"/>
  <c r="H2340" i="2" a="1"/>
  <c r="H2340" i="2"/>
  <c r="H2341" i="2" a="1"/>
  <c r="H2341" i="2"/>
  <c r="H2342" i="2" a="1"/>
  <c r="H2342" i="2"/>
  <c r="H2343" i="2" a="1"/>
  <c r="H2343" i="2"/>
  <c r="H2344" i="2" a="1"/>
  <c r="H2344" i="2"/>
  <c r="H2345" i="2" a="1"/>
  <c r="H2345" i="2"/>
  <c r="H2346" i="2" a="1"/>
  <c r="H2346" i="2"/>
  <c r="H2347" i="2" a="1"/>
  <c r="H2347" i="2"/>
  <c r="H2348" i="2" a="1"/>
  <c r="H2348" i="2"/>
  <c r="H2349" i="2" a="1"/>
  <c r="H2349" i="2"/>
  <c r="H2350" i="2" a="1"/>
  <c r="H2350" i="2"/>
  <c r="H2351" i="2" a="1"/>
  <c r="H2351" i="2"/>
  <c r="H2352" i="2" a="1"/>
  <c r="H2352" i="2"/>
  <c r="H2353" i="2" a="1"/>
  <c r="H2353" i="2"/>
  <c r="H2354" i="2" a="1"/>
  <c r="H2354" i="2"/>
  <c r="H2355" i="2" a="1"/>
  <c r="H2355" i="2"/>
  <c r="H2356" i="2" a="1"/>
  <c r="H2356" i="2"/>
  <c r="H2357" i="2" a="1"/>
  <c r="H2357" i="2"/>
  <c r="H2358" i="2" a="1"/>
  <c r="H2358" i="2"/>
  <c r="H2359" i="2" a="1"/>
  <c r="H2359" i="2"/>
  <c r="H2360" i="2" a="1"/>
  <c r="H2360" i="2"/>
  <c r="H2361" i="2" a="1"/>
  <c r="H2361" i="2"/>
  <c r="H2362" i="2" a="1"/>
  <c r="H2362" i="2"/>
  <c r="H2363" i="2" a="1"/>
  <c r="H2363" i="2"/>
  <c r="H2364" i="2" a="1"/>
  <c r="H2364" i="2"/>
  <c r="H2365" i="2" a="1"/>
  <c r="H2365" i="2"/>
  <c r="H2366" i="2" a="1"/>
  <c r="H2366" i="2"/>
  <c r="H2367" i="2" a="1"/>
  <c r="H2367" i="2"/>
  <c r="H2368" i="2" a="1"/>
  <c r="H2368" i="2"/>
  <c r="H2369" i="2" a="1"/>
  <c r="H2369" i="2"/>
  <c r="H2370" i="2" a="1"/>
  <c r="H2370" i="2"/>
  <c r="H2371" i="2" a="1"/>
  <c r="H2371" i="2"/>
  <c r="H2372" i="2" a="1"/>
  <c r="H2372" i="2"/>
  <c r="H2373" i="2" a="1"/>
  <c r="H2373" i="2"/>
  <c r="H2374" i="2" a="1"/>
  <c r="H2374" i="2"/>
  <c r="H2375" i="2" a="1"/>
  <c r="H2375" i="2"/>
  <c r="H2376" i="2" a="1"/>
  <c r="H2376" i="2"/>
  <c r="H2377" i="2" a="1"/>
  <c r="H2377" i="2"/>
  <c r="H2378" i="2" a="1"/>
  <c r="H2378" i="2"/>
  <c r="H2379" i="2" a="1"/>
  <c r="H2379" i="2"/>
  <c r="H2380" i="2" a="1"/>
  <c r="H2380" i="2"/>
  <c r="H2381" i="2" a="1"/>
  <c r="H2381" i="2"/>
  <c r="H2382" i="2" a="1"/>
  <c r="H2382" i="2"/>
  <c r="H2383" i="2" a="1"/>
  <c r="H2383" i="2"/>
  <c r="H2384" i="2" a="1"/>
  <c r="H2384" i="2"/>
  <c r="H2385" i="2" a="1"/>
  <c r="H2385" i="2"/>
  <c r="H2386" i="2" a="1"/>
  <c r="H2386" i="2"/>
  <c r="H2387" i="2" a="1"/>
  <c r="H2387" i="2"/>
  <c r="H2388" i="2" a="1"/>
  <c r="H2388" i="2"/>
  <c r="H2389" i="2" a="1"/>
  <c r="H2389" i="2"/>
  <c r="H2390" i="2" a="1"/>
  <c r="H2390" i="2"/>
  <c r="H2391" i="2" a="1"/>
  <c r="H2391" i="2"/>
  <c r="H2392" i="2" a="1"/>
  <c r="H2392" i="2"/>
  <c r="H2393" i="2" a="1"/>
  <c r="H2393" i="2"/>
  <c r="H2394" i="2" a="1"/>
  <c r="H2394" i="2"/>
  <c r="H2395" i="2" a="1"/>
  <c r="H2395" i="2"/>
  <c r="H2396" i="2" a="1"/>
  <c r="H2396" i="2"/>
  <c r="H2397" i="2" a="1"/>
  <c r="H2397" i="2"/>
  <c r="H2398" i="2" a="1"/>
  <c r="H2398" i="2"/>
  <c r="H2399" i="2" a="1"/>
  <c r="H2399" i="2"/>
  <c r="H2400" i="2" a="1"/>
  <c r="H2400" i="2"/>
  <c r="H2401" i="2" a="1"/>
  <c r="H2401" i="2"/>
  <c r="H2402" i="2" a="1"/>
  <c r="H2402" i="2"/>
  <c r="H2403" i="2" a="1"/>
  <c r="H2403" i="2"/>
  <c r="H2404" i="2" a="1"/>
  <c r="H2404" i="2"/>
  <c r="H2405" i="2" a="1"/>
  <c r="H2405" i="2"/>
  <c r="H2406" i="2" a="1"/>
  <c r="H2406" i="2"/>
  <c r="H2407" i="2" a="1"/>
  <c r="H2407" i="2"/>
  <c r="H2408" i="2" a="1"/>
  <c r="H2408" i="2"/>
  <c r="H2409" i="2" a="1"/>
  <c r="H2409" i="2"/>
  <c r="H2410" i="2" a="1"/>
  <c r="H2410" i="2"/>
  <c r="H2411" i="2" a="1"/>
  <c r="H2411" i="2"/>
  <c r="H2412" i="2" a="1"/>
  <c r="H2412" i="2"/>
  <c r="H2413" i="2" a="1"/>
  <c r="H2413" i="2"/>
  <c r="H2414" i="2" a="1"/>
  <c r="H2414" i="2"/>
  <c r="H2415" i="2" a="1"/>
  <c r="H2415" i="2"/>
  <c r="H2416" i="2" a="1"/>
  <c r="H2416" i="2"/>
  <c r="H2417" i="2" a="1"/>
  <c r="H2417" i="2"/>
  <c r="H2418" i="2" a="1"/>
  <c r="H2418" i="2"/>
  <c r="H2419" i="2" a="1"/>
  <c r="H2419" i="2"/>
  <c r="H2420" i="2" a="1"/>
  <c r="H2420" i="2"/>
  <c r="H2421" i="2" a="1"/>
  <c r="H2421" i="2"/>
  <c r="H2422" i="2" a="1"/>
  <c r="H2422" i="2"/>
  <c r="H2423" i="2" a="1"/>
  <c r="H2423" i="2"/>
  <c r="H2424" i="2" a="1"/>
  <c r="H2424" i="2"/>
  <c r="H2425" i="2" a="1"/>
  <c r="H2425" i="2"/>
  <c r="H2426" i="2" a="1"/>
  <c r="H2426" i="2"/>
  <c r="H2427" i="2" a="1"/>
  <c r="H2427" i="2"/>
  <c r="H2428" i="2" a="1"/>
  <c r="H2428" i="2"/>
  <c r="H2429" i="2" a="1"/>
  <c r="H2429" i="2"/>
  <c r="H2430" i="2" a="1"/>
  <c r="H2430" i="2"/>
  <c r="H2431" i="2" a="1"/>
  <c r="H2431" i="2"/>
  <c r="H2432" i="2" a="1"/>
  <c r="H2432" i="2"/>
  <c r="H2433" i="2" a="1"/>
  <c r="H2433" i="2"/>
  <c r="H2434" i="2" a="1"/>
  <c r="H2434" i="2"/>
  <c r="H2435" i="2" a="1"/>
  <c r="H2435" i="2"/>
  <c r="H2436" i="2" a="1"/>
  <c r="H2436" i="2"/>
  <c r="H2437" i="2" a="1"/>
  <c r="H2437" i="2"/>
  <c r="H2438" i="2" a="1"/>
  <c r="H2438" i="2"/>
  <c r="H2439" i="2" a="1"/>
  <c r="H2439" i="2"/>
  <c r="H2440" i="2" a="1"/>
  <c r="H2440" i="2"/>
  <c r="H2441" i="2" a="1"/>
  <c r="H2441" i="2"/>
  <c r="H2442" i="2" a="1"/>
  <c r="H2442" i="2"/>
  <c r="H2443" i="2" a="1"/>
  <c r="H2443" i="2"/>
  <c r="H2444" i="2" a="1"/>
  <c r="H2444" i="2"/>
  <c r="H2445" i="2" a="1"/>
  <c r="H2445" i="2"/>
  <c r="H2446" i="2" a="1"/>
  <c r="H2446" i="2"/>
  <c r="H2447" i="2" a="1"/>
  <c r="H2447" i="2"/>
  <c r="H2448" i="2" a="1"/>
  <c r="H2448" i="2"/>
  <c r="H2449" i="2" a="1"/>
  <c r="H2449" i="2"/>
  <c r="H2450" i="2" a="1"/>
  <c r="H2450" i="2"/>
  <c r="H2451" i="2" a="1"/>
  <c r="H2451" i="2"/>
  <c r="H2452" i="2" a="1"/>
  <c r="H2452" i="2"/>
  <c r="H2453" i="2" a="1"/>
  <c r="H2453" i="2"/>
  <c r="H2454" i="2" a="1"/>
  <c r="H2454" i="2"/>
  <c r="H2455" i="2" a="1"/>
  <c r="H2455" i="2"/>
  <c r="H2456" i="2" a="1"/>
  <c r="H2456" i="2"/>
  <c r="H2457" i="2" a="1"/>
  <c r="H2457" i="2"/>
  <c r="H2458" i="2" a="1"/>
  <c r="H2458" i="2"/>
  <c r="H2459" i="2" a="1"/>
  <c r="H2459" i="2"/>
  <c r="H2460" i="2" a="1"/>
  <c r="H2460" i="2"/>
  <c r="H2461" i="2" a="1"/>
  <c r="H2461" i="2"/>
  <c r="H2462" i="2" a="1"/>
  <c r="H2462" i="2"/>
  <c r="H2463" i="2" a="1"/>
  <c r="H2463" i="2"/>
  <c r="H2464" i="2" a="1"/>
  <c r="H2464" i="2"/>
  <c r="H2465" i="2" a="1"/>
  <c r="H2465" i="2"/>
  <c r="H2466" i="2" a="1"/>
  <c r="H2466" i="2"/>
  <c r="H2467" i="2" a="1"/>
  <c r="H2467" i="2"/>
  <c r="H2468" i="2" a="1"/>
  <c r="H2468" i="2"/>
  <c r="H2469" i="2" a="1"/>
  <c r="H2469" i="2"/>
  <c r="H2470" i="2" a="1"/>
  <c r="H2470" i="2"/>
  <c r="H2471" i="2" a="1"/>
  <c r="H2471" i="2"/>
  <c r="H2472" i="2" a="1"/>
  <c r="H2472" i="2"/>
  <c r="H2473" i="2" a="1"/>
  <c r="H2473" i="2"/>
  <c r="H2474" i="2" a="1"/>
  <c r="H2474" i="2"/>
  <c r="H2475" i="2" a="1"/>
  <c r="H2475" i="2"/>
  <c r="H2476" i="2" a="1"/>
  <c r="H2476" i="2"/>
  <c r="H2477" i="2" a="1"/>
  <c r="H2477" i="2"/>
  <c r="H2478" i="2" a="1"/>
  <c r="H2478" i="2"/>
  <c r="H2479" i="2" a="1"/>
  <c r="H2479" i="2"/>
  <c r="H2480" i="2" a="1"/>
  <c r="H2480" i="2"/>
  <c r="H2481" i="2" a="1"/>
  <c r="H2481" i="2"/>
  <c r="H2482" i="2" a="1"/>
  <c r="H2482" i="2"/>
  <c r="H2483" i="2" a="1"/>
  <c r="H2483" i="2"/>
  <c r="H2484" i="2" a="1"/>
  <c r="H2484" i="2"/>
  <c r="H2485" i="2" a="1"/>
  <c r="H2485" i="2"/>
  <c r="H2486" i="2" a="1"/>
  <c r="H2486" i="2"/>
  <c r="H2487" i="2" a="1"/>
  <c r="H2487" i="2"/>
  <c r="H2488" i="2" a="1"/>
  <c r="H2488" i="2"/>
  <c r="H2489" i="2" a="1"/>
  <c r="H2489" i="2"/>
  <c r="H2490" i="2" a="1"/>
  <c r="H2490" i="2"/>
  <c r="H2491" i="2" a="1"/>
  <c r="H2491" i="2"/>
  <c r="H2492" i="2" a="1"/>
  <c r="H2492" i="2"/>
  <c r="H2493" i="2" a="1"/>
  <c r="H2493" i="2"/>
  <c r="H2494" i="2" a="1"/>
  <c r="H2494" i="2"/>
  <c r="H2495" i="2" a="1"/>
  <c r="H2495" i="2"/>
  <c r="H2496" i="2" a="1"/>
  <c r="H2496" i="2"/>
  <c r="H2497" i="2" a="1"/>
  <c r="H2497" i="2"/>
  <c r="H2498" i="2" a="1"/>
  <c r="H2498" i="2"/>
  <c r="H2499" i="2" a="1"/>
  <c r="H2499" i="2"/>
  <c r="H2500" i="2" a="1"/>
  <c r="H2500" i="2"/>
  <c r="H2501" i="2" a="1"/>
  <c r="H2501" i="2"/>
  <c r="H2502" i="2" a="1"/>
  <c r="H2502" i="2"/>
  <c r="H2503" i="2" a="1"/>
  <c r="H2503" i="2"/>
  <c r="H2504" i="2" a="1"/>
  <c r="H2504" i="2"/>
  <c r="H2505" i="2" a="1"/>
  <c r="H2505" i="2"/>
  <c r="H2506" i="2" a="1"/>
  <c r="H2506" i="2"/>
  <c r="H2507" i="2" a="1"/>
  <c r="H2507" i="2"/>
  <c r="H2508" i="2" a="1"/>
  <c r="H2508" i="2"/>
  <c r="H2509" i="2" a="1"/>
  <c r="H2509" i="2"/>
  <c r="H2510" i="2" a="1"/>
  <c r="H2510" i="2"/>
  <c r="H2511" i="2" a="1"/>
  <c r="H2511" i="2"/>
  <c r="H2512" i="2" a="1"/>
  <c r="H2512" i="2"/>
  <c r="H2513" i="2" a="1"/>
  <c r="H2513" i="2"/>
  <c r="H2514" i="2" a="1"/>
  <c r="H2514" i="2"/>
  <c r="H2515" i="2" a="1"/>
  <c r="H2515" i="2"/>
  <c r="H2516" i="2" a="1"/>
  <c r="H2516" i="2"/>
  <c r="H2517" i="2" a="1"/>
  <c r="H2517" i="2"/>
  <c r="H2518" i="2" a="1"/>
  <c r="H2518" i="2"/>
  <c r="H2519" i="2" a="1"/>
  <c r="H2519" i="2"/>
  <c r="H2520" i="2" a="1"/>
  <c r="H2520" i="2"/>
  <c r="H2521" i="2" a="1"/>
  <c r="H2521" i="2"/>
  <c r="H2522" i="2" a="1"/>
  <c r="H2522" i="2"/>
  <c r="H2523" i="2" a="1"/>
  <c r="H2523" i="2"/>
  <c r="H2524" i="2" a="1"/>
  <c r="H2524" i="2"/>
  <c r="H2525" i="2" a="1"/>
  <c r="H2525" i="2"/>
  <c r="H2526" i="2" a="1"/>
  <c r="H2526" i="2"/>
  <c r="H2527" i="2" a="1"/>
  <c r="H2527" i="2"/>
  <c r="H2528" i="2" a="1"/>
  <c r="H2528" i="2"/>
  <c r="H2529" i="2" a="1"/>
  <c r="H2529" i="2"/>
  <c r="H2530" i="2" a="1"/>
  <c r="H2530" i="2"/>
  <c r="H2531" i="2" a="1"/>
  <c r="H2531" i="2"/>
  <c r="H2532" i="2" a="1"/>
  <c r="H2532" i="2"/>
  <c r="H2533" i="2" a="1"/>
  <c r="H2533" i="2"/>
  <c r="H2534" i="2" a="1"/>
  <c r="H2534" i="2"/>
  <c r="H2535" i="2" a="1"/>
  <c r="H2535" i="2"/>
  <c r="H2536" i="2" a="1"/>
  <c r="H2536" i="2"/>
  <c r="H2537" i="2" a="1"/>
  <c r="H2537" i="2"/>
  <c r="H2538" i="2" a="1"/>
  <c r="H2538" i="2"/>
  <c r="H2539" i="2" a="1"/>
  <c r="H2539" i="2"/>
  <c r="H2540" i="2" a="1"/>
  <c r="H2540" i="2"/>
  <c r="H2541" i="2" a="1"/>
  <c r="H2541" i="2"/>
  <c r="H2542" i="2" a="1"/>
  <c r="H2542" i="2"/>
  <c r="H2543" i="2" a="1"/>
  <c r="H2543" i="2"/>
  <c r="H2544" i="2" a="1"/>
  <c r="H2544" i="2"/>
  <c r="H2545" i="2" a="1"/>
  <c r="H2545" i="2"/>
  <c r="H2546" i="2" a="1"/>
  <c r="H2546" i="2"/>
  <c r="H2547" i="2" a="1"/>
  <c r="H2547" i="2"/>
  <c r="H2548" i="2" a="1"/>
  <c r="H2548" i="2"/>
  <c r="H2549" i="2" a="1"/>
  <c r="H2549" i="2"/>
  <c r="H2550" i="2" a="1"/>
  <c r="H2550" i="2"/>
  <c r="H2551" i="2" a="1"/>
  <c r="H2551" i="2"/>
  <c r="H2552" i="2" a="1"/>
  <c r="H2552" i="2"/>
  <c r="H2553" i="2" a="1"/>
  <c r="H2553" i="2"/>
  <c r="H2554" i="2" a="1"/>
  <c r="H2554" i="2"/>
  <c r="H2555" i="2" a="1"/>
  <c r="H2555" i="2"/>
  <c r="H2556" i="2" a="1"/>
  <c r="H2556" i="2"/>
  <c r="H2557" i="2" a="1"/>
  <c r="H2557" i="2"/>
  <c r="H2558" i="2" a="1"/>
  <c r="H2558" i="2"/>
  <c r="H2559" i="2" a="1"/>
  <c r="H2559" i="2"/>
  <c r="H2560" i="2" a="1"/>
  <c r="H2560" i="2"/>
  <c r="H2561" i="2" a="1"/>
  <c r="H2561" i="2"/>
  <c r="H2562" i="2" a="1"/>
  <c r="H2562" i="2"/>
  <c r="H2563" i="2" a="1"/>
  <c r="H2563" i="2"/>
  <c r="H2564" i="2" a="1"/>
  <c r="H2564" i="2"/>
  <c r="H2565" i="2" a="1"/>
  <c r="H2565" i="2"/>
  <c r="H2566" i="2" a="1"/>
  <c r="H2566" i="2"/>
  <c r="H2567" i="2" a="1"/>
  <c r="H2567" i="2"/>
  <c r="H2568" i="2" a="1"/>
  <c r="H2568" i="2"/>
  <c r="H2569" i="2" a="1"/>
  <c r="H2569" i="2"/>
  <c r="H2570" i="2" a="1"/>
  <c r="H2570" i="2"/>
  <c r="H2571" i="2" a="1"/>
  <c r="H2571" i="2"/>
  <c r="H2572" i="2" a="1"/>
  <c r="H2572" i="2"/>
  <c r="H2573" i="2" a="1"/>
  <c r="H2573" i="2"/>
  <c r="H2574" i="2" a="1"/>
  <c r="H2574" i="2"/>
  <c r="H2575" i="2" a="1"/>
  <c r="H2575" i="2"/>
  <c r="H2576" i="2" a="1"/>
  <c r="H2576" i="2"/>
  <c r="H2577" i="2" a="1"/>
  <c r="H2577" i="2"/>
  <c r="H2578" i="2" a="1"/>
  <c r="H2578" i="2"/>
  <c r="H2579" i="2" a="1"/>
  <c r="H2579" i="2"/>
  <c r="H2580" i="2" a="1"/>
  <c r="H2580" i="2"/>
  <c r="H2581" i="2" a="1"/>
  <c r="H2581" i="2"/>
  <c r="H2582" i="2" a="1"/>
  <c r="H2582" i="2"/>
  <c r="H2583" i="2" a="1"/>
  <c r="H2583" i="2"/>
  <c r="H2584" i="2" a="1"/>
  <c r="H2584" i="2"/>
  <c r="H2585" i="2" a="1"/>
  <c r="H2585" i="2"/>
  <c r="H2586" i="2" a="1"/>
  <c r="H2586" i="2"/>
  <c r="H2587" i="2" a="1"/>
  <c r="H2587" i="2"/>
  <c r="H2588" i="2" a="1"/>
  <c r="H2588" i="2"/>
  <c r="H2589" i="2" a="1"/>
  <c r="H2589" i="2"/>
  <c r="H2590" i="2" a="1"/>
  <c r="H2590" i="2"/>
  <c r="H2591" i="2" a="1"/>
  <c r="H2591" i="2"/>
  <c r="H2592" i="2" a="1"/>
  <c r="H2592" i="2"/>
  <c r="H2593" i="2" a="1"/>
  <c r="H2593" i="2"/>
  <c r="H2594" i="2" a="1"/>
  <c r="H2594" i="2"/>
  <c r="H2595" i="2" a="1"/>
  <c r="H2595" i="2"/>
  <c r="H2596" i="2" a="1"/>
  <c r="H2596" i="2"/>
  <c r="H2597" i="2" a="1"/>
  <c r="H2597" i="2"/>
  <c r="H2598" i="2" a="1"/>
  <c r="H2598" i="2"/>
  <c r="H2599" i="2" a="1"/>
  <c r="H2599" i="2"/>
  <c r="H2600" i="2" a="1"/>
  <c r="H2600" i="2"/>
  <c r="H2601" i="2" a="1"/>
  <c r="H2601" i="2"/>
  <c r="H2602" i="2" a="1"/>
  <c r="H2602" i="2"/>
  <c r="H2603" i="2" a="1"/>
  <c r="H2603" i="2"/>
  <c r="H2604" i="2" a="1"/>
  <c r="H2604" i="2"/>
  <c r="H2605" i="2" a="1"/>
  <c r="H2605" i="2"/>
  <c r="H2606" i="2" a="1"/>
  <c r="H2606" i="2"/>
  <c r="H2607" i="2" a="1"/>
  <c r="H2607" i="2"/>
  <c r="H2608" i="2" a="1"/>
  <c r="H2608" i="2"/>
  <c r="H2609" i="2" a="1"/>
  <c r="H2609" i="2"/>
  <c r="H2610" i="2" a="1"/>
  <c r="H2610" i="2"/>
  <c r="H2611" i="2" a="1"/>
  <c r="H2611" i="2"/>
  <c r="H2612" i="2" a="1"/>
  <c r="H2612" i="2"/>
  <c r="H2613" i="2" a="1"/>
  <c r="H2613" i="2"/>
  <c r="H2614" i="2" a="1"/>
  <c r="H2614" i="2"/>
  <c r="H2615" i="2" a="1"/>
  <c r="H2615" i="2"/>
  <c r="H2616" i="2" a="1"/>
  <c r="H2616" i="2"/>
  <c r="H2617" i="2" a="1"/>
  <c r="H2617" i="2"/>
  <c r="H2618" i="2" a="1"/>
  <c r="H2618" i="2"/>
  <c r="H2619" i="2" a="1"/>
  <c r="H2619" i="2"/>
  <c r="H2620" i="2" a="1"/>
  <c r="H2620" i="2"/>
  <c r="H2621" i="2" a="1"/>
  <c r="H2621" i="2"/>
  <c r="H2622" i="2" a="1"/>
  <c r="H2622" i="2"/>
  <c r="H2623" i="2" a="1"/>
  <c r="H2623" i="2"/>
  <c r="H2624" i="2" a="1"/>
  <c r="H2624" i="2"/>
  <c r="H2625" i="2" a="1"/>
  <c r="H2625" i="2"/>
  <c r="H2626" i="2" a="1"/>
  <c r="H2626" i="2"/>
  <c r="H2627" i="2" a="1"/>
  <c r="H2627" i="2"/>
  <c r="H2628" i="2" a="1"/>
  <c r="H2628" i="2"/>
  <c r="H2629" i="2" a="1"/>
  <c r="H2629" i="2"/>
  <c r="H2630" i="2" a="1"/>
  <c r="H2630" i="2"/>
  <c r="H2631" i="2" a="1"/>
  <c r="H2631" i="2"/>
  <c r="H2632" i="2" a="1"/>
  <c r="H2632" i="2"/>
  <c r="H2633" i="2" a="1"/>
  <c r="H2633" i="2"/>
  <c r="H2634" i="2" a="1"/>
  <c r="H2634" i="2"/>
  <c r="H2635" i="2" a="1"/>
  <c r="H2635" i="2"/>
  <c r="H2636" i="2" a="1"/>
  <c r="H2636" i="2"/>
  <c r="H2637" i="2" a="1"/>
  <c r="H2637" i="2"/>
  <c r="H2638" i="2" a="1"/>
  <c r="H2638" i="2"/>
  <c r="H2639" i="2" a="1"/>
  <c r="H2639" i="2"/>
  <c r="H2640" i="2" a="1"/>
  <c r="H2640" i="2"/>
  <c r="H2641" i="2" a="1"/>
  <c r="H2641" i="2"/>
  <c r="H2642" i="2" a="1"/>
  <c r="H2642" i="2"/>
  <c r="H2643" i="2" a="1"/>
  <c r="H2643" i="2"/>
  <c r="H2644" i="2" a="1"/>
  <c r="H2644" i="2"/>
  <c r="H2645" i="2" a="1"/>
  <c r="H2645" i="2"/>
  <c r="H2646" i="2" a="1"/>
  <c r="H2646" i="2"/>
  <c r="H2647" i="2" a="1"/>
  <c r="H2647" i="2"/>
  <c r="H2648" i="2" a="1"/>
  <c r="H2648" i="2"/>
  <c r="H2649" i="2" a="1"/>
  <c r="H2649" i="2"/>
  <c r="H2650" i="2" a="1"/>
  <c r="H2650" i="2"/>
  <c r="H2651" i="2" a="1"/>
  <c r="H2651" i="2"/>
  <c r="H2652" i="2" a="1"/>
  <c r="H2652" i="2"/>
  <c r="H2653" i="2" a="1"/>
  <c r="H2653" i="2"/>
  <c r="H2654" i="2" a="1"/>
  <c r="H2654" i="2"/>
  <c r="H2655" i="2" a="1"/>
  <c r="H2655" i="2"/>
  <c r="H2656" i="2" a="1"/>
  <c r="H2656" i="2"/>
  <c r="H2657" i="2" a="1"/>
  <c r="H2657" i="2"/>
  <c r="H2658" i="2" a="1"/>
  <c r="H2658" i="2"/>
  <c r="H2659" i="2" a="1"/>
  <c r="H2659" i="2"/>
  <c r="H2660" i="2" a="1"/>
  <c r="H2660" i="2"/>
  <c r="H2661" i="2" a="1"/>
  <c r="H2661" i="2"/>
  <c r="H2662" i="2" a="1"/>
  <c r="H2662" i="2"/>
  <c r="H2663" i="2" a="1"/>
  <c r="H2663" i="2"/>
  <c r="H2664" i="2" a="1"/>
  <c r="H2664" i="2"/>
  <c r="H2665" i="2" a="1"/>
  <c r="H2665" i="2"/>
  <c r="H2666" i="2" a="1"/>
  <c r="H2666" i="2"/>
  <c r="H2667" i="2" a="1"/>
  <c r="H2667" i="2"/>
  <c r="H2668" i="2" a="1"/>
  <c r="H2668" i="2"/>
  <c r="H2669" i="2" a="1"/>
  <c r="H2669" i="2"/>
  <c r="H2670" i="2" a="1"/>
  <c r="H2670" i="2"/>
  <c r="H2671" i="2" a="1"/>
  <c r="H2671" i="2"/>
  <c r="H2672" i="2" a="1"/>
  <c r="H2672" i="2"/>
  <c r="H2673" i="2" a="1"/>
  <c r="H2673" i="2"/>
  <c r="H2674" i="2" a="1"/>
  <c r="H2674" i="2"/>
  <c r="H2675" i="2" a="1"/>
  <c r="H2675" i="2"/>
  <c r="H2676" i="2" a="1"/>
  <c r="H2676" i="2"/>
  <c r="H2677" i="2" a="1"/>
  <c r="H2677" i="2"/>
  <c r="H2678" i="2" a="1"/>
  <c r="H2678" i="2"/>
  <c r="H2679" i="2" a="1"/>
  <c r="H2679" i="2"/>
  <c r="H2680" i="2" a="1"/>
  <c r="H2680" i="2"/>
  <c r="H2681" i="2" a="1"/>
  <c r="H2681" i="2"/>
  <c r="H2682" i="2" a="1"/>
  <c r="H2682" i="2"/>
  <c r="H2683" i="2" a="1"/>
  <c r="H2683" i="2"/>
  <c r="H2684" i="2" a="1"/>
  <c r="H2684" i="2"/>
  <c r="H2685" i="2" a="1"/>
  <c r="H2685" i="2"/>
  <c r="H2686" i="2" a="1"/>
  <c r="H2686" i="2"/>
  <c r="H2687" i="2" a="1"/>
  <c r="H2687" i="2"/>
  <c r="H2688" i="2" a="1"/>
  <c r="H2688" i="2"/>
  <c r="H2689" i="2" a="1"/>
  <c r="H2689" i="2"/>
  <c r="H2690" i="2" a="1"/>
  <c r="H2690" i="2"/>
  <c r="H2691" i="2" a="1"/>
  <c r="H2691" i="2"/>
  <c r="H2692" i="2" a="1"/>
  <c r="H2692" i="2"/>
  <c r="H2693" i="2" a="1"/>
  <c r="H2693" i="2"/>
  <c r="H2694" i="2" a="1"/>
  <c r="H2694" i="2"/>
  <c r="H2695" i="2" a="1"/>
  <c r="H2695" i="2"/>
  <c r="H2696" i="2" a="1"/>
  <c r="H2696" i="2"/>
  <c r="H2697" i="2" a="1"/>
  <c r="H2697" i="2"/>
  <c r="H2698" i="2" a="1"/>
  <c r="H2698" i="2"/>
  <c r="H2699" i="2" a="1"/>
  <c r="H2699" i="2"/>
  <c r="H2700" i="2" a="1"/>
  <c r="H2700" i="2"/>
  <c r="H2701" i="2" a="1"/>
  <c r="H2701" i="2"/>
  <c r="H2702" i="2" a="1"/>
  <c r="H2702" i="2"/>
  <c r="H2703" i="2" a="1"/>
  <c r="H2703" i="2"/>
  <c r="H2704" i="2" a="1"/>
  <c r="H2704" i="2"/>
  <c r="H2705" i="2" a="1"/>
  <c r="H2705" i="2"/>
  <c r="H2706" i="2" a="1"/>
  <c r="H2706" i="2"/>
  <c r="H2707" i="2" a="1"/>
  <c r="H2707" i="2"/>
  <c r="H2708" i="2" a="1"/>
  <c r="H2708" i="2"/>
  <c r="H2709" i="2" a="1"/>
  <c r="H2709" i="2"/>
  <c r="H2710" i="2" a="1"/>
  <c r="H2710" i="2"/>
  <c r="H2711" i="2" a="1"/>
  <c r="H2711" i="2"/>
  <c r="H2712" i="2" a="1"/>
  <c r="H2712" i="2"/>
  <c r="H2713" i="2" a="1"/>
  <c r="H2713" i="2"/>
  <c r="H2714" i="2" a="1"/>
  <c r="H2714" i="2"/>
  <c r="H2715" i="2" a="1"/>
  <c r="H2715" i="2"/>
  <c r="H2716" i="2" a="1"/>
  <c r="H2716" i="2"/>
  <c r="H2717" i="2" a="1"/>
  <c r="H2717" i="2"/>
  <c r="H2718" i="2" a="1"/>
  <c r="H2718" i="2"/>
  <c r="H2719" i="2" a="1"/>
  <c r="H2719" i="2"/>
  <c r="H2720" i="2" a="1"/>
  <c r="H2720" i="2"/>
  <c r="H2721" i="2" a="1"/>
  <c r="H2721" i="2"/>
  <c r="H2722" i="2" a="1"/>
  <c r="H2722" i="2"/>
  <c r="H2723" i="2" a="1"/>
  <c r="H2723" i="2"/>
  <c r="H2724" i="2" a="1"/>
  <c r="H2724" i="2"/>
  <c r="H2725" i="2" a="1"/>
  <c r="H2725" i="2"/>
  <c r="H2726" i="2" a="1"/>
  <c r="H2726" i="2"/>
  <c r="H2727" i="2" a="1"/>
  <c r="H2727" i="2"/>
  <c r="H2728" i="2" a="1"/>
  <c r="H2728" i="2"/>
  <c r="H2729" i="2" a="1"/>
  <c r="H2729" i="2"/>
  <c r="H2730" i="2" a="1"/>
  <c r="H2730" i="2"/>
  <c r="H2731" i="2" a="1"/>
  <c r="H2731" i="2"/>
  <c r="H2732" i="2" a="1"/>
  <c r="H2732" i="2"/>
  <c r="H2733" i="2" a="1"/>
  <c r="H2733" i="2"/>
  <c r="H2734" i="2" a="1"/>
  <c r="H2734" i="2"/>
  <c r="H2735" i="2" a="1"/>
  <c r="H2735" i="2"/>
  <c r="H2736" i="2" a="1"/>
  <c r="H2736" i="2"/>
  <c r="H2737" i="2" a="1"/>
  <c r="H2737" i="2"/>
  <c r="H2738" i="2" a="1"/>
  <c r="H2738" i="2"/>
  <c r="H2739" i="2" a="1"/>
  <c r="H2739" i="2"/>
  <c r="H2740" i="2" a="1"/>
  <c r="H2740" i="2"/>
  <c r="H2741" i="2" a="1"/>
  <c r="H2741" i="2"/>
  <c r="H2742" i="2" a="1"/>
  <c r="H2742" i="2"/>
  <c r="H2743" i="2" a="1"/>
  <c r="H2743" i="2"/>
  <c r="H2744" i="2" a="1"/>
  <c r="H2744" i="2"/>
  <c r="H2745" i="2" a="1"/>
  <c r="H2745" i="2"/>
  <c r="H2746" i="2" a="1"/>
  <c r="H2746" i="2"/>
  <c r="H2747" i="2" a="1"/>
  <c r="H2747" i="2"/>
  <c r="H2748" i="2" a="1"/>
  <c r="H2748" i="2"/>
  <c r="H2749" i="2" a="1"/>
  <c r="H2749" i="2"/>
  <c r="H2750" i="2" a="1"/>
  <c r="H2750" i="2"/>
  <c r="H2751" i="2" a="1"/>
  <c r="H2751" i="2"/>
  <c r="H2752" i="2" a="1"/>
  <c r="H2752" i="2"/>
  <c r="H2753" i="2" a="1"/>
  <c r="H2753" i="2"/>
  <c r="H2754" i="2" a="1"/>
  <c r="H2754" i="2"/>
  <c r="H2755" i="2" a="1"/>
  <c r="H2755" i="2"/>
  <c r="H2756" i="2" a="1"/>
  <c r="H2756" i="2"/>
  <c r="H2757" i="2" a="1"/>
  <c r="H2757" i="2"/>
  <c r="H2758" i="2" a="1"/>
  <c r="H2758" i="2"/>
  <c r="H2759" i="2" a="1"/>
  <c r="H2759" i="2"/>
  <c r="H2760" i="2" a="1"/>
  <c r="H2760" i="2"/>
  <c r="H2761" i="2" a="1"/>
  <c r="H2761" i="2"/>
  <c r="H2762" i="2" a="1"/>
  <c r="H2762" i="2"/>
  <c r="H2763" i="2" a="1"/>
  <c r="H2763" i="2"/>
  <c r="H2764" i="2" a="1"/>
  <c r="H2764" i="2"/>
  <c r="H2765" i="2" a="1"/>
  <c r="H2765" i="2"/>
  <c r="H2766" i="2" a="1"/>
  <c r="H2766" i="2"/>
  <c r="H2767" i="2" a="1"/>
  <c r="H2767" i="2"/>
  <c r="H2768" i="2" a="1"/>
  <c r="H2768" i="2"/>
  <c r="H2769" i="2" a="1"/>
  <c r="H2769" i="2"/>
  <c r="H2770" i="2" a="1"/>
  <c r="H2770" i="2"/>
  <c r="H2771" i="2" a="1"/>
  <c r="H2771" i="2"/>
  <c r="H2772" i="2" a="1"/>
  <c r="H2772" i="2"/>
  <c r="H2773" i="2" a="1"/>
  <c r="H2773" i="2"/>
  <c r="H2774" i="2" a="1"/>
  <c r="H2774" i="2"/>
  <c r="H2775" i="2" a="1"/>
  <c r="H2775" i="2"/>
  <c r="H2776" i="2" a="1"/>
  <c r="H2776" i="2"/>
  <c r="H2777" i="2" a="1"/>
  <c r="H2777" i="2"/>
  <c r="H2778" i="2" a="1"/>
  <c r="H2778" i="2"/>
  <c r="H2779" i="2" a="1"/>
  <c r="H2779" i="2"/>
  <c r="H2780" i="2" a="1"/>
  <c r="H2780" i="2"/>
  <c r="H2781" i="2" a="1"/>
  <c r="H2781" i="2"/>
  <c r="H2782" i="2" a="1"/>
  <c r="H2782" i="2"/>
  <c r="H2783" i="2" a="1"/>
  <c r="H2783" i="2"/>
  <c r="H2784" i="2" a="1"/>
  <c r="H2784" i="2"/>
  <c r="H2785" i="2" a="1"/>
  <c r="H2785" i="2"/>
  <c r="H2786" i="2" a="1"/>
  <c r="H2786" i="2"/>
  <c r="H2787" i="2" a="1"/>
  <c r="H2787" i="2"/>
  <c r="H2788" i="2" a="1"/>
  <c r="H2788" i="2"/>
  <c r="H2789" i="2" a="1"/>
  <c r="H2789" i="2"/>
  <c r="H2790" i="2" a="1"/>
  <c r="H2790" i="2"/>
  <c r="H2791" i="2" a="1"/>
  <c r="H2791" i="2"/>
  <c r="H2792" i="2" a="1"/>
  <c r="H2792" i="2"/>
  <c r="H2793" i="2" a="1"/>
  <c r="H2793" i="2"/>
  <c r="H2794" i="2" a="1"/>
  <c r="H2794" i="2"/>
  <c r="H2795" i="2" a="1"/>
  <c r="H2795" i="2"/>
  <c r="H2796" i="2" a="1"/>
  <c r="H2796" i="2"/>
  <c r="H2797" i="2" a="1"/>
  <c r="H2797" i="2"/>
  <c r="H2798" i="2" a="1"/>
  <c r="H2798" i="2"/>
  <c r="H2799" i="2" a="1"/>
  <c r="H2799" i="2"/>
  <c r="H2800" i="2" a="1"/>
  <c r="H2800" i="2"/>
  <c r="H2801" i="2" a="1"/>
  <c r="H280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<sst xmlns="http://schemas.openxmlformats.org/spreadsheetml/2006/main" count="11239" uniqueCount="45">
  <si>
    <t>user_id</t>
  </si>
  <si>
    <t>signup_date</t>
  </si>
  <si>
    <t>plan_type</t>
  </si>
  <si>
    <t>monthly_fee</t>
  </si>
  <si>
    <t>avg_weekly_usage_hours</t>
  </si>
  <si>
    <t>support_tickets</t>
  </si>
  <si>
    <t>payment_failures</t>
  </si>
  <si>
    <t>tenure_months</t>
  </si>
  <si>
    <t>last_login_days_ago</t>
  </si>
  <si>
    <t>churn</t>
  </si>
  <si>
    <t>Premium</t>
  </si>
  <si>
    <t>Yes</t>
  </si>
  <si>
    <t>Basic</t>
  </si>
  <si>
    <t>No</t>
  </si>
  <si>
    <t>Standard</t>
  </si>
  <si>
    <t>Customer Churn</t>
  </si>
  <si>
    <t>Subscription Start Date</t>
  </si>
  <si>
    <t>Subscription Start Date (M/Y)</t>
  </si>
  <si>
    <t>Customer Exit Month</t>
  </si>
  <si>
    <t>Subscription Plan</t>
  </si>
  <si>
    <t>Average Weekly Usage _Hours</t>
  </si>
  <si>
    <t>Average Weekly Usage by Hour Range</t>
  </si>
  <si>
    <t>Number of Support Tickets</t>
  </si>
  <si>
    <t>Number of Payment Failures</t>
  </si>
  <si>
    <t>Months as a Customer</t>
  </si>
  <si>
    <t>Monthly Fee</t>
  </si>
  <si>
    <t>Days Since Last Login</t>
  </si>
  <si>
    <t>Days Since Last Login by Range</t>
  </si>
  <si>
    <t>Inactive</t>
  </si>
  <si>
    <t>Active</t>
  </si>
  <si>
    <t xml:space="preserve">Duplicated spreadsheet to keep the original raw data seperate </t>
  </si>
  <si>
    <t>Checked for duplicates (Data tab - Check Duplicates)</t>
  </si>
  <si>
    <t>Arrange column width (Select first column, Shift, select last column, click arrow to change width for all)</t>
  </si>
  <si>
    <t xml:space="preserve">Added a filter and checked row contents for duplicates, spelling mistakes etc </t>
  </si>
  <si>
    <t>Checked that all columns are formatted correctly to general, number, salary or date</t>
  </si>
  <si>
    <t>The salary row is originally formatted to show '699,' however I want this to be a currency, formatted as 6.99. I created a new column and 
divided cell contents by 100. In the new column, =D2/100 and then Ctrl D to copy formula down. I then changed format to currency.</t>
  </si>
  <si>
    <t>I renamed the columns for clarity and ease of reading</t>
  </si>
  <si>
    <t>To emphasis customer churn, I added conditional formatting. This clearly highlights whether the customer is still active.</t>
  </si>
  <si>
    <t>I created a column called 'Subsciption Start Year' to later be used in visualisation. I used =Year(B2) to find years from the date column</t>
  </si>
  <si>
    <t xml:space="preserve">I decided to categorise "Days Since Last Login," into ranges for clarity. I added a new column with the formula, </t>
  </si>
  <si>
    <t xml:space="preserve"> =IFS(M2&gt;=50,"50-60 Days", M2&gt;=40,"40-50 Days", M2&gt;=30, "30-40 Days", M2&gt;=20, "20-30 Days", M2&gt;=10, "10-20 Days", M2&gt;=1, "1-10 Days")</t>
  </si>
  <si>
    <t>To later visualise data relating to customer usage hours by customer churn, I categorised the average weekly usage column into ranges using an 
IFS formula =IFS(G2&gt;=20,"20-25", G2&gt;=15,"15-20", G2&gt;=10,"10-15", G2&gt;=5,"5-10", G2&gt;=1,"1-5", G2&lt;1,"Less than 1")</t>
  </si>
  <si>
    <t>I applied conditional formatting to the "Number of Support Tickets" columns, highlighting the customers with a high number of
support tickets.</t>
  </si>
  <si>
    <t>I decided to change the 'Yes' and 'No' from the 'Customer Churn' column into 'Active' and 'Inactive' as this makes it easier to understand when later visualising.</t>
  </si>
  <si>
    <t>To see churn by month, I created a customer exit month column. I used an IF formula alongside EDATE to add months from the 'Months as a 
Customer' column to their start date if 'Churned.' I kept the current customers blank to avoid text and dates in the same column =IF(B2="Inactive", EDATE(D2,K2), "")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</si>
</sst>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m/d/yyyy;@"/>
    <numFmt numFmtId="166" formatCode="[$-409]mmm\-yy;@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18" fillId="33" borderId="0" xfId="0" applyFont="1" applyFill="1"/>
    <xf numFmtId="165" fontId="0" fillId="0" borderId="0" xfId="0" applyNumberFormat="1"/>
    <xf numFmtId="1" fontId="0" fillId="0" borderId="0" xfId="0" applyNumberFormat="1"/>
    <xf numFmtId="0" fontId="18" fillId="34" borderId="0" xfId="0" applyFont="1" applyFill="1"/>
    <xf numFmtId="166" fontId="0" fillId="0" borderId="0" xfId="0" applyNumberFormat="1"/>
    <xf numFmtId="166" fontId="18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0" formatCode="General"/>
    </dxf>
    <dxf>
      <numFmt numFmtId="1" formatCode="0"/>
    </dxf>
    <dxf>
      <numFmt numFmtId="164" formatCode="&quot;$&quot;#,##0.00"/>
    </dxf>
    <dxf>
      <numFmt numFmtId="1" formatCode="0"/>
    </dxf>
    <dxf>
      <numFmt numFmtId="166" formatCode="[$-409]mmm\-yy;@"/>
    </dxf>
    <dxf>
      <numFmt numFmtId="166" formatCode="[$-409]mmm\-yy;@"/>
    </dxf>
    <dxf>
      <numFmt numFmtId="165" formatCode="m/d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97D589-C712-43D7-AB3C-069BA04C08C8}" name="Table1" displayName="Table1" ref="A1:N2801" totalsRowShown="0" headerRowDxfId="7">
  <autoFilter ref="A1:N2801" xr:uid="{65E28F17-E86D-40E4-AC10-1F4CA18B0A01}"/>
  <tableColumns count="14">
    <tableColumn id="1" xr3:uid="{F65AA04F-7F3A-401F-8F85-ABDCECDA069E}" name="user_id"/>
    <tableColumn id="20" xr3:uid="{6C56F23C-904C-470F-8C01-93FCA06EFAA6}" name="Customer Churn"/>
    <tableColumn id="3" xr3:uid="{22E786BF-14C4-4E84-BC72-6226DDB64956}" name="Subscription Start Date" dataDxfId="6"/>
    <tableColumn id="4" xr3:uid="{83C5187F-DB32-4CE0-8D00-0FA67B011011}" name="Subscription Start Date (M/Y)" dataDxfId="5"/>
    <tableColumn id="2" xr3:uid="{85D71245-3DC3-4145-8B75-F17B6319E8E1}" name="Customer Exit Month" dataDxfId="4">
      <calculatedColumnFormula>IF(B2="Inactive", EDATE(D2,K2), "")</calculatedColumnFormula>
    </tableColumn>
    <tableColumn id="5" xr3:uid="{819336E7-93AE-4A49-B3ED-4E40B84ED2D9}" name="Subscription Plan"/>
    <tableColumn id="7" xr3:uid="{A505131D-B1A9-4021-A9B5-F1204FEB5F81}" name="Average Weekly Usage _Hours"/>
    <tableColumn id="8" xr3:uid="{FE770033-0D56-45F1-980A-44B488554142}" name="Average Weekly Usage by Hour Range">
      <calculatedColumnFormula array="1">_xlfn.IFS(G2&gt;=20,"20-25", G2&gt;=15,"15-20", G2&gt;=10,"10-15", G2&gt;=5,"5-10", G2&gt;=1,"1-5", G2&lt;1,"Less than 1")</calculatedColumnFormula>
    </tableColumn>
    <tableColumn id="9" xr3:uid="{B42D68B0-7DEF-4358-A29E-2B41A27BD453}" name="Number of Support Tickets"/>
    <tableColumn id="10" xr3:uid="{AB4766D5-03B6-43B1-9BEA-8F613144FEC3}" name="Number of Payment Failures"/>
    <tableColumn id="16" xr3:uid="{6C31B715-5B3F-4A34-8A6C-56D28351F69E}" name="Months as a Customer" dataDxfId="3"/>
    <tableColumn id="6" xr3:uid="{7DD19B76-AD69-4693-8F0F-CFB51BC705A5}" name="Monthly Fee" dataDxfId="2"/>
    <tableColumn id="13" xr3:uid="{29334A02-ABDD-4681-BA89-44ED9891AE12}" name="Days Since Last Login" dataDxfId="1"/>
    <tableColumn id="14" xr3:uid="{7196720B-3A23-4FA9-9D4D-795A5E3399E6}" name="Days Since Last Login by Range" dataDxfId="0">
      <calculatedColumnFormula array="1">_xlfn.IFS(M2&gt;=50,"50-60 Days", M2&gt;=40,"40-50 Days", M2&gt;=30, "30-40 Days", M2&gt;=20, "20-30 Days", M2&gt;=10, "10-20 Days", M2&gt;=0, "0-10 Days")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BBA65-D976-4FB2-9ABB-EBDE783A333B}">
  <dimension ref="A1:J2801"/>
  <sheetViews>
    <sheetView workbookViewId="0"/>
  </sheetViews>
  <sheetFormatPr defaultRowHeight="15"/>
  <cols>
    <col min="2" max="2" width="16.5703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s="1">
        <v>45031</v>
      </c>
      <c r="C2" t="s">
        <v>10</v>
      </c>
      <c r="D2">
        <v>699</v>
      </c>
      <c r="E2">
        <v>1.1000000000000001</v>
      </c>
      <c r="F2">
        <v>4</v>
      </c>
      <c r="G2">
        <v>1</v>
      </c>
      <c r="H2">
        <v>8</v>
      </c>
      <c r="I2">
        <v>14</v>
      </c>
      <c r="J2" t="s">
        <v>11</v>
      </c>
    </row>
    <row r="3" spans="1:10">
      <c r="A3">
        <v>2</v>
      </c>
      <c r="B3" s="1">
        <v>45165</v>
      </c>
      <c r="C3" t="s">
        <v>10</v>
      </c>
      <c r="D3">
        <v>699</v>
      </c>
      <c r="E3">
        <v>2.6</v>
      </c>
      <c r="F3">
        <v>6</v>
      </c>
      <c r="G3">
        <v>0</v>
      </c>
      <c r="H3">
        <v>35</v>
      </c>
      <c r="I3">
        <v>1</v>
      </c>
      <c r="J3" t="s">
        <v>11</v>
      </c>
    </row>
    <row r="4" spans="1:10">
      <c r="A4">
        <v>3</v>
      </c>
      <c r="B4" s="1">
        <v>45211</v>
      </c>
      <c r="C4" t="s">
        <v>10</v>
      </c>
      <c r="D4">
        <v>699</v>
      </c>
      <c r="E4">
        <v>14.3</v>
      </c>
      <c r="F4">
        <v>8</v>
      </c>
      <c r="G4">
        <v>3</v>
      </c>
      <c r="H4">
        <v>2</v>
      </c>
      <c r="I4">
        <v>14</v>
      </c>
      <c r="J4" t="s">
        <v>11</v>
      </c>
    </row>
    <row r="5" spans="1:10">
      <c r="A5">
        <v>4</v>
      </c>
      <c r="B5" s="1">
        <v>45271</v>
      </c>
      <c r="C5" t="s">
        <v>12</v>
      </c>
      <c r="D5">
        <v>199</v>
      </c>
      <c r="E5">
        <v>17.600000000000001</v>
      </c>
      <c r="F5">
        <v>5</v>
      </c>
      <c r="G5">
        <v>2</v>
      </c>
      <c r="H5">
        <v>11</v>
      </c>
      <c r="I5">
        <v>9</v>
      </c>
      <c r="J5" t="s">
        <v>11</v>
      </c>
    </row>
    <row r="6" spans="1:10">
      <c r="A6">
        <v>5</v>
      </c>
      <c r="B6" s="1">
        <v>44971</v>
      </c>
      <c r="C6" t="s">
        <v>12</v>
      </c>
      <c r="D6">
        <v>199</v>
      </c>
      <c r="E6">
        <v>9.8000000000000007</v>
      </c>
      <c r="F6">
        <v>5</v>
      </c>
      <c r="G6">
        <v>2</v>
      </c>
      <c r="H6">
        <v>6</v>
      </c>
      <c r="I6">
        <v>38</v>
      </c>
      <c r="J6" t="s">
        <v>11</v>
      </c>
    </row>
    <row r="7" spans="1:10">
      <c r="A7">
        <v>6</v>
      </c>
      <c r="B7" s="1">
        <v>45570</v>
      </c>
      <c r="C7" t="s">
        <v>10</v>
      </c>
      <c r="D7">
        <v>699</v>
      </c>
      <c r="E7">
        <v>13.6</v>
      </c>
      <c r="F7">
        <v>6</v>
      </c>
      <c r="G7">
        <v>0</v>
      </c>
      <c r="H7">
        <v>30</v>
      </c>
      <c r="I7">
        <v>35</v>
      </c>
      <c r="J7" t="s">
        <v>11</v>
      </c>
    </row>
    <row r="8" spans="1:10">
      <c r="A8">
        <v>7</v>
      </c>
      <c r="B8" s="1">
        <v>45223</v>
      </c>
      <c r="C8" t="s">
        <v>10</v>
      </c>
      <c r="D8">
        <v>699</v>
      </c>
      <c r="E8">
        <v>14.6</v>
      </c>
      <c r="F8">
        <v>1</v>
      </c>
      <c r="G8">
        <v>0</v>
      </c>
      <c r="H8">
        <v>24</v>
      </c>
      <c r="I8">
        <v>42</v>
      </c>
      <c r="J8" t="s">
        <v>11</v>
      </c>
    </row>
    <row r="9" spans="1:10">
      <c r="A9">
        <v>8</v>
      </c>
      <c r="B9" s="1">
        <v>45300</v>
      </c>
      <c r="C9" t="s">
        <v>12</v>
      </c>
      <c r="D9">
        <v>199</v>
      </c>
      <c r="E9">
        <v>21.7</v>
      </c>
      <c r="F9">
        <v>6</v>
      </c>
      <c r="G9">
        <v>2</v>
      </c>
      <c r="H9">
        <v>15</v>
      </c>
      <c r="I9">
        <v>29</v>
      </c>
      <c r="J9" t="s">
        <v>11</v>
      </c>
    </row>
    <row r="10" spans="1:10">
      <c r="A10">
        <v>9</v>
      </c>
      <c r="B10" s="1">
        <v>45000</v>
      </c>
      <c r="C10" t="s">
        <v>12</v>
      </c>
      <c r="D10">
        <v>199</v>
      </c>
      <c r="E10">
        <v>9.1999999999999993</v>
      </c>
      <c r="F10">
        <v>4</v>
      </c>
      <c r="G10">
        <v>5</v>
      </c>
      <c r="H10">
        <v>24</v>
      </c>
      <c r="I10">
        <v>59</v>
      </c>
      <c r="J10" t="s">
        <v>11</v>
      </c>
    </row>
    <row r="11" spans="1:10">
      <c r="A11">
        <v>10</v>
      </c>
      <c r="B11" s="1">
        <v>45582</v>
      </c>
      <c r="C11" t="s">
        <v>10</v>
      </c>
      <c r="D11">
        <v>699</v>
      </c>
      <c r="E11">
        <v>13.6</v>
      </c>
      <c r="F11">
        <v>3</v>
      </c>
      <c r="G11">
        <v>1</v>
      </c>
      <c r="H11">
        <v>11</v>
      </c>
      <c r="I11">
        <v>29</v>
      </c>
      <c r="J11" t="s">
        <v>13</v>
      </c>
    </row>
    <row r="12" spans="1:10">
      <c r="A12">
        <v>11</v>
      </c>
      <c r="B12" s="1">
        <v>45250</v>
      </c>
      <c r="C12" t="s">
        <v>10</v>
      </c>
      <c r="D12">
        <v>699</v>
      </c>
      <c r="E12">
        <v>5.9</v>
      </c>
      <c r="F12">
        <v>5</v>
      </c>
      <c r="G12">
        <v>0</v>
      </c>
      <c r="H12">
        <v>36</v>
      </c>
      <c r="I12">
        <v>14</v>
      </c>
      <c r="J12" t="s">
        <v>13</v>
      </c>
    </row>
    <row r="13" spans="1:10">
      <c r="A13">
        <v>12</v>
      </c>
      <c r="B13" s="1">
        <v>45585</v>
      </c>
      <c r="C13" t="s">
        <v>14</v>
      </c>
      <c r="D13">
        <v>399</v>
      </c>
      <c r="E13">
        <v>2.1</v>
      </c>
      <c r="F13">
        <v>5</v>
      </c>
      <c r="G13">
        <v>1</v>
      </c>
      <c r="H13">
        <v>18</v>
      </c>
      <c r="I13">
        <v>41</v>
      </c>
      <c r="J13" t="s">
        <v>11</v>
      </c>
    </row>
    <row r="14" spans="1:10">
      <c r="A14">
        <v>13</v>
      </c>
      <c r="B14" s="1">
        <v>45525</v>
      </c>
      <c r="C14" t="s">
        <v>14</v>
      </c>
      <c r="D14">
        <v>399</v>
      </c>
      <c r="E14">
        <v>7</v>
      </c>
      <c r="F14">
        <v>3</v>
      </c>
      <c r="G14">
        <v>5</v>
      </c>
      <c r="H14">
        <v>10</v>
      </c>
      <c r="I14">
        <v>35</v>
      </c>
      <c r="J14" t="s">
        <v>11</v>
      </c>
    </row>
    <row r="15" spans="1:10">
      <c r="A15">
        <v>14</v>
      </c>
      <c r="B15" s="1">
        <v>44975</v>
      </c>
      <c r="C15" t="s">
        <v>14</v>
      </c>
      <c r="D15">
        <v>399</v>
      </c>
      <c r="E15">
        <v>9.4</v>
      </c>
      <c r="F15">
        <v>2</v>
      </c>
      <c r="G15">
        <v>4</v>
      </c>
      <c r="H15">
        <v>26</v>
      </c>
      <c r="I15">
        <v>31</v>
      </c>
      <c r="J15" t="s">
        <v>11</v>
      </c>
    </row>
    <row r="16" spans="1:10">
      <c r="A16">
        <v>15</v>
      </c>
      <c r="B16" s="1">
        <v>45537</v>
      </c>
      <c r="C16" t="s">
        <v>12</v>
      </c>
      <c r="D16">
        <v>199</v>
      </c>
      <c r="E16">
        <v>15.9</v>
      </c>
      <c r="F16">
        <v>6</v>
      </c>
      <c r="G16">
        <v>4</v>
      </c>
      <c r="H16">
        <v>10</v>
      </c>
      <c r="I16">
        <v>4</v>
      </c>
      <c r="J16" t="s">
        <v>11</v>
      </c>
    </row>
    <row r="17" spans="1:10">
      <c r="A17">
        <v>16</v>
      </c>
      <c r="B17" s="1">
        <v>45625</v>
      </c>
      <c r="C17" t="s">
        <v>14</v>
      </c>
      <c r="D17">
        <v>399</v>
      </c>
      <c r="E17">
        <v>6.7</v>
      </c>
      <c r="F17">
        <v>8</v>
      </c>
      <c r="G17">
        <v>0</v>
      </c>
      <c r="H17">
        <v>34</v>
      </c>
      <c r="I17">
        <v>43</v>
      </c>
      <c r="J17" t="s">
        <v>13</v>
      </c>
    </row>
    <row r="18" spans="1:10">
      <c r="A18">
        <v>17</v>
      </c>
      <c r="B18" s="1">
        <v>45391</v>
      </c>
      <c r="C18" t="s">
        <v>10</v>
      </c>
      <c r="D18">
        <v>699</v>
      </c>
      <c r="E18">
        <v>19.3</v>
      </c>
      <c r="F18">
        <v>5</v>
      </c>
      <c r="G18">
        <v>0</v>
      </c>
      <c r="H18">
        <v>18</v>
      </c>
      <c r="I18">
        <v>18</v>
      </c>
      <c r="J18" t="s">
        <v>13</v>
      </c>
    </row>
    <row r="19" spans="1:10">
      <c r="A19">
        <v>18</v>
      </c>
      <c r="B19" s="1">
        <v>45567</v>
      </c>
      <c r="C19" t="s">
        <v>12</v>
      </c>
      <c r="D19">
        <v>199</v>
      </c>
      <c r="E19">
        <v>24.3</v>
      </c>
      <c r="F19">
        <v>2</v>
      </c>
      <c r="G19">
        <v>4</v>
      </c>
      <c r="H19">
        <v>17</v>
      </c>
      <c r="I19">
        <v>58</v>
      </c>
      <c r="J19" t="s">
        <v>11</v>
      </c>
    </row>
    <row r="20" spans="1:10">
      <c r="A20">
        <v>19</v>
      </c>
      <c r="B20" s="1">
        <v>45470</v>
      </c>
      <c r="C20" t="s">
        <v>14</v>
      </c>
      <c r="D20">
        <v>399</v>
      </c>
      <c r="E20">
        <v>15.4</v>
      </c>
      <c r="F20">
        <v>2</v>
      </c>
      <c r="G20">
        <v>2</v>
      </c>
      <c r="H20">
        <v>33</v>
      </c>
      <c r="I20">
        <v>48</v>
      </c>
      <c r="J20" t="s">
        <v>11</v>
      </c>
    </row>
    <row r="21" spans="1:10">
      <c r="A21">
        <v>20</v>
      </c>
      <c r="B21" s="1">
        <v>45241</v>
      </c>
      <c r="C21" t="s">
        <v>12</v>
      </c>
      <c r="D21">
        <v>199</v>
      </c>
      <c r="E21">
        <v>12.5</v>
      </c>
      <c r="F21">
        <v>1</v>
      </c>
      <c r="G21">
        <v>2</v>
      </c>
      <c r="H21">
        <v>21</v>
      </c>
      <c r="I21">
        <v>56</v>
      </c>
      <c r="J21" t="s">
        <v>13</v>
      </c>
    </row>
    <row r="22" spans="1:10">
      <c r="A22">
        <v>21</v>
      </c>
      <c r="B22" s="1">
        <v>44997</v>
      </c>
      <c r="C22" t="s">
        <v>12</v>
      </c>
      <c r="D22">
        <v>199</v>
      </c>
      <c r="E22">
        <v>6.4</v>
      </c>
      <c r="F22">
        <v>1</v>
      </c>
      <c r="G22">
        <v>0</v>
      </c>
      <c r="H22">
        <v>4</v>
      </c>
      <c r="I22">
        <v>46</v>
      </c>
      <c r="J22" t="s">
        <v>13</v>
      </c>
    </row>
    <row r="23" spans="1:10">
      <c r="A23">
        <v>22</v>
      </c>
      <c r="B23" s="1">
        <v>45548</v>
      </c>
      <c r="C23" t="s">
        <v>10</v>
      </c>
      <c r="D23">
        <v>699</v>
      </c>
      <c r="E23">
        <v>3.6</v>
      </c>
      <c r="F23">
        <v>7</v>
      </c>
      <c r="G23">
        <v>4</v>
      </c>
      <c r="H23">
        <v>9</v>
      </c>
      <c r="I23">
        <v>10</v>
      </c>
      <c r="J23" t="s">
        <v>11</v>
      </c>
    </row>
    <row r="24" spans="1:10">
      <c r="A24">
        <v>23</v>
      </c>
      <c r="B24" s="1">
        <v>45614</v>
      </c>
      <c r="C24" t="s">
        <v>14</v>
      </c>
      <c r="D24">
        <v>399</v>
      </c>
      <c r="E24">
        <v>23.3</v>
      </c>
      <c r="F24">
        <v>3</v>
      </c>
      <c r="G24">
        <v>5</v>
      </c>
      <c r="H24">
        <v>14</v>
      </c>
      <c r="I24">
        <v>19</v>
      </c>
      <c r="J24" t="s">
        <v>13</v>
      </c>
    </row>
    <row r="25" spans="1:10">
      <c r="A25">
        <v>24</v>
      </c>
      <c r="B25" s="1">
        <v>44992</v>
      </c>
      <c r="C25" t="s">
        <v>10</v>
      </c>
      <c r="D25">
        <v>699</v>
      </c>
      <c r="E25">
        <v>11.2</v>
      </c>
      <c r="F25">
        <v>8</v>
      </c>
      <c r="G25">
        <v>3</v>
      </c>
      <c r="H25">
        <v>24</v>
      </c>
      <c r="I25">
        <v>7</v>
      </c>
      <c r="J25" t="s">
        <v>11</v>
      </c>
    </row>
    <row r="26" spans="1:10">
      <c r="A26">
        <v>25</v>
      </c>
      <c r="B26" s="1">
        <v>45651</v>
      </c>
      <c r="C26" t="s">
        <v>14</v>
      </c>
      <c r="D26">
        <v>399</v>
      </c>
      <c r="E26">
        <v>14.9</v>
      </c>
      <c r="F26">
        <v>3</v>
      </c>
      <c r="G26">
        <v>4</v>
      </c>
      <c r="H26">
        <v>2</v>
      </c>
      <c r="I26">
        <v>14</v>
      </c>
      <c r="J26" t="s">
        <v>11</v>
      </c>
    </row>
    <row r="27" spans="1:10">
      <c r="A27">
        <v>26</v>
      </c>
      <c r="B27" s="1">
        <v>45212</v>
      </c>
      <c r="C27" t="s">
        <v>10</v>
      </c>
      <c r="D27">
        <v>699</v>
      </c>
      <c r="E27">
        <v>6.1</v>
      </c>
      <c r="F27">
        <v>0</v>
      </c>
      <c r="G27">
        <v>2</v>
      </c>
      <c r="H27">
        <v>4</v>
      </c>
      <c r="I27">
        <v>4</v>
      </c>
      <c r="J27" t="s">
        <v>13</v>
      </c>
    </row>
    <row r="28" spans="1:10">
      <c r="A28">
        <v>27</v>
      </c>
      <c r="B28" s="1">
        <v>45517</v>
      </c>
      <c r="C28" t="s">
        <v>10</v>
      </c>
      <c r="D28">
        <v>699</v>
      </c>
      <c r="E28">
        <v>5.7</v>
      </c>
      <c r="F28">
        <v>2</v>
      </c>
      <c r="G28">
        <v>5</v>
      </c>
      <c r="H28">
        <v>32</v>
      </c>
      <c r="I28">
        <v>59</v>
      </c>
      <c r="J28" t="s">
        <v>13</v>
      </c>
    </row>
    <row r="29" spans="1:10">
      <c r="A29">
        <v>28</v>
      </c>
      <c r="B29" s="1">
        <v>45368</v>
      </c>
      <c r="C29" t="s">
        <v>14</v>
      </c>
      <c r="D29">
        <v>399</v>
      </c>
      <c r="E29">
        <v>19.7</v>
      </c>
      <c r="F29">
        <v>6</v>
      </c>
      <c r="G29">
        <v>1</v>
      </c>
      <c r="H29">
        <v>16</v>
      </c>
      <c r="I29">
        <v>6</v>
      </c>
      <c r="J29" t="s">
        <v>11</v>
      </c>
    </row>
    <row r="30" spans="1:10">
      <c r="A30">
        <v>29</v>
      </c>
      <c r="B30" s="1">
        <v>45027</v>
      </c>
      <c r="C30" t="s">
        <v>14</v>
      </c>
      <c r="D30">
        <v>399</v>
      </c>
      <c r="E30">
        <v>10.6</v>
      </c>
      <c r="F30">
        <v>0</v>
      </c>
      <c r="G30">
        <v>5</v>
      </c>
      <c r="H30">
        <v>28</v>
      </c>
      <c r="I30">
        <v>41</v>
      </c>
      <c r="J30" t="s">
        <v>13</v>
      </c>
    </row>
    <row r="31" spans="1:10">
      <c r="A31">
        <v>30</v>
      </c>
      <c r="B31" s="1">
        <v>45386</v>
      </c>
      <c r="C31" t="s">
        <v>12</v>
      </c>
      <c r="D31">
        <v>199</v>
      </c>
      <c r="E31">
        <v>18.3</v>
      </c>
      <c r="F31">
        <v>1</v>
      </c>
      <c r="G31">
        <v>1</v>
      </c>
      <c r="H31">
        <v>26</v>
      </c>
      <c r="I31">
        <v>12</v>
      </c>
      <c r="J31" t="s">
        <v>13</v>
      </c>
    </row>
    <row r="32" spans="1:10">
      <c r="A32">
        <v>31</v>
      </c>
      <c r="B32" s="1">
        <v>45380</v>
      </c>
      <c r="C32" t="s">
        <v>12</v>
      </c>
      <c r="D32">
        <v>199</v>
      </c>
      <c r="E32">
        <v>5</v>
      </c>
      <c r="F32">
        <v>7</v>
      </c>
      <c r="G32">
        <v>1</v>
      </c>
      <c r="H32">
        <v>28</v>
      </c>
      <c r="I32">
        <v>55</v>
      </c>
      <c r="J32" t="s">
        <v>13</v>
      </c>
    </row>
    <row r="33" spans="1:10">
      <c r="A33">
        <v>32</v>
      </c>
      <c r="B33" s="1">
        <v>45169</v>
      </c>
      <c r="C33" t="s">
        <v>10</v>
      </c>
      <c r="D33">
        <v>699</v>
      </c>
      <c r="E33">
        <v>1.7</v>
      </c>
      <c r="F33">
        <v>8</v>
      </c>
      <c r="G33">
        <v>0</v>
      </c>
      <c r="H33">
        <v>7</v>
      </c>
      <c r="I33">
        <v>5</v>
      </c>
      <c r="J33" t="s">
        <v>13</v>
      </c>
    </row>
    <row r="34" spans="1:10">
      <c r="A34">
        <v>33</v>
      </c>
      <c r="B34" s="1">
        <v>45315</v>
      </c>
      <c r="C34" t="s">
        <v>12</v>
      </c>
      <c r="D34">
        <v>199</v>
      </c>
      <c r="E34">
        <v>12.4</v>
      </c>
      <c r="F34">
        <v>3</v>
      </c>
      <c r="G34">
        <v>3</v>
      </c>
      <c r="H34">
        <v>27</v>
      </c>
      <c r="I34">
        <v>57</v>
      </c>
      <c r="J34" t="s">
        <v>11</v>
      </c>
    </row>
    <row r="35" spans="1:10">
      <c r="A35">
        <v>34</v>
      </c>
      <c r="B35" s="1">
        <v>45496</v>
      </c>
      <c r="C35" t="s">
        <v>12</v>
      </c>
      <c r="D35">
        <v>199</v>
      </c>
      <c r="E35">
        <v>7</v>
      </c>
      <c r="F35">
        <v>7</v>
      </c>
      <c r="G35">
        <v>2</v>
      </c>
      <c r="H35">
        <v>25</v>
      </c>
      <c r="I35">
        <v>27</v>
      </c>
      <c r="J35" t="s">
        <v>11</v>
      </c>
    </row>
    <row r="36" spans="1:10">
      <c r="A36">
        <v>35</v>
      </c>
      <c r="B36" s="1">
        <v>45482</v>
      </c>
      <c r="C36" t="s">
        <v>10</v>
      </c>
      <c r="D36">
        <v>699</v>
      </c>
      <c r="E36">
        <v>4.3</v>
      </c>
      <c r="F36">
        <v>4</v>
      </c>
      <c r="G36">
        <v>1</v>
      </c>
      <c r="H36">
        <v>32</v>
      </c>
      <c r="I36">
        <v>3</v>
      </c>
      <c r="J36" t="s">
        <v>13</v>
      </c>
    </row>
    <row r="37" spans="1:10">
      <c r="A37">
        <v>36</v>
      </c>
      <c r="B37" s="1">
        <v>45088</v>
      </c>
      <c r="C37" t="s">
        <v>12</v>
      </c>
      <c r="D37">
        <v>199</v>
      </c>
      <c r="E37">
        <v>1.9</v>
      </c>
      <c r="F37">
        <v>7</v>
      </c>
      <c r="G37">
        <v>4</v>
      </c>
      <c r="H37">
        <v>21</v>
      </c>
      <c r="I37">
        <v>58</v>
      </c>
      <c r="J37" t="s">
        <v>11</v>
      </c>
    </row>
    <row r="38" spans="1:10">
      <c r="A38">
        <v>37</v>
      </c>
      <c r="B38" s="1">
        <v>45167</v>
      </c>
      <c r="C38" t="s">
        <v>12</v>
      </c>
      <c r="D38">
        <v>199</v>
      </c>
      <c r="E38">
        <v>2.5</v>
      </c>
      <c r="F38">
        <v>2</v>
      </c>
      <c r="G38">
        <v>0</v>
      </c>
      <c r="H38">
        <v>33</v>
      </c>
      <c r="I38">
        <v>38</v>
      </c>
      <c r="J38" t="s">
        <v>11</v>
      </c>
    </row>
    <row r="39" spans="1:10">
      <c r="A39">
        <v>38</v>
      </c>
      <c r="B39" s="1">
        <v>45010</v>
      </c>
      <c r="C39" t="s">
        <v>14</v>
      </c>
      <c r="D39">
        <v>399</v>
      </c>
      <c r="E39">
        <v>23.6</v>
      </c>
      <c r="F39">
        <v>3</v>
      </c>
      <c r="G39">
        <v>4</v>
      </c>
      <c r="H39">
        <v>8</v>
      </c>
      <c r="I39">
        <v>38</v>
      </c>
      <c r="J39" t="s">
        <v>11</v>
      </c>
    </row>
    <row r="40" spans="1:10">
      <c r="A40">
        <v>39</v>
      </c>
      <c r="B40" s="1">
        <v>45171</v>
      </c>
      <c r="C40" t="s">
        <v>14</v>
      </c>
      <c r="D40">
        <v>399</v>
      </c>
      <c r="E40">
        <v>8.3000000000000007</v>
      </c>
      <c r="F40">
        <v>4</v>
      </c>
      <c r="G40">
        <v>1</v>
      </c>
      <c r="H40">
        <v>34</v>
      </c>
      <c r="I40">
        <v>42</v>
      </c>
      <c r="J40" t="s">
        <v>13</v>
      </c>
    </row>
    <row r="41" spans="1:10">
      <c r="A41">
        <v>40</v>
      </c>
      <c r="B41" s="1">
        <v>45001</v>
      </c>
      <c r="C41" t="s">
        <v>14</v>
      </c>
      <c r="D41">
        <v>399</v>
      </c>
      <c r="E41">
        <v>3.7</v>
      </c>
      <c r="F41">
        <v>4</v>
      </c>
      <c r="G41">
        <v>3</v>
      </c>
      <c r="H41">
        <v>26</v>
      </c>
      <c r="I41">
        <v>20</v>
      </c>
      <c r="J41" t="s">
        <v>13</v>
      </c>
    </row>
    <row r="42" spans="1:10">
      <c r="A42">
        <v>41</v>
      </c>
      <c r="B42" s="1">
        <v>45198</v>
      </c>
      <c r="C42" t="s">
        <v>12</v>
      </c>
      <c r="D42">
        <v>199</v>
      </c>
      <c r="E42">
        <v>15.7</v>
      </c>
      <c r="F42">
        <v>1</v>
      </c>
      <c r="G42">
        <v>0</v>
      </c>
      <c r="H42">
        <v>30</v>
      </c>
      <c r="I42">
        <v>34</v>
      </c>
      <c r="J42" t="s">
        <v>11</v>
      </c>
    </row>
    <row r="43" spans="1:10">
      <c r="A43">
        <v>42</v>
      </c>
      <c r="B43" s="1">
        <v>45483</v>
      </c>
      <c r="C43" t="s">
        <v>12</v>
      </c>
      <c r="D43">
        <v>199</v>
      </c>
      <c r="E43">
        <v>22.1</v>
      </c>
      <c r="F43">
        <v>3</v>
      </c>
      <c r="G43">
        <v>2</v>
      </c>
      <c r="H43">
        <v>23</v>
      </c>
      <c r="I43">
        <v>18</v>
      </c>
      <c r="J43" t="s">
        <v>11</v>
      </c>
    </row>
    <row r="44" spans="1:10">
      <c r="A44">
        <v>43</v>
      </c>
      <c r="B44" s="1">
        <v>45233</v>
      </c>
      <c r="C44" t="s">
        <v>10</v>
      </c>
      <c r="D44">
        <v>699</v>
      </c>
      <c r="E44">
        <v>15.5</v>
      </c>
      <c r="F44">
        <v>8</v>
      </c>
      <c r="G44">
        <v>0</v>
      </c>
      <c r="H44">
        <v>20</v>
      </c>
      <c r="I44">
        <v>42</v>
      </c>
      <c r="J44" t="s">
        <v>13</v>
      </c>
    </row>
    <row r="45" spans="1:10">
      <c r="A45">
        <v>44</v>
      </c>
      <c r="B45" s="1">
        <v>45493</v>
      </c>
      <c r="C45" t="s">
        <v>10</v>
      </c>
      <c r="D45">
        <v>699</v>
      </c>
      <c r="E45">
        <v>23.5</v>
      </c>
      <c r="F45">
        <v>2</v>
      </c>
      <c r="G45">
        <v>2</v>
      </c>
      <c r="H45">
        <v>7</v>
      </c>
      <c r="I45">
        <v>7</v>
      </c>
      <c r="J45" t="s">
        <v>13</v>
      </c>
    </row>
    <row r="46" spans="1:10">
      <c r="A46">
        <v>45</v>
      </c>
      <c r="B46" s="1">
        <v>45576</v>
      </c>
      <c r="C46" t="s">
        <v>12</v>
      </c>
      <c r="D46">
        <v>199</v>
      </c>
      <c r="E46">
        <v>7.4</v>
      </c>
      <c r="F46">
        <v>3</v>
      </c>
      <c r="G46">
        <v>5</v>
      </c>
      <c r="H46">
        <v>18</v>
      </c>
      <c r="I46">
        <v>21</v>
      </c>
      <c r="J46" t="s">
        <v>11</v>
      </c>
    </row>
    <row r="47" spans="1:10">
      <c r="A47">
        <v>46</v>
      </c>
      <c r="B47" s="1">
        <v>45210</v>
      </c>
      <c r="C47" t="s">
        <v>14</v>
      </c>
      <c r="D47">
        <v>399</v>
      </c>
      <c r="E47">
        <v>12.5</v>
      </c>
      <c r="F47">
        <v>0</v>
      </c>
      <c r="G47">
        <v>0</v>
      </c>
      <c r="H47">
        <v>33</v>
      </c>
      <c r="I47">
        <v>40</v>
      </c>
      <c r="J47" t="s">
        <v>13</v>
      </c>
    </row>
    <row r="48" spans="1:10">
      <c r="A48">
        <v>47</v>
      </c>
      <c r="B48" s="1">
        <v>45379</v>
      </c>
      <c r="C48" t="s">
        <v>12</v>
      </c>
      <c r="D48">
        <v>199</v>
      </c>
      <c r="E48">
        <v>8.6999999999999993</v>
      </c>
      <c r="F48">
        <v>2</v>
      </c>
      <c r="G48">
        <v>5</v>
      </c>
      <c r="H48">
        <v>1</v>
      </c>
      <c r="I48">
        <v>16</v>
      </c>
      <c r="J48" t="s">
        <v>11</v>
      </c>
    </row>
    <row r="49" spans="1:10">
      <c r="A49">
        <v>48</v>
      </c>
      <c r="B49" s="1">
        <v>45079</v>
      </c>
      <c r="C49" t="s">
        <v>10</v>
      </c>
      <c r="D49">
        <v>699</v>
      </c>
      <c r="E49">
        <v>14.2</v>
      </c>
      <c r="F49">
        <v>1</v>
      </c>
      <c r="G49">
        <v>0</v>
      </c>
      <c r="H49">
        <v>28</v>
      </c>
      <c r="I49">
        <v>60</v>
      </c>
      <c r="J49" t="s">
        <v>13</v>
      </c>
    </row>
    <row r="50" spans="1:10">
      <c r="A50">
        <v>49</v>
      </c>
      <c r="B50" s="1">
        <v>45242</v>
      </c>
      <c r="C50" t="s">
        <v>10</v>
      </c>
      <c r="D50">
        <v>699</v>
      </c>
      <c r="E50">
        <v>20.9</v>
      </c>
      <c r="F50">
        <v>8</v>
      </c>
      <c r="G50">
        <v>1</v>
      </c>
      <c r="H50">
        <v>3</v>
      </c>
      <c r="I50">
        <v>27</v>
      </c>
      <c r="J50" t="s">
        <v>11</v>
      </c>
    </row>
    <row r="51" spans="1:10">
      <c r="A51">
        <v>50</v>
      </c>
      <c r="B51" s="1">
        <v>45289</v>
      </c>
      <c r="C51" t="s">
        <v>14</v>
      </c>
      <c r="D51">
        <v>399</v>
      </c>
      <c r="E51">
        <v>22.5</v>
      </c>
      <c r="F51">
        <v>3</v>
      </c>
      <c r="G51">
        <v>5</v>
      </c>
      <c r="H51">
        <v>3</v>
      </c>
      <c r="I51">
        <v>15</v>
      </c>
      <c r="J51" t="s">
        <v>13</v>
      </c>
    </row>
    <row r="52" spans="1:10">
      <c r="A52">
        <v>51</v>
      </c>
      <c r="B52" s="1">
        <v>45108</v>
      </c>
      <c r="C52" t="s">
        <v>10</v>
      </c>
      <c r="D52">
        <v>699</v>
      </c>
      <c r="E52">
        <v>24.4</v>
      </c>
      <c r="F52">
        <v>2</v>
      </c>
      <c r="G52">
        <v>1</v>
      </c>
      <c r="H52">
        <v>27</v>
      </c>
      <c r="I52">
        <v>55</v>
      </c>
      <c r="J52" t="s">
        <v>11</v>
      </c>
    </row>
    <row r="53" spans="1:10">
      <c r="A53">
        <v>52</v>
      </c>
      <c r="B53" s="1">
        <v>45181</v>
      </c>
      <c r="C53" t="s">
        <v>14</v>
      </c>
      <c r="D53">
        <v>399</v>
      </c>
      <c r="E53">
        <v>4.9000000000000004</v>
      </c>
      <c r="F53">
        <v>5</v>
      </c>
      <c r="G53">
        <v>3</v>
      </c>
      <c r="H53">
        <v>2</v>
      </c>
      <c r="I53">
        <v>51</v>
      </c>
      <c r="J53" t="s">
        <v>11</v>
      </c>
    </row>
    <row r="54" spans="1:10">
      <c r="A54">
        <v>53</v>
      </c>
      <c r="B54" s="1">
        <v>45408</v>
      </c>
      <c r="C54" t="s">
        <v>14</v>
      </c>
      <c r="D54">
        <v>399</v>
      </c>
      <c r="E54">
        <v>19.8</v>
      </c>
      <c r="F54">
        <v>1</v>
      </c>
      <c r="G54">
        <v>3</v>
      </c>
      <c r="H54">
        <v>11</v>
      </c>
      <c r="I54">
        <v>55</v>
      </c>
      <c r="J54" t="s">
        <v>11</v>
      </c>
    </row>
    <row r="55" spans="1:10">
      <c r="A55">
        <v>54</v>
      </c>
      <c r="B55" s="1">
        <v>45160</v>
      </c>
      <c r="C55" t="s">
        <v>12</v>
      </c>
      <c r="D55">
        <v>199</v>
      </c>
      <c r="E55">
        <v>20.5</v>
      </c>
      <c r="F55">
        <v>7</v>
      </c>
      <c r="G55">
        <v>2</v>
      </c>
      <c r="H55">
        <v>13</v>
      </c>
      <c r="I55">
        <v>19</v>
      </c>
      <c r="J55" t="s">
        <v>13</v>
      </c>
    </row>
    <row r="56" spans="1:10">
      <c r="A56">
        <v>55</v>
      </c>
      <c r="B56" s="1">
        <v>45212</v>
      </c>
      <c r="C56" t="s">
        <v>12</v>
      </c>
      <c r="D56">
        <v>199</v>
      </c>
      <c r="E56">
        <v>16.7</v>
      </c>
      <c r="F56">
        <v>6</v>
      </c>
      <c r="G56">
        <v>2</v>
      </c>
      <c r="H56">
        <v>2</v>
      </c>
      <c r="I56">
        <v>17</v>
      </c>
      <c r="J56" t="s">
        <v>13</v>
      </c>
    </row>
    <row r="57" spans="1:10">
      <c r="A57">
        <v>56</v>
      </c>
      <c r="B57" s="1">
        <v>45194</v>
      </c>
      <c r="C57" t="s">
        <v>14</v>
      </c>
      <c r="D57">
        <v>399</v>
      </c>
      <c r="E57">
        <v>10.3</v>
      </c>
      <c r="F57">
        <v>8</v>
      </c>
      <c r="G57">
        <v>2</v>
      </c>
      <c r="H57">
        <v>33</v>
      </c>
      <c r="I57">
        <v>60</v>
      </c>
      <c r="J57" t="s">
        <v>11</v>
      </c>
    </row>
    <row r="58" spans="1:10">
      <c r="A58">
        <v>57</v>
      </c>
      <c r="B58" s="1">
        <v>45373</v>
      </c>
      <c r="C58" t="s">
        <v>12</v>
      </c>
      <c r="D58">
        <v>199</v>
      </c>
      <c r="E58">
        <v>1.4</v>
      </c>
      <c r="F58">
        <v>6</v>
      </c>
      <c r="G58">
        <v>2</v>
      </c>
      <c r="H58">
        <v>17</v>
      </c>
      <c r="I58">
        <v>46</v>
      </c>
      <c r="J58" t="s">
        <v>11</v>
      </c>
    </row>
    <row r="59" spans="1:10">
      <c r="A59">
        <v>58</v>
      </c>
      <c r="B59" s="1">
        <v>44928</v>
      </c>
      <c r="C59" t="s">
        <v>10</v>
      </c>
      <c r="D59">
        <v>699</v>
      </c>
      <c r="E59">
        <v>3.3</v>
      </c>
      <c r="F59">
        <v>3</v>
      </c>
      <c r="G59">
        <v>2</v>
      </c>
      <c r="H59">
        <v>33</v>
      </c>
      <c r="I59">
        <v>2</v>
      </c>
      <c r="J59" t="s">
        <v>13</v>
      </c>
    </row>
    <row r="60" spans="1:10">
      <c r="A60">
        <v>59</v>
      </c>
      <c r="B60" s="1">
        <v>45607</v>
      </c>
      <c r="C60" t="s">
        <v>10</v>
      </c>
      <c r="D60">
        <v>699</v>
      </c>
      <c r="E60">
        <v>17.3</v>
      </c>
      <c r="F60">
        <v>3</v>
      </c>
      <c r="G60">
        <v>2</v>
      </c>
      <c r="H60">
        <v>35</v>
      </c>
      <c r="I60">
        <v>27</v>
      </c>
      <c r="J60" t="s">
        <v>11</v>
      </c>
    </row>
    <row r="61" spans="1:10">
      <c r="A61">
        <v>60</v>
      </c>
      <c r="B61" s="1">
        <v>45243</v>
      </c>
      <c r="C61" t="s">
        <v>14</v>
      </c>
      <c r="D61">
        <v>399</v>
      </c>
      <c r="E61">
        <v>16.8</v>
      </c>
      <c r="F61">
        <v>1</v>
      </c>
      <c r="G61">
        <v>5</v>
      </c>
      <c r="H61">
        <v>21</v>
      </c>
      <c r="I61">
        <v>57</v>
      </c>
      <c r="J61" t="s">
        <v>11</v>
      </c>
    </row>
    <row r="62" spans="1:10">
      <c r="A62">
        <v>61</v>
      </c>
      <c r="B62" s="1">
        <v>45607</v>
      </c>
      <c r="C62" t="s">
        <v>10</v>
      </c>
      <c r="D62">
        <v>699</v>
      </c>
      <c r="E62">
        <v>8.5</v>
      </c>
      <c r="F62">
        <v>4</v>
      </c>
      <c r="G62">
        <v>4</v>
      </c>
      <c r="H62">
        <v>27</v>
      </c>
      <c r="I62">
        <v>8</v>
      </c>
      <c r="J62" t="s">
        <v>11</v>
      </c>
    </row>
    <row r="63" spans="1:10">
      <c r="A63">
        <v>62</v>
      </c>
      <c r="B63" s="1">
        <v>45238</v>
      </c>
      <c r="C63" t="s">
        <v>14</v>
      </c>
      <c r="D63">
        <v>399</v>
      </c>
      <c r="E63">
        <v>15.6</v>
      </c>
      <c r="F63">
        <v>4</v>
      </c>
      <c r="G63">
        <v>3</v>
      </c>
      <c r="H63">
        <v>12</v>
      </c>
      <c r="I63">
        <v>35</v>
      </c>
      <c r="J63" t="s">
        <v>13</v>
      </c>
    </row>
    <row r="64" spans="1:10">
      <c r="A64">
        <v>63</v>
      </c>
      <c r="B64" s="1">
        <v>45145</v>
      </c>
      <c r="C64" t="s">
        <v>14</v>
      </c>
      <c r="D64">
        <v>399</v>
      </c>
      <c r="E64">
        <v>11</v>
      </c>
      <c r="F64">
        <v>5</v>
      </c>
      <c r="G64">
        <v>3</v>
      </c>
      <c r="H64">
        <v>14</v>
      </c>
      <c r="I64">
        <v>28</v>
      </c>
      <c r="J64" t="s">
        <v>11</v>
      </c>
    </row>
    <row r="65" spans="1:10">
      <c r="A65">
        <v>64</v>
      </c>
      <c r="B65" s="1">
        <v>45606</v>
      </c>
      <c r="C65" t="s">
        <v>10</v>
      </c>
      <c r="D65">
        <v>699</v>
      </c>
      <c r="E65">
        <v>19.899999999999999</v>
      </c>
      <c r="F65">
        <v>2</v>
      </c>
      <c r="G65">
        <v>5</v>
      </c>
      <c r="H65">
        <v>31</v>
      </c>
      <c r="I65">
        <v>5</v>
      </c>
      <c r="J65" t="s">
        <v>11</v>
      </c>
    </row>
    <row r="66" spans="1:10">
      <c r="A66">
        <v>65</v>
      </c>
      <c r="B66" s="1">
        <v>45130</v>
      </c>
      <c r="C66" t="s">
        <v>10</v>
      </c>
      <c r="D66">
        <v>699</v>
      </c>
      <c r="E66">
        <v>2.8</v>
      </c>
      <c r="F66">
        <v>3</v>
      </c>
      <c r="G66">
        <v>5</v>
      </c>
      <c r="H66">
        <v>22</v>
      </c>
      <c r="I66">
        <v>19</v>
      </c>
      <c r="J66" t="s">
        <v>11</v>
      </c>
    </row>
    <row r="67" spans="1:10">
      <c r="A67">
        <v>66</v>
      </c>
      <c r="B67" s="1">
        <v>45393</v>
      </c>
      <c r="C67" t="s">
        <v>12</v>
      </c>
      <c r="D67">
        <v>199</v>
      </c>
      <c r="E67">
        <v>1.6</v>
      </c>
      <c r="F67">
        <v>7</v>
      </c>
      <c r="G67">
        <v>4</v>
      </c>
      <c r="H67">
        <v>2</v>
      </c>
      <c r="I67">
        <v>54</v>
      </c>
      <c r="J67" t="s">
        <v>11</v>
      </c>
    </row>
    <row r="68" spans="1:10">
      <c r="A68">
        <v>67</v>
      </c>
      <c r="B68" s="1">
        <v>45598</v>
      </c>
      <c r="C68" t="s">
        <v>14</v>
      </c>
      <c r="D68">
        <v>399</v>
      </c>
      <c r="E68">
        <v>18.100000000000001</v>
      </c>
      <c r="F68">
        <v>6</v>
      </c>
      <c r="G68">
        <v>3</v>
      </c>
      <c r="H68">
        <v>13</v>
      </c>
      <c r="I68">
        <v>25</v>
      </c>
      <c r="J68" t="s">
        <v>11</v>
      </c>
    </row>
    <row r="69" spans="1:10">
      <c r="A69">
        <v>68</v>
      </c>
      <c r="B69" s="1">
        <v>45639</v>
      </c>
      <c r="C69" t="s">
        <v>10</v>
      </c>
      <c r="D69">
        <v>699</v>
      </c>
      <c r="E69">
        <v>22.4</v>
      </c>
      <c r="F69">
        <v>1</v>
      </c>
      <c r="G69">
        <v>3</v>
      </c>
      <c r="H69">
        <v>1</v>
      </c>
      <c r="I69">
        <v>14</v>
      </c>
      <c r="J69" t="s">
        <v>11</v>
      </c>
    </row>
    <row r="70" spans="1:10">
      <c r="A70">
        <v>69</v>
      </c>
      <c r="B70" s="1">
        <v>45402</v>
      </c>
      <c r="C70" t="s">
        <v>10</v>
      </c>
      <c r="D70">
        <v>699</v>
      </c>
      <c r="E70">
        <v>1.7</v>
      </c>
      <c r="F70">
        <v>3</v>
      </c>
      <c r="G70">
        <v>0</v>
      </c>
      <c r="H70">
        <v>30</v>
      </c>
      <c r="I70">
        <v>29</v>
      </c>
      <c r="J70" t="s">
        <v>11</v>
      </c>
    </row>
    <row r="71" spans="1:10">
      <c r="A71">
        <v>70</v>
      </c>
      <c r="B71" s="1">
        <v>45443</v>
      </c>
      <c r="C71" t="s">
        <v>10</v>
      </c>
      <c r="D71">
        <v>699</v>
      </c>
      <c r="E71">
        <v>24.7</v>
      </c>
      <c r="F71">
        <v>5</v>
      </c>
      <c r="G71">
        <v>3</v>
      </c>
      <c r="H71">
        <v>34</v>
      </c>
      <c r="I71">
        <v>39</v>
      </c>
      <c r="J71" t="s">
        <v>13</v>
      </c>
    </row>
    <row r="72" spans="1:10">
      <c r="A72">
        <v>71</v>
      </c>
      <c r="B72" s="1">
        <v>45192</v>
      </c>
      <c r="C72" t="s">
        <v>14</v>
      </c>
      <c r="D72">
        <v>399</v>
      </c>
      <c r="E72">
        <v>11.4</v>
      </c>
      <c r="F72">
        <v>2</v>
      </c>
      <c r="G72">
        <v>5</v>
      </c>
      <c r="H72">
        <v>36</v>
      </c>
      <c r="I72">
        <v>55</v>
      </c>
      <c r="J72" t="s">
        <v>11</v>
      </c>
    </row>
    <row r="73" spans="1:10">
      <c r="A73">
        <v>72</v>
      </c>
      <c r="B73" s="1">
        <v>45377</v>
      </c>
      <c r="C73" t="s">
        <v>12</v>
      </c>
      <c r="D73">
        <v>199</v>
      </c>
      <c r="E73">
        <v>19.3</v>
      </c>
      <c r="F73">
        <v>8</v>
      </c>
      <c r="G73">
        <v>3</v>
      </c>
      <c r="H73">
        <v>18</v>
      </c>
      <c r="I73">
        <v>40</v>
      </c>
      <c r="J73" t="s">
        <v>11</v>
      </c>
    </row>
    <row r="74" spans="1:10">
      <c r="A74">
        <v>73</v>
      </c>
      <c r="B74" s="1">
        <v>45068</v>
      </c>
      <c r="C74" t="s">
        <v>12</v>
      </c>
      <c r="D74">
        <v>199</v>
      </c>
      <c r="E74">
        <v>6.2</v>
      </c>
      <c r="F74">
        <v>5</v>
      </c>
      <c r="G74">
        <v>2</v>
      </c>
      <c r="H74">
        <v>19</v>
      </c>
      <c r="I74">
        <v>57</v>
      </c>
      <c r="J74" t="s">
        <v>11</v>
      </c>
    </row>
    <row r="75" spans="1:10">
      <c r="A75">
        <v>74</v>
      </c>
      <c r="B75" s="1">
        <v>45344</v>
      </c>
      <c r="C75" t="s">
        <v>12</v>
      </c>
      <c r="D75">
        <v>199</v>
      </c>
      <c r="E75">
        <v>9.9</v>
      </c>
      <c r="F75">
        <v>2</v>
      </c>
      <c r="G75">
        <v>5</v>
      </c>
      <c r="H75">
        <v>15</v>
      </c>
      <c r="I75">
        <v>13</v>
      </c>
      <c r="J75" t="s">
        <v>11</v>
      </c>
    </row>
    <row r="76" spans="1:10">
      <c r="A76">
        <v>75</v>
      </c>
      <c r="B76" s="1">
        <v>45525</v>
      </c>
      <c r="C76" t="s">
        <v>14</v>
      </c>
      <c r="D76">
        <v>399</v>
      </c>
      <c r="E76">
        <v>11.9</v>
      </c>
      <c r="F76">
        <v>0</v>
      </c>
      <c r="G76">
        <v>1</v>
      </c>
      <c r="H76">
        <v>35</v>
      </c>
      <c r="I76">
        <v>53</v>
      </c>
      <c r="J76" t="s">
        <v>13</v>
      </c>
    </row>
    <row r="77" spans="1:10">
      <c r="A77">
        <v>76</v>
      </c>
      <c r="B77" s="1">
        <v>45232</v>
      </c>
      <c r="C77" t="s">
        <v>10</v>
      </c>
      <c r="D77">
        <v>699</v>
      </c>
      <c r="E77">
        <v>21.5</v>
      </c>
      <c r="F77">
        <v>6</v>
      </c>
      <c r="G77">
        <v>3</v>
      </c>
      <c r="H77">
        <v>2</v>
      </c>
      <c r="I77">
        <v>0</v>
      </c>
      <c r="J77" t="s">
        <v>13</v>
      </c>
    </row>
    <row r="78" spans="1:10">
      <c r="A78">
        <v>77</v>
      </c>
      <c r="B78" s="1">
        <v>45151</v>
      </c>
      <c r="C78" t="s">
        <v>14</v>
      </c>
      <c r="D78">
        <v>399</v>
      </c>
      <c r="E78">
        <v>13.7</v>
      </c>
      <c r="F78">
        <v>8</v>
      </c>
      <c r="G78">
        <v>4</v>
      </c>
      <c r="H78">
        <v>27</v>
      </c>
      <c r="I78">
        <v>57</v>
      </c>
      <c r="J78" t="s">
        <v>11</v>
      </c>
    </row>
    <row r="79" spans="1:10">
      <c r="A79">
        <v>78</v>
      </c>
      <c r="B79" s="1">
        <v>45341</v>
      </c>
      <c r="C79" t="s">
        <v>14</v>
      </c>
      <c r="D79">
        <v>399</v>
      </c>
      <c r="E79">
        <v>12.4</v>
      </c>
      <c r="F79">
        <v>6</v>
      </c>
      <c r="G79">
        <v>2</v>
      </c>
      <c r="H79">
        <v>28</v>
      </c>
      <c r="I79">
        <v>42</v>
      </c>
      <c r="J79" t="s">
        <v>11</v>
      </c>
    </row>
    <row r="80" spans="1:10">
      <c r="A80">
        <v>79</v>
      </c>
      <c r="B80" s="1">
        <v>45330</v>
      </c>
      <c r="C80" t="s">
        <v>10</v>
      </c>
      <c r="D80">
        <v>699</v>
      </c>
      <c r="E80">
        <v>21.1</v>
      </c>
      <c r="F80">
        <v>2</v>
      </c>
      <c r="G80">
        <v>4</v>
      </c>
      <c r="H80">
        <v>11</v>
      </c>
      <c r="I80">
        <v>34</v>
      </c>
      <c r="J80" t="s">
        <v>11</v>
      </c>
    </row>
    <row r="81" spans="1:10">
      <c r="A81">
        <v>80</v>
      </c>
      <c r="B81" s="1">
        <v>44978</v>
      </c>
      <c r="C81" t="s">
        <v>10</v>
      </c>
      <c r="D81">
        <v>699</v>
      </c>
      <c r="E81">
        <v>2.6</v>
      </c>
      <c r="F81">
        <v>6</v>
      </c>
      <c r="G81">
        <v>1</v>
      </c>
      <c r="H81">
        <v>2</v>
      </c>
      <c r="I81">
        <v>55</v>
      </c>
      <c r="J81" t="s">
        <v>11</v>
      </c>
    </row>
    <row r="82" spans="1:10">
      <c r="A82">
        <v>81</v>
      </c>
      <c r="B82" s="1">
        <v>45315</v>
      </c>
      <c r="C82" t="s">
        <v>14</v>
      </c>
      <c r="D82">
        <v>399</v>
      </c>
      <c r="E82">
        <v>8.5</v>
      </c>
      <c r="F82">
        <v>7</v>
      </c>
      <c r="G82">
        <v>2</v>
      </c>
      <c r="H82">
        <v>25</v>
      </c>
      <c r="I82">
        <v>21</v>
      </c>
      <c r="J82" t="s">
        <v>13</v>
      </c>
    </row>
    <row r="83" spans="1:10">
      <c r="A83">
        <v>82</v>
      </c>
      <c r="B83" s="1">
        <v>44980</v>
      </c>
      <c r="C83" t="s">
        <v>14</v>
      </c>
      <c r="D83">
        <v>399</v>
      </c>
      <c r="E83">
        <v>6.7</v>
      </c>
      <c r="F83">
        <v>1</v>
      </c>
      <c r="G83">
        <v>3</v>
      </c>
      <c r="H83">
        <v>27</v>
      </c>
      <c r="I83">
        <v>1</v>
      </c>
      <c r="J83" t="s">
        <v>13</v>
      </c>
    </row>
    <row r="84" spans="1:10">
      <c r="A84">
        <v>83</v>
      </c>
      <c r="B84" s="1">
        <v>44947</v>
      </c>
      <c r="C84" t="s">
        <v>14</v>
      </c>
      <c r="D84">
        <v>399</v>
      </c>
      <c r="E84">
        <v>16.399999999999999</v>
      </c>
      <c r="F84">
        <v>0</v>
      </c>
      <c r="G84">
        <v>0</v>
      </c>
      <c r="H84">
        <v>15</v>
      </c>
      <c r="I84">
        <v>60</v>
      </c>
      <c r="J84" t="s">
        <v>11</v>
      </c>
    </row>
    <row r="85" spans="1:10">
      <c r="A85">
        <v>84</v>
      </c>
      <c r="B85" s="1">
        <v>45150</v>
      </c>
      <c r="C85" t="s">
        <v>10</v>
      </c>
      <c r="D85">
        <v>699</v>
      </c>
      <c r="E85">
        <v>6.3</v>
      </c>
      <c r="F85">
        <v>7</v>
      </c>
      <c r="G85">
        <v>5</v>
      </c>
      <c r="H85">
        <v>10</v>
      </c>
      <c r="I85">
        <v>7</v>
      </c>
      <c r="J85" t="s">
        <v>13</v>
      </c>
    </row>
    <row r="86" spans="1:10">
      <c r="A86">
        <v>85</v>
      </c>
      <c r="B86" s="1">
        <v>45044</v>
      </c>
      <c r="C86" t="s">
        <v>14</v>
      </c>
      <c r="D86">
        <v>399</v>
      </c>
      <c r="E86">
        <v>19.3</v>
      </c>
      <c r="F86">
        <v>2</v>
      </c>
      <c r="G86">
        <v>4</v>
      </c>
      <c r="H86">
        <v>17</v>
      </c>
      <c r="I86">
        <v>38</v>
      </c>
      <c r="J86" t="s">
        <v>13</v>
      </c>
    </row>
    <row r="87" spans="1:10">
      <c r="A87">
        <v>86</v>
      </c>
      <c r="B87" s="1">
        <v>45311</v>
      </c>
      <c r="C87" t="s">
        <v>12</v>
      </c>
      <c r="D87">
        <v>199</v>
      </c>
      <c r="E87">
        <v>3.1</v>
      </c>
      <c r="F87">
        <v>0</v>
      </c>
      <c r="G87">
        <v>2</v>
      </c>
      <c r="H87">
        <v>20</v>
      </c>
      <c r="I87">
        <v>36</v>
      </c>
      <c r="J87" t="s">
        <v>11</v>
      </c>
    </row>
    <row r="88" spans="1:10">
      <c r="A88">
        <v>87</v>
      </c>
      <c r="B88" s="1">
        <v>45627</v>
      </c>
      <c r="C88" t="s">
        <v>14</v>
      </c>
      <c r="D88">
        <v>399</v>
      </c>
      <c r="E88">
        <v>2.4</v>
      </c>
      <c r="F88">
        <v>3</v>
      </c>
      <c r="G88">
        <v>0</v>
      </c>
      <c r="H88">
        <v>13</v>
      </c>
      <c r="I88">
        <v>44</v>
      </c>
      <c r="J88" t="s">
        <v>13</v>
      </c>
    </row>
    <row r="89" spans="1:10">
      <c r="A89">
        <v>88</v>
      </c>
      <c r="B89" s="1">
        <v>45306</v>
      </c>
      <c r="C89" t="s">
        <v>10</v>
      </c>
      <c r="D89">
        <v>699</v>
      </c>
      <c r="E89">
        <v>20</v>
      </c>
      <c r="F89">
        <v>0</v>
      </c>
      <c r="G89">
        <v>2</v>
      </c>
      <c r="H89">
        <v>8</v>
      </c>
      <c r="I89">
        <v>34</v>
      </c>
      <c r="J89" t="s">
        <v>11</v>
      </c>
    </row>
    <row r="90" spans="1:10">
      <c r="A90">
        <v>89</v>
      </c>
      <c r="B90" s="1">
        <v>45370</v>
      </c>
      <c r="C90" t="s">
        <v>12</v>
      </c>
      <c r="D90">
        <v>199</v>
      </c>
      <c r="E90">
        <v>16.399999999999999</v>
      </c>
      <c r="F90">
        <v>0</v>
      </c>
      <c r="G90">
        <v>3</v>
      </c>
      <c r="H90">
        <v>33</v>
      </c>
      <c r="I90">
        <v>52</v>
      </c>
      <c r="J90" t="s">
        <v>11</v>
      </c>
    </row>
    <row r="91" spans="1:10">
      <c r="A91">
        <v>90</v>
      </c>
      <c r="B91" s="1">
        <v>45593</v>
      </c>
      <c r="C91" t="s">
        <v>14</v>
      </c>
      <c r="D91">
        <v>399</v>
      </c>
      <c r="E91">
        <v>17.8</v>
      </c>
      <c r="F91">
        <v>6</v>
      </c>
      <c r="G91">
        <v>1</v>
      </c>
      <c r="H91">
        <v>30</v>
      </c>
      <c r="I91">
        <v>46</v>
      </c>
      <c r="J91" t="s">
        <v>13</v>
      </c>
    </row>
    <row r="92" spans="1:10">
      <c r="A92">
        <v>91</v>
      </c>
      <c r="B92" s="1">
        <v>45201</v>
      </c>
      <c r="C92" t="s">
        <v>14</v>
      </c>
      <c r="D92">
        <v>399</v>
      </c>
      <c r="E92">
        <v>19.5</v>
      </c>
      <c r="F92">
        <v>7</v>
      </c>
      <c r="G92">
        <v>3</v>
      </c>
      <c r="H92">
        <v>35</v>
      </c>
      <c r="I92">
        <v>52</v>
      </c>
      <c r="J92" t="s">
        <v>11</v>
      </c>
    </row>
    <row r="93" spans="1:10">
      <c r="A93">
        <v>92</v>
      </c>
      <c r="B93" s="1">
        <v>45402</v>
      </c>
      <c r="C93" t="s">
        <v>14</v>
      </c>
      <c r="D93">
        <v>399</v>
      </c>
      <c r="E93">
        <v>20.9</v>
      </c>
      <c r="F93">
        <v>1</v>
      </c>
      <c r="G93">
        <v>2</v>
      </c>
      <c r="H93">
        <v>16</v>
      </c>
      <c r="I93">
        <v>56</v>
      </c>
      <c r="J93" t="s">
        <v>11</v>
      </c>
    </row>
    <row r="94" spans="1:10">
      <c r="A94">
        <v>93</v>
      </c>
      <c r="B94" s="1">
        <v>45290</v>
      </c>
      <c r="C94" t="s">
        <v>10</v>
      </c>
      <c r="D94">
        <v>699</v>
      </c>
      <c r="E94">
        <v>8.6999999999999993</v>
      </c>
      <c r="F94">
        <v>7</v>
      </c>
      <c r="G94">
        <v>2</v>
      </c>
      <c r="H94">
        <v>25</v>
      </c>
      <c r="I94">
        <v>11</v>
      </c>
      <c r="J94" t="s">
        <v>11</v>
      </c>
    </row>
    <row r="95" spans="1:10">
      <c r="A95">
        <v>94</v>
      </c>
      <c r="B95" s="1">
        <v>45122</v>
      </c>
      <c r="C95" t="s">
        <v>14</v>
      </c>
      <c r="D95">
        <v>399</v>
      </c>
      <c r="E95">
        <v>7.4</v>
      </c>
      <c r="F95">
        <v>4</v>
      </c>
      <c r="G95">
        <v>4</v>
      </c>
      <c r="H95">
        <v>22</v>
      </c>
      <c r="I95">
        <v>0</v>
      </c>
      <c r="J95" t="s">
        <v>13</v>
      </c>
    </row>
    <row r="96" spans="1:10">
      <c r="A96">
        <v>95</v>
      </c>
      <c r="B96" s="1">
        <v>45414</v>
      </c>
      <c r="C96" t="s">
        <v>12</v>
      </c>
      <c r="D96">
        <v>199</v>
      </c>
      <c r="E96">
        <v>18.100000000000001</v>
      </c>
      <c r="F96">
        <v>7</v>
      </c>
      <c r="G96">
        <v>4</v>
      </c>
      <c r="H96">
        <v>16</v>
      </c>
      <c r="I96">
        <v>48</v>
      </c>
      <c r="J96" t="s">
        <v>11</v>
      </c>
    </row>
    <row r="97" spans="1:10">
      <c r="A97">
        <v>96</v>
      </c>
      <c r="B97" s="1">
        <v>45635</v>
      </c>
      <c r="C97" t="s">
        <v>10</v>
      </c>
      <c r="D97">
        <v>699</v>
      </c>
      <c r="E97">
        <v>11.5</v>
      </c>
      <c r="F97">
        <v>0</v>
      </c>
      <c r="G97">
        <v>0</v>
      </c>
      <c r="H97">
        <v>32</v>
      </c>
      <c r="I97">
        <v>18</v>
      </c>
      <c r="J97" t="s">
        <v>13</v>
      </c>
    </row>
    <row r="98" spans="1:10">
      <c r="A98">
        <v>97</v>
      </c>
      <c r="B98" s="1">
        <v>45362</v>
      </c>
      <c r="C98" t="s">
        <v>12</v>
      </c>
      <c r="D98">
        <v>199</v>
      </c>
      <c r="E98">
        <v>16.8</v>
      </c>
      <c r="F98">
        <v>5</v>
      </c>
      <c r="G98">
        <v>3</v>
      </c>
      <c r="H98">
        <v>20</v>
      </c>
      <c r="I98">
        <v>35</v>
      </c>
      <c r="J98" t="s">
        <v>11</v>
      </c>
    </row>
    <row r="99" spans="1:10">
      <c r="A99">
        <v>98</v>
      </c>
      <c r="B99" s="1">
        <v>45050</v>
      </c>
      <c r="C99" t="s">
        <v>10</v>
      </c>
      <c r="D99">
        <v>699</v>
      </c>
      <c r="E99">
        <v>8.6</v>
      </c>
      <c r="F99">
        <v>7</v>
      </c>
      <c r="G99">
        <v>2</v>
      </c>
      <c r="H99">
        <v>36</v>
      </c>
      <c r="I99">
        <v>19</v>
      </c>
      <c r="J99" t="s">
        <v>11</v>
      </c>
    </row>
    <row r="100" spans="1:10">
      <c r="A100">
        <v>99</v>
      </c>
      <c r="B100" s="1">
        <v>45422</v>
      </c>
      <c r="C100" t="s">
        <v>10</v>
      </c>
      <c r="D100">
        <v>699</v>
      </c>
      <c r="E100">
        <v>8.1999999999999993</v>
      </c>
      <c r="F100">
        <v>8</v>
      </c>
      <c r="G100">
        <v>5</v>
      </c>
      <c r="H100">
        <v>13</v>
      </c>
      <c r="I100">
        <v>11</v>
      </c>
      <c r="J100" t="s">
        <v>11</v>
      </c>
    </row>
    <row r="101" spans="1:10">
      <c r="A101">
        <v>100</v>
      </c>
      <c r="B101" s="1">
        <v>45110</v>
      </c>
      <c r="C101" t="s">
        <v>14</v>
      </c>
      <c r="D101">
        <v>399</v>
      </c>
      <c r="E101">
        <v>15.1</v>
      </c>
      <c r="F101">
        <v>1</v>
      </c>
      <c r="G101">
        <v>1</v>
      </c>
      <c r="H101">
        <v>34</v>
      </c>
      <c r="I101">
        <v>18</v>
      </c>
      <c r="J101" t="s">
        <v>13</v>
      </c>
    </row>
    <row r="102" spans="1:10">
      <c r="A102">
        <v>101</v>
      </c>
      <c r="B102" s="1">
        <v>45493</v>
      </c>
      <c r="C102" t="s">
        <v>14</v>
      </c>
      <c r="D102">
        <v>399</v>
      </c>
      <c r="E102">
        <v>17.8</v>
      </c>
      <c r="F102">
        <v>2</v>
      </c>
      <c r="G102">
        <v>2</v>
      </c>
      <c r="H102">
        <v>1</v>
      </c>
      <c r="I102">
        <v>2</v>
      </c>
      <c r="J102" t="s">
        <v>13</v>
      </c>
    </row>
    <row r="103" spans="1:10">
      <c r="A103">
        <v>102</v>
      </c>
      <c r="B103" s="1">
        <v>45218</v>
      </c>
      <c r="C103" t="s">
        <v>14</v>
      </c>
      <c r="D103">
        <v>399</v>
      </c>
      <c r="E103">
        <v>16.100000000000001</v>
      </c>
      <c r="F103">
        <v>7</v>
      </c>
      <c r="G103">
        <v>0</v>
      </c>
      <c r="H103">
        <v>9</v>
      </c>
      <c r="I103">
        <v>55</v>
      </c>
      <c r="J103" t="s">
        <v>11</v>
      </c>
    </row>
    <row r="104" spans="1:10">
      <c r="A104">
        <v>103</v>
      </c>
      <c r="B104" s="1">
        <v>45416</v>
      </c>
      <c r="C104" t="s">
        <v>14</v>
      </c>
      <c r="D104">
        <v>399</v>
      </c>
      <c r="E104">
        <v>11.3</v>
      </c>
      <c r="F104">
        <v>2</v>
      </c>
      <c r="G104">
        <v>0</v>
      </c>
      <c r="H104">
        <v>31</v>
      </c>
      <c r="I104">
        <v>16</v>
      </c>
      <c r="J104" t="s">
        <v>13</v>
      </c>
    </row>
    <row r="105" spans="1:10">
      <c r="A105">
        <v>104</v>
      </c>
      <c r="B105" s="1">
        <v>45082</v>
      </c>
      <c r="C105" t="s">
        <v>12</v>
      </c>
      <c r="D105">
        <v>199</v>
      </c>
      <c r="E105">
        <v>10.3</v>
      </c>
      <c r="F105">
        <v>1</v>
      </c>
      <c r="G105">
        <v>4</v>
      </c>
      <c r="H105">
        <v>5</v>
      </c>
      <c r="I105">
        <v>40</v>
      </c>
      <c r="J105" t="s">
        <v>13</v>
      </c>
    </row>
    <row r="106" spans="1:10">
      <c r="A106">
        <v>105</v>
      </c>
      <c r="B106" s="1">
        <v>45547</v>
      </c>
      <c r="C106" t="s">
        <v>12</v>
      </c>
      <c r="D106">
        <v>199</v>
      </c>
      <c r="E106">
        <v>2.6</v>
      </c>
      <c r="F106">
        <v>3</v>
      </c>
      <c r="G106">
        <v>0</v>
      </c>
      <c r="H106">
        <v>20</v>
      </c>
      <c r="I106">
        <v>35</v>
      </c>
      <c r="J106" t="s">
        <v>13</v>
      </c>
    </row>
    <row r="107" spans="1:10">
      <c r="A107">
        <v>106</v>
      </c>
      <c r="B107" s="1">
        <v>45529</v>
      </c>
      <c r="C107" t="s">
        <v>10</v>
      </c>
      <c r="D107">
        <v>699</v>
      </c>
      <c r="E107">
        <v>19.5</v>
      </c>
      <c r="F107">
        <v>6</v>
      </c>
      <c r="G107">
        <v>3</v>
      </c>
      <c r="H107">
        <v>15</v>
      </c>
      <c r="I107">
        <v>58</v>
      </c>
      <c r="J107" t="s">
        <v>11</v>
      </c>
    </row>
    <row r="108" spans="1:10">
      <c r="A108">
        <v>107</v>
      </c>
      <c r="B108" s="1">
        <v>45139</v>
      </c>
      <c r="C108" t="s">
        <v>14</v>
      </c>
      <c r="D108">
        <v>399</v>
      </c>
      <c r="E108">
        <v>14.4</v>
      </c>
      <c r="F108">
        <v>0</v>
      </c>
      <c r="G108">
        <v>4</v>
      </c>
      <c r="H108">
        <v>20</v>
      </c>
      <c r="I108">
        <v>47</v>
      </c>
      <c r="J108" t="s">
        <v>11</v>
      </c>
    </row>
    <row r="109" spans="1:10">
      <c r="A109">
        <v>108</v>
      </c>
      <c r="B109" s="1">
        <v>45003</v>
      </c>
      <c r="C109" t="s">
        <v>10</v>
      </c>
      <c r="D109">
        <v>699</v>
      </c>
      <c r="E109">
        <v>7</v>
      </c>
      <c r="F109">
        <v>1</v>
      </c>
      <c r="G109">
        <v>1</v>
      </c>
      <c r="H109">
        <v>14</v>
      </c>
      <c r="I109">
        <v>15</v>
      </c>
      <c r="J109" t="s">
        <v>13</v>
      </c>
    </row>
    <row r="110" spans="1:10">
      <c r="A110">
        <v>109</v>
      </c>
      <c r="B110" s="1">
        <v>45650</v>
      </c>
      <c r="C110" t="s">
        <v>12</v>
      </c>
      <c r="D110">
        <v>199</v>
      </c>
      <c r="E110">
        <v>10.5</v>
      </c>
      <c r="F110">
        <v>7</v>
      </c>
      <c r="G110">
        <v>2</v>
      </c>
      <c r="H110">
        <v>1</v>
      </c>
      <c r="I110">
        <v>2</v>
      </c>
      <c r="J110" t="s">
        <v>11</v>
      </c>
    </row>
    <row r="111" spans="1:10">
      <c r="A111">
        <v>110</v>
      </c>
      <c r="B111" s="1">
        <v>45530</v>
      </c>
      <c r="C111" t="s">
        <v>14</v>
      </c>
      <c r="D111">
        <v>399</v>
      </c>
      <c r="E111">
        <v>2.2000000000000002</v>
      </c>
      <c r="F111">
        <v>3</v>
      </c>
      <c r="G111">
        <v>2</v>
      </c>
      <c r="H111">
        <v>30</v>
      </c>
      <c r="I111">
        <v>50</v>
      </c>
      <c r="J111" t="s">
        <v>11</v>
      </c>
    </row>
    <row r="112" spans="1:10">
      <c r="A112">
        <v>111</v>
      </c>
      <c r="B112" s="1">
        <v>45199</v>
      </c>
      <c r="C112" t="s">
        <v>10</v>
      </c>
      <c r="D112">
        <v>699</v>
      </c>
      <c r="E112">
        <v>10.9</v>
      </c>
      <c r="F112">
        <v>8</v>
      </c>
      <c r="G112">
        <v>1</v>
      </c>
      <c r="H112">
        <v>13</v>
      </c>
      <c r="I112">
        <v>41</v>
      </c>
      <c r="J112" t="s">
        <v>11</v>
      </c>
    </row>
    <row r="113" spans="1:10">
      <c r="A113">
        <v>112</v>
      </c>
      <c r="B113" s="1">
        <v>45222</v>
      </c>
      <c r="C113" t="s">
        <v>12</v>
      </c>
      <c r="D113">
        <v>199</v>
      </c>
      <c r="E113">
        <v>2</v>
      </c>
      <c r="F113">
        <v>4</v>
      </c>
      <c r="G113">
        <v>4</v>
      </c>
      <c r="H113">
        <v>5</v>
      </c>
      <c r="I113">
        <v>47</v>
      </c>
      <c r="J113" t="s">
        <v>11</v>
      </c>
    </row>
    <row r="114" spans="1:10">
      <c r="A114">
        <v>113</v>
      </c>
      <c r="B114" s="1">
        <v>45439</v>
      </c>
      <c r="C114" t="s">
        <v>14</v>
      </c>
      <c r="D114">
        <v>399</v>
      </c>
      <c r="E114">
        <v>12</v>
      </c>
      <c r="F114">
        <v>4</v>
      </c>
      <c r="G114">
        <v>5</v>
      </c>
      <c r="H114">
        <v>8</v>
      </c>
      <c r="I114">
        <v>25</v>
      </c>
      <c r="J114" t="s">
        <v>13</v>
      </c>
    </row>
    <row r="115" spans="1:10">
      <c r="A115">
        <v>114</v>
      </c>
      <c r="B115" s="1">
        <v>45183</v>
      </c>
      <c r="C115" t="s">
        <v>10</v>
      </c>
      <c r="D115">
        <v>699</v>
      </c>
      <c r="E115">
        <v>11.2</v>
      </c>
      <c r="F115">
        <v>0</v>
      </c>
      <c r="G115">
        <v>3</v>
      </c>
      <c r="H115">
        <v>32</v>
      </c>
      <c r="I115">
        <v>47</v>
      </c>
      <c r="J115" t="s">
        <v>11</v>
      </c>
    </row>
    <row r="116" spans="1:10">
      <c r="A116">
        <v>115</v>
      </c>
      <c r="B116" s="1">
        <v>44968</v>
      </c>
      <c r="C116" t="s">
        <v>12</v>
      </c>
      <c r="D116">
        <v>199</v>
      </c>
      <c r="E116">
        <v>6.1</v>
      </c>
      <c r="F116">
        <v>0</v>
      </c>
      <c r="G116">
        <v>5</v>
      </c>
      <c r="H116">
        <v>6</v>
      </c>
      <c r="I116">
        <v>52</v>
      </c>
      <c r="J116" t="s">
        <v>11</v>
      </c>
    </row>
    <row r="117" spans="1:10">
      <c r="A117">
        <v>116</v>
      </c>
      <c r="B117" s="1">
        <v>45373</v>
      </c>
      <c r="C117" t="s">
        <v>12</v>
      </c>
      <c r="D117">
        <v>199</v>
      </c>
      <c r="E117">
        <v>13.2</v>
      </c>
      <c r="F117">
        <v>7</v>
      </c>
      <c r="G117">
        <v>2</v>
      </c>
      <c r="H117">
        <v>31</v>
      </c>
      <c r="I117">
        <v>11</v>
      </c>
      <c r="J117" t="s">
        <v>13</v>
      </c>
    </row>
    <row r="118" spans="1:10">
      <c r="A118">
        <v>117</v>
      </c>
      <c r="B118" s="1">
        <v>45613</v>
      </c>
      <c r="C118" t="s">
        <v>10</v>
      </c>
      <c r="D118">
        <v>699</v>
      </c>
      <c r="E118">
        <v>24.2</v>
      </c>
      <c r="F118">
        <v>7</v>
      </c>
      <c r="G118">
        <v>2</v>
      </c>
      <c r="H118">
        <v>32</v>
      </c>
      <c r="I118">
        <v>26</v>
      </c>
      <c r="J118" t="s">
        <v>11</v>
      </c>
    </row>
    <row r="119" spans="1:10">
      <c r="A119">
        <v>118</v>
      </c>
      <c r="B119" s="1">
        <v>45490</v>
      </c>
      <c r="C119" t="s">
        <v>12</v>
      </c>
      <c r="D119">
        <v>199</v>
      </c>
      <c r="E119">
        <v>8.6</v>
      </c>
      <c r="F119">
        <v>7</v>
      </c>
      <c r="G119">
        <v>2</v>
      </c>
      <c r="H119">
        <v>11</v>
      </c>
      <c r="I119">
        <v>42</v>
      </c>
      <c r="J119" t="s">
        <v>13</v>
      </c>
    </row>
    <row r="120" spans="1:10">
      <c r="A120">
        <v>119</v>
      </c>
      <c r="B120" s="1">
        <v>45340</v>
      </c>
      <c r="C120" t="s">
        <v>12</v>
      </c>
      <c r="D120">
        <v>199</v>
      </c>
      <c r="E120">
        <v>2.7</v>
      </c>
      <c r="F120">
        <v>4</v>
      </c>
      <c r="G120">
        <v>2</v>
      </c>
      <c r="H120">
        <v>30</v>
      </c>
      <c r="I120">
        <v>7</v>
      </c>
      <c r="J120" t="s">
        <v>13</v>
      </c>
    </row>
    <row r="121" spans="1:10">
      <c r="A121">
        <v>120</v>
      </c>
      <c r="B121" s="1">
        <v>45457</v>
      </c>
      <c r="C121" t="s">
        <v>10</v>
      </c>
      <c r="D121">
        <v>699</v>
      </c>
      <c r="E121">
        <v>16.600000000000001</v>
      </c>
      <c r="F121">
        <v>8</v>
      </c>
      <c r="G121">
        <v>3</v>
      </c>
      <c r="H121">
        <v>1</v>
      </c>
      <c r="I121">
        <v>26</v>
      </c>
      <c r="J121" t="s">
        <v>11</v>
      </c>
    </row>
    <row r="122" spans="1:10">
      <c r="A122">
        <v>121</v>
      </c>
      <c r="B122" s="1">
        <v>45221</v>
      </c>
      <c r="C122" t="s">
        <v>14</v>
      </c>
      <c r="D122">
        <v>399</v>
      </c>
      <c r="E122">
        <v>15.8</v>
      </c>
      <c r="F122">
        <v>0</v>
      </c>
      <c r="G122">
        <v>1</v>
      </c>
      <c r="H122">
        <v>32</v>
      </c>
      <c r="I122">
        <v>17</v>
      </c>
      <c r="J122" t="s">
        <v>13</v>
      </c>
    </row>
    <row r="123" spans="1:10">
      <c r="A123">
        <v>122</v>
      </c>
      <c r="B123" s="1">
        <v>44941</v>
      </c>
      <c r="C123" t="s">
        <v>14</v>
      </c>
      <c r="D123">
        <v>399</v>
      </c>
      <c r="E123">
        <v>3.5</v>
      </c>
      <c r="F123">
        <v>3</v>
      </c>
      <c r="G123">
        <v>5</v>
      </c>
      <c r="H123">
        <v>32</v>
      </c>
      <c r="I123">
        <v>10</v>
      </c>
      <c r="J123" t="s">
        <v>11</v>
      </c>
    </row>
    <row r="124" spans="1:10">
      <c r="A124">
        <v>123</v>
      </c>
      <c r="B124" s="1">
        <v>45084</v>
      </c>
      <c r="C124" t="s">
        <v>10</v>
      </c>
      <c r="D124">
        <v>699</v>
      </c>
      <c r="E124">
        <v>2.8</v>
      </c>
      <c r="F124">
        <v>1</v>
      </c>
      <c r="G124">
        <v>3</v>
      </c>
      <c r="H124">
        <v>27</v>
      </c>
      <c r="I124">
        <v>60</v>
      </c>
      <c r="J124" t="s">
        <v>11</v>
      </c>
    </row>
    <row r="125" spans="1:10">
      <c r="A125">
        <v>124</v>
      </c>
      <c r="B125" s="1">
        <v>45410</v>
      </c>
      <c r="C125" t="s">
        <v>14</v>
      </c>
      <c r="D125">
        <v>399</v>
      </c>
      <c r="E125">
        <v>13</v>
      </c>
      <c r="F125">
        <v>4</v>
      </c>
      <c r="G125">
        <v>3</v>
      </c>
      <c r="H125">
        <v>19</v>
      </c>
      <c r="I125">
        <v>53</v>
      </c>
      <c r="J125" t="s">
        <v>11</v>
      </c>
    </row>
    <row r="126" spans="1:10">
      <c r="A126">
        <v>125</v>
      </c>
      <c r="B126" s="1">
        <v>45066</v>
      </c>
      <c r="C126" t="s">
        <v>12</v>
      </c>
      <c r="D126">
        <v>199</v>
      </c>
      <c r="E126">
        <v>14</v>
      </c>
      <c r="F126">
        <v>6</v>
      </c>
      <c r="G126">
        <v>1</v>
      </c>
      <c r="H126">
        <v>30</v>
      </c>
      <c r="I126">
        <v>58</v>
      </c>
      <c r="J126" t="s">
        <v>13</v>
      </c>
    </row>
    <row r="127" spans="1:10">
      <c r="A127">
        <v>126</v>
      </c>
      <c r="B127" s="1">
        <v>45200</v>
      </c>
      <c r="C127" t="s">
        <v>12</v>
      </c>
      <c r="D127">
        <v>199</v>
      </c>
      <c r="E127">
        <v>19.399999999999999</v>
      </c>
      <c r="F127">
        <v>6</v>
      </c>
      <c r="G127">
        <v>2</v>
      </c>
      <c r="H127">
        <v>18</v>
      </c>
      <c r="I127">
        <v>59</v>
      </c>
      <c r="J127" t="s">
        <v>13</v>
      </c>
    </row>
    <row r="128" spans="1:10">
      <c r="A128">
        <v>127</v>
      </c>
      <c r="B128" s="1">
        <v>45280</v>
      </c>
      <c r="C128" t="s">
        <v>12</v>
      </c>
      <c r="D128">
        <v>199</v>
      </c>
      <c r="E128">
        <v>18.3</v>
      </c>
      <c r="F128">
        <v>7</v>
      </c>
      <c r="G128">
        <v>1</v>
      </c>
      <c r="H128">
        <v>19</v>
      </c>
      <c r="I128">
        <v>28</v>
      </c>
      <c r="J128" t="s">
        <v>13</v>
      </c>
    </row>
    <row r="129" spans="1:10">
      <c r="A129">
        <v>128</v>
      </c>
      <c r="B129" s="1">
        <v>45120</v>
      </c>
      <c r="C129" t="s">
        <v>14</v>
      </c>
      <c r="D129">
        <v>399</v>
      </c>
      <c r="E129">
        <v>19.2</v>
      </c>
      <c r="F129">
        <v>6</v>
      </c>
      <c r="G129">
        <v>3</v>
      </c>
      <c r="H129">
        <v>36</v>
      </c>
      <c r="I129">
        <v>59</v>
      </c>
      <c r="J129" t="s">
        <v>11</v>
      </c>
    </row>
    <row r="130" spans="1:10">
      <c r="A130">
        <v>129</v>
      </c>
      <c r="B130" s="1">
        <v>45411</v>
      </c>
      <c r="C130" t="s">
        <v>10</v>
      </c>
      <c r="D130">
        <v>699</v>
      </c>
      <c r="E130">
        <v>14.5</v>
      </c>
      <c r="F130">
        <v>3</v>
      </c>
      <c r="G130">
        <v>3</v>
      </c>
      <c r="H130">
        <v>16</v>
      </c>
      <c r="I130">
        <v>2</v>
      </c>
      <c r="J130" t="s">
        <v>11</v>
      </c>
    </row>
    <row r="131" spans="1:10">
      <c r="A131">
        <v>130</v>
      </c>
      <c r="B131" s="1">
        <v>45531</v>
      </c>
      <c r="C131" t="s">
        <v>10</v>
      </c>
      <c r="D131">
        <v>699</v>
      </c>
      <c r="E131">
        <v>10</v>
      </c>
      <c r="F131">
        <v>2</v>
      </c>
      <c r="G131">
        <v>3</v>
      </c>
      <c r="H131">
        <v>25</v>
      </c>
      <c r="I131">
        <v>2</v>
      </c>
      <c r="J131" t="s">
        <v>11</v>
      </c>
    </row>
    <row r="132" spans="1:10">
      <c r="A132">
        <v>131</v>
      </c>
      <c r="B132" s="1">
        <v>44942</v>
      </c>
      <c r="C132" t="s">
        <v>14</v>
      </c>
      <c r="D132">
        <v>399</v>
      </c>
      <c r="E132">
        <v>21.9</v>
      </c>
      <c r="F132">
        <v>7</v>
      </c>
      <c r="G132">
        <v>0</v>
      </c>
      <c r="H132">
        <v>7</v>
      </c>
      <c r="I132">
        <v>33</v>
      </c>
      <c r="J132" t="s">
        <v>13</v>
      </c>
    </row>
    <row r="133" spans="1:10">
      <c r="A133">
        <v>132</v>
      </c>
      <c r="B133" s="1">
        <v>45198</v>
      </c>
      <c r="C133" t="s">
        <v>10</v>
      </c>
      <c r="D133">
        <v>699</v>
      </c>
      <c r="E133">
        <v>10.5</v>
      </c>
      <c r="F133">
        <v>2</v>
      </c>
      <c r="G133">
        <v>0</v>
      </c>
      <c r="H133">
        <v>10</v>
      </c>
      <c r="I133">
        <v>30</v>
      </c>
      <c r="J133" t="s">
        <v>13</v>
      </c>
    </row>
    <row r="134" spans="1:10">
      <c r="A134">
        <v>133</v>
      </c>
      <c r="B134" s="1">
        <v>45251</v>
      </c>
      <c r="C134" t="s">
        <v>14</v>
      </c>
      <c r="D134">
        <v>399</v>
      </c>
      <c r="E134">
        <v>16.399999999999999</v>
      </c>
      <c r="F134">
        <v>5</v>
      </c>
      <c r="G134">
        <v>5</v>
      </c>
      <c r="H134">
        <v>26</v>
      </c>
      <c r="I134">
        <v>54</v>
      </c>
      <c r="J134" t="s">
        <v>11</v>
      </c>
    </row>
    <row r="135" spans="1:10">
      <c r="A135">
        <v>134</v>
      </c>
      <c r="B135" s="1">
        <v>45627</v>
      </c>
      <c r="C135" t="s">
        <v>10</v>
      </c>
      <c r="D135">
        <v>699</v>
      </c>
      <c r="E135">
        <v>21.9</v>
      </c>
      <c r="F135">
        <v>0</v>
      </c>
      <c r="G135">
        <v>4</v>
      </c>
      <c r="H135">
        <v>32</v>
      </c>
      <c r="I135">
        <v>4</v>
      </c>
      <c r="J135" t="s">
        <v>11</v>
      </c>
    </row>
    <row r="136" spans="1:10">
      <c r="A136">
        <v>135</v>
      </c>
      <c r="B136" s="1">
        <v>45029</v>
      </c>
      <c r="C136" t="s">
        <v>14</v>
      </c>
      <c r="D136">
        <v>399</v>
      </c>
      <c r="E136">
        <v>18.8</v>
      </c>
      <c r="F136">
        <v>6</v>
      </c>
      <c r="G136">
        <v>0</v>
      </c>
      <c r="H136">
        <v>15</v>
      </c>
      <c r="I136">
        <v>48</v>
      </c>
      <c r="J136" t="s">
        <v>13</v>
      </c>
    </row>
    <row r="137" spans="1:10">
      <c r="A137">
        <v>136</v>
      </c>
      <c r="B137" s="1">
        <v>45227</v>
      </c>
      <c r="C137" t="s">
        <v>14</v>
      </c>
      <c r="D137">
        <v>399</v>
      </c>
      <c r="E137">
        <v>17.5</v>
      </c>
      <c r="F137">
        <v>0</v>
      </c>
      <c r="G137">
        <v>0</v>
      </c>
      <c r="H137">
        <v>11</v>
      </c>
      <c r="I137">
        <v>20</v>
      </c>
      <c r="J137" t="s">
        <v>13</v>
      </c>
    </row>
    <row r="138" spans="1:10">
      <c r="A138">
        <v>137</v>
      </c>
      <c r="B138" s="1">
        <v>45111</v>
      </c>
      <c r="C138" t="s">
        <v>14</v>
      </c>
      <c r="D138">
        <v>399</v>
      </c>
      <c r="E138">
        <v>11.1</v>
      </c>
      <c r="F138">
        <v>3</v>
      </c>
      <c r="G138">
        <v>4</v>
      </c>
      <c r="H138">
        <v>24</v>
      </c>
      <c r="I138">
        <v>26</v>
      </c>
      <c r="J138" t="s">
        <v>11</v>
      </c>
    </row>
    <row r="139" spans="1:10">
      <c r="A139">
        <v>138</v>
      </c>
      <c r="B139" s="1">
        <v>45524</v>
      </c>
      <c r="C139" t="s">
        <v>12</v>
      </c>
      <c r="D139">
        <v>199</v>
      </c>
      <c r="E139">
        <v>2.4</v>
      </c>
      <c r="F139">
        <v>6</v>
      </c>
      <c r="G139">
        <v>4</v>
      </c>
      <c r="H139">
        <v>12</v>
      </c>
      <c r="I139">
        <v>43</v>
      </c>
      <c r="J139" t="s">
        <v>11</v>
      </c>
    </row>
    <row r="140" spans="1:10">
      <c r="A140">
        <v>139</v>
      </c>
      <c r="B140" s="1">
        <v>45403</v>
      </c>
      <c r="C140" t="s">
        <v>12</v>
      </c>
      <c r="D140">
        <v>199</v>
      </c>
      <c r="E140">
        <v>11.8</v>
      </c>
      <c r="F140">
        <v>4</v>
      </c>
      <c r="G140">
        <v>3</v>
      </c>
      <c r="H140">
        <v>15</v>
      </c>
      <c r="I140">
        <v>16</v>
      </c>
      <c r="J140" t="s">
        <v>13</v>
      </c>
    </row>
    <row r="141" spans="1:10">
      <c r="A141">
        <v>140</v>
      </c>
      <c r="B141" s="1">
        <v>45361</v>
      </c>
      <c r="C141" t="s">
        <v>14</v>
      </c>
      <c r="D141">
        <v>399</v>
      </c>
      <c r="E141">
        <v>4.4000000000000004</v>
      </c>
      <c r="F141">
        <v>7</v>
      </c>
      <c r="G141">
        <v>2</v>
      </c>
      <c r="H141">
        <v>35</v>
      </c>
      <c r="I141">
        <v>37</v>
      </c>
      <c r="J141" t="s">
        <v>11</v>
      </c>
    </row>
    <row r="142" spans="1:10">
      <c r="A142">
        <v>141</v>
      </c>
      <c r="B142" s="1">
        <v>45036</v>
      </c>
      <c r="C142" t="s">
        <v>10</v>
      </c>
      <c r="D142">
        <v>699</v>
      </c>
      <c r="E142">
        <v>11.7</v>
      </c>
      <c r="F142">
        <v>4</v>
      </c>
      <c r="G142">
        <v>1</v>
      </c>
      <c r="H142">
        <v>17</v>
      </c>
      <c r="I142">
        <v>24</v>
      </c>
      <c r="J142" t="s">
        <v>13</v>
      </c>
    </row>
    <row r="143" spans="1:10">
      <c r="A143">
        <v>142</v>
      </c>
      <c r="B143" s="1">
        <v>45601</v>
      </c>
      <c r="C143" t="s">
        <v>12</v>
      </c>
      <c r="D143">
        <v>199</v>
      </c>
      <c r="E143">
        <v>14.5</v>
      </c>
      <c r="F143">
        <v>4</v>
      </c>
      <c r="G143">
        <v>5</v>
      </c>
      <c r="H143">
        <v>25</v>
      </c>
      <c r="I143">
        <v>18</v>
      </c>
      <c r="J143" t="s">
        <v>11</v>
      </c>
    </row>
    <row r="144" spans="1:10">
      <c r="A144">
        <v>143</v>
      </c>
      <c r="B144" s="1">
        <v>45220</v>
      </c>
      <c r="C144" t="s">
        <v>14</v>
      </c>
      <c r="D144">
        <v>399</v>
      </c>
      <c r="E144">
        <v>0.7</v>
      </c>
      <c r="F144">
        <v>0</v>
      </c>
      <c r="G144">
        <v>4</v>
      </c>
      <c r="H144">
        <v>18</v>
      </c>
      <c r="I144">
        <v>47</v>
      </c>
      <c r="J144" t="s">
        <v>11</v>
      </c>
    </row>
    <row r="145" spans="1:10">
      <c r="A145">
        <v>144</v>
      </c>
      <c r="B145" s="1">
        <v>45602</v>
      </c>
      <c r="C145" t="s">
        <v>12</v>
      </c>
      <c r="D145">
        <v>199</v>
      </c>
      <c r="E145">
        <v>5.9</v>
      </c>
      <c r="F145">
        <v>3</v>
      </c>
      <c r="G145">
        <v>4</v>
      </c>
      <c r="H145">
        <v>23</v>
      </c>
      <c r="I145">
        <v>16</v>
      </c>
      <c r="J145" t="s">
        <v>13</v>
      </c>
    </row>
    <row r="146" spans="1:10">
      <c r="A146">
        <v>145</v>
      </c>
      <c r="B146" s="1">
        <v>45520</v>
      </c>
      <c r="C146" t="s">
        <v>10</v>
      </c>
      <c r="D146">
        <v>699</v>
      </c>
      <c r="E146">
        <v>15.9</v>
      </c>
      <c r="F146">
        <v>0</v>
      </c>
      <c r="G146">
        <v>2</v>
      </c>
      <c r="H146">
        <v>9</v>
      </c>
      <c r="I146">
        <v>50</v>
      </c>
      <c r="J146" t="s">
        <v>11</v>
      </c>
    </row>
    <row r="147" spans="1:10">
      <c r="A147">
        <v>146</v>
      </c>
      <c r="B147" s="1">
        <v>45132</v>
      </c>
      <c r="C147" t="s">
        <v>14</v>
      </c>
      <c r="D147">
        <v>399</v>
      </c>
      <c r="E147">
        <v>2.7</v>
      </c>
      <c r="F147">
        <v>4</v>
      </c>
      <c r="G147">
        <v>2</v>
      </c>
      <c r="H147">
        <v>9</v>
      </c>
      <c r="I147">
        <v>47</v>
      </c>
      <c r="J147" t="s">
        <v>11</v>
      </c>
    </row>
    <row r="148" spans="1:10">
      <c r="A148">
        <v>147</v>
      </c>
      <c r="B148" s="1">
        <v>45095</v>
      </c>
      <c r="C148" t="s">
        <v>12</v>
      </c>
      <c r="D148">
        <v>199</v>
      </c>
      <c r="E148">
        <v>22</v>
      </c>
      <c r="F148">
        <v>5</v>
      </c>
      <c r="G148">
        <v>4</v>
      </c>
      <c r="H148">
        <v>35</v>
      </c>
      <c r="I148">
        <v>32</v>
      </c>
      <c r="J148" t="s">
        <v>13</v>
      </c>
    </row>
    <row r="149" spans="1:10">
      <c r="A149">
        <v>148</v>
      </c>
      <c r="B149" s="1">
        <v>45044</v>
      </c>
      <c r="C149" t="s">
        <v>14</v>
      </c>
      <c r="D149">
        <v>399</v>
      </c>
      <c r="E149">
        <v>24.2</v>
      </c>
      <c r="F149">
        <v>4</v>
      </c>
      <c r="G149">
        <v>5</v>
      </c>
      <c r="H149">
        <v>31</v>
      </c>
      <c r="I149">
        <v>55</v>
      </c>
      <c r="J149" t="s">
        <v>11</v>
      </c>
    </row>
    <row r="150" spans="1:10">
      <c r="A150">
        <v>149</v>
      </c>
      <c r="B150" s="1">
        <v>45333</v>
      </c>
      <c r="C150" t="s">
        <v>14</v>
      </c>
      <c r="D150">
        <v>399</v>
      </c>
      <c r="E150">
        <v>3.9</v>
      </c>
      <c r="F150">
        <v>3</v>
      </c>
      <c r="G150">
        <v>5</v>
      </c>
      <c r="H150">
        <v>5</v>
      </c>
      <c r="I150">
        <v>46</v>
      </c>
      <c r="J150" t="s">
        <v>11</v>
      </c>
    </row>
    <row r="151" spans="1:10">
      <c r="A151">
        <v>150</v>
      </c>
      <c r="B151" s="1">
        <v>45392</v>
      </c>
      <c r="C151" t="s">
        <v>10</v>
      </c>
      <c r="D151">
        <v>699</v>
      </c>
      <c r="E151">
        <v>2.7</v>
      </c>
      <c r="F151">
        <v>6</v>
      </c>
      <c r="G151">
        <v>0</v>
      </c>
      <c r="H151">
        <v>24</v>
      </c>
      <c r="I151">
        <v>16</v>
      </c>
      <c r="J151" t="s">
        <v>13</v>
      </c>
    </row>
    <row r="152" spans="1:10">
      <c r="A152">
        <v>151</v>
      </c>
      <c r="B152" s="1">
        <v>44952</v>
      </c>
      <c r="C152" t="s">
        <v>14</v>
      </c>
      <c r="D152">
        <v>399</v>
      </c>
      <c r="E152">
        <v>14.8</v>
      </c>
      <c r="F152">
        <v>5</v>
      </c>
      <c r="G152">
        <v>0</v>
      </c>
      <c r="H152">
        <v>17</v>
      </c>
      <c r="I152">
        <v>43</v>
      </c>
      <c r="J152" t="s">
        <v>11</v>
      </c>
    </row>
    <row r="153" spans="1:10">
      <c r="A153">
        <v>152</v>
      </c>
      <c r="B153" s="1">
        <v>45402</v>
      </c>
      <c r="C153" t="s">
        <v>10</v>
      </c>
      <c r="D153">
        <v>699</v>
      </c>
      <c r="E153">
        <v>8.5</v>
      </c>
      <c r="F153">
        <v>3</v>
      </c>
      <c r="G153">
        <v>5</v>
      </c>
      <c r="H153">
        <v>36</v>
      </c>
      <c r="I153">
        <v>4</v>
      </c>
      <c r="J153" t="s">
        <v>13</v>
      </c>
    </row>
    <row r="154" spans="1:10">
      <c r="A154">
        <v>153</v>
      </c>
      <c r="B154" s="1">
        <v>45238</v>
      </c>
      <c r="C154" t="s">
        <v>10</v>
      </c>
      <c r="D154">
        <v>699</v>
      </c>
      <c r="E154">
        <v>16.399999999999999</v>
      </c>
      <c r="F154">
        <v>1</v>
      </c>
      <c r="G154">
        <v>1</v>
      </c>
      <c r="H154">
        <v>20</v>
      </c>
      <c r="I154">
        <v>2</v>
      </c>
      <c r="J154" t="s">
        <v>13</v>
      </c>
    </row>
    <row r="155" spans="1:10">
      <c r="A155">
        <v>154</v>
      </c>
      <c r="B155" s="1">
        <v>45613</v>
      </c>
      <c r="C155" t="s">
        <v>14</v>
      </c>
      <c r="D155">
        <v>399</v>
      </c>
      <c r="E155">
        <v>2.9</v>
      </c>
      <c r="F155">
        <v>8</v>
      </c>
      <c r="G155">
        <v>1</v>
      </c>
      <c r="H155">
        <v>8</v>
      </c>
      <c r="I155">
        <v>24</v>
      </c>
      <c r="J155" t="s">
        <v>11</v>
      </c>
    </row>
    <row r="156" spans="1:10">
      <c r="A156">
        <v>155</v>
      </c>
      <c r="B156" s="1">
        <v>45428</v>
      </c>
      <c r="C156" t="s">
        <v>10</v>
      </c>
      <c r="D156">
        <v>699</v>
      </c>
      <c r="E156">
        <v>10.8</v>
      </c>
      <c r="F156">
        <v>2</v>
      </c>
      <c r="G156">
        <v>3</v>
      </c>
      <c r="H156">
        <v>35</v>
      </c>
      <c r="I156">
        <v>41</v>
      </c>
      <c r="J156" t="s">
        <v>11</v>
      </c>
    </row>
    <row r="157" spans="1:10">
      <c r="A157">
        <v>156</v>
      </c>
      <c r="B157" s="1">
        <v>45381</v>
      </c>
      <c r="C157" t="s">
        <v>10</v>
      </c>
      <c r="D157">
        <v>699</v>
      </c>
      <c r="E157">
        <v>23.5</v>
      </c>
      <c r="F157">
        <v>4</v>
      </c>
      <c r="G157">
        <v>0</v>
      </c>
      <c r="H157">
        <v>27</v>
      </c>
      <c r="I157">
        <v>44</v>
      </c>
      <c r="J157" t="s">
        <v>11</v>
      </c>
    </row>
    <row r="158" spans="1:10">
      <c r="A158">
        <v>157</v>
      </c>
      <c r="B158" s="1">
        <v>45587</v>
      </c>
      <c r="C158" t="s">
        <v>14</v>
      </c>
      <c r="D158">
        <v>399</v>
      </c>
      <c r="E158">
        <v>21.5</v>
      </c>
      <c r="F158">
        <v>1</v>
      </c>
      <c r="G158">
        <v>5</v>
      </c>
      <c r="H158">
        <v>16</v>
      </c>
      <c r="I158">
        <v>23</v>
      </c>
      <c r="J158" t="s">
        <v>11</v>
      </c>
    </row>
    <row r="159" spans="1:10">
      <c r="A159">
        <v>158</v>
      </c>
      <c r="B159" s="1">
        <v>45392</v>
      </c>
      <c r="C159" t="s">
        <v>14</v>
      </c>
      <c r="D159">
        <v>399</v>
      </c>
      <c r="E159">
        <v>10.3</v>
      </c>
      <c r="F159">
        <v>3</v>
      </c>
      <c r="G159">
        <v>0</v>
      </c>
      <c r="H159">
        <v>4</v>
      </c>
      <c r="I159">
        <v>60</v>
      </c>
      <c r="J159" t="s">
        <v>13</v>
      </c>
    </row>
    <row r="160" spans="1:10">
      <c r="A160">
        <v>159</v>
      </c>
      <c r="B160" s="1">
        <v>45055</v>
      </c>
      <c r="C160" t="s">
        <v>12</v>
      </c>
      <c r="D160">
        <v>199</v>
      </c>
      <c r="E160">
        <v>16.2</v>
      </c>
      <c r="F160">
        <v>0</v>
      </c>
      <c r="G160">
        <v>0</v>
      </c>
      <c r="H160">
        <v>14</v>
      </c>
      <c r="I160">
        <v>50</v>
      </c>
      <c r="J160" t="s">
        <v>11</v>
      </c>
    </row>
    <row r="161" spans="1:10">
      <c r="A161">
        <v>160</v>
      </c>
      <c r="B161" s="1">
        <v>45165</v>
      </c>
      <c r="C161" t="s">
        <v>10</v>
      </c>
      <c r="D161">
        <v>699</v>
      </c>
      <c r="E161">
        <v>2.2000000000000002</v>
      </c>
      <c r="F161">
        <v>8</v>
      </c>
      <c r="G161">
        <v>1</v>
      </c>
      <c r="H161">
        <v>14</v>
      </c>
      <c r="I161">
        <v>37</v>
      </c>
      <c r="J161" t="s">
        <v>11</v>
      </c>
    </row>
    <row r="162" spans="1:10">
      <c r="A162">
        <v>161</v>
      </c>
      <c r="B162" s="1">
        <v>45060</v>
      </c>
      <c r="C162" t="s">
        <v>14</v>
      </c>
      <c r="D162">
        <v>399</v>
      </c>
      <c r="E162">
        <v>19.8</v>
      </c>
      <c r="F162">
        <v>0</v>
      </c>
      <c r="G162">
        <v>2</v>
      </c>
      <c r="H162">
        <v>10</v>
      </c>
      <c r="I162">
        <v>54</v>
      </c>
      <c r="J162" t="s">
        <v>13</v>
      </c>
    </row>
    <row r="163" spans="1:10">
      <c r="A163">
        <v>162</v>
      </c>
      <c r="B163" s="1">
        <v>44942</v>
      </c>
      <c r="C163" t="s">
        <v>10</v>
      </c>
      <c r="D163">
        <v>699</v>
      </c>
      <c r="E163">
        <v>20.100000000000001</v>
      </c>
      <c r="F163">
        <v>1</v>
      </c>
      <c r="G163">
        <v>5</v>
      </c>
      <c r="H163">
        <v>17</v>
      </c>
      <c r="I163">
        <v>55</v>
      </c>
      <c r="J163" t="s">
        <v>11</v>
      </c>
    </row>
    <row r="164" spans="1:10">
      <c r="A164">
        <v>163</v>
      </c>
      <c r="B164" s="1">
        <v>45358</v>
      </c>
      <c r="C164" t="s">
        <v>14</v>
      </c>
      <c r="D164">
        <v>399</v>
      </c>
      <c r="E164">
        <v>14.9</v>
      </c>
      <c r="F164">
        <v>0</v>
      </c>
      <c r="G164">
        <v>1</v>
      </c>
      <c r="H164">
        <v>16</v>
      </c>
      <c r="I164">
        <v>16</v>
      </c>
      <c r="J164" t="s">
        <v>11</v>
      </c>
    </row>
    <row r="165" spans="1:10">
      <c r="A165">
        <v>164</v>
      </c>
      <c r="B165" s="1">
        <v>45534</v>
      </c>
      <c r="C165" t="s">
        <v>10</v>
      </c>
      <c r="D165">
        <v>699</v>
      </c>
      <c r="E165">
        <v>18.8</v>
      </c>
      <c r="F165">
        <v>7</v>
      </c>
      <c r="G165">
        <v>3</v>
      </c>
      <c r="H165">
        <v>8</v>
      </c>
      <c r="I165">
        <v>49</v>
      </c>
      <c r="J165" t="s">
        <v>11</v>
      </c>
    </row>
    <row r="166" spans="1:10">
      <c r="A166">
        <v>165</v>
      </c>
      <c r="B166" s="1">
        <v>45601</v>
      </c>
      <c r="C166" t="s">
        <v>12</v>
      </c>
      <c r="D166">
        <v>199</v>
      </c>
      <c r="E166">
        <v>12.8</v>
      </c>
      <c r="F166">
        <v>0</v>
      </c>
      <c r="G166">
        <v>5</v>
      </c>
      <c r="H166">
        <v>29</v>
      </c>
      <c r="I166">
        <v>50</v>
      </c>
      <c r="J166" t="s">
        <v>13</v>
      </c>
    </row>
    <row r="167" spans="1:10">
      <c r="A167">
        <v>166</v>
      </c>
      <c r="B167" s="1">
        <v>45363</v>
      </c>
      <c r="C167" t="s">
        <v>10</v>
      </c>
      <c r="D167">
        <v>699</v>
      </c>
      <c r="E167">
        <v>11.7</v>
      </c>
      <c r="F167">
        <v>0</v>
      </c>
      <c r="G167">
        <v>0</v>
      </c>
      <c r="H167">
        <v>20</v>
      </c>
      <c r="I167">
        <v>30</v>
      </c>
      <c r="J167" t="s">
        <v>13</v>
      </c>
    </row>
    <row r="168" spans="1:10">
      <c r="A168">
        <v>167</v>
      </c>
      <c r="B168" s="1">
        <v>45549</v>
      </c>
      <c r="C168" t="s">
        <v>10</v>
      </c>
      <c r="D168">
        <v>699</v>
      </c>
      <c r="E168">
        <v>12.5</v>
      </c>
      <c r="F168">
        <v>7</v>
      </c>
      <c r="G168">
        <v>0</v>
      </c>
      <c r="H168">
        <v>7</v>
      </c>
      <c r="I168">
        <v>57</v>
      </c>
      <c r="J168" t="s">
        <v>11</v>
      </c>
    </row>
    <row r="169" spans="1:10">
      <c r="A169">
        <v>168</v>
      </c>
      <c r="B169" s="1">
        <v>45538</v>
      </c>
      <c r="C169" t="s">
        <v>12</v>
      </c>
      <c r="D169">
        <v>199</v>
      </c>
      <c r="E169">
        <v>3.6</v>
      </c>
      <c r="F169">
        <v>8</v>
      </c>
      <c r="G169">
        <v>5</v>
      </c>
      <c r="H169">
        <v>5</v>
      </c>
      <c r="I169">
        <v>20</v>
      </c>
      <c r="J169" t="s">
        <v>11</v>
      </c>
    </row>
    <row r="170" spans="1:10">
      <c r="A170">
        <v>169</v>
      </c>
      <c r="B170" s="1">
        <v>45597</v>
      </c>
      <c r="C170" t="s">
        <v>10</v>
      </c>
      <c r="D170">
        <v>699</v>
      </c>
      <c r="E170">
        <v>11.6</v>
      </c>
      <c r="F170">
        <v>6</v>
      </c>
      <c r="G170">
        <v>0</v>
      </c>
      <c r="H170">
        <v>19</v>
      </c>
      <c r="I170">
        <v>50</v>
      </c>
      <c r="J170" t="s">
        <v>13</v>
      </c>
    </row>
    <row r="171" spans="1:10">
      <c r="A171">
        <v>170</v>
      </c>
      <c r="B171" s="1">
        <v>45350</v>
      </c>
      <c r="C171" t="s">
        <v>10</v>
      </c>
      <c r="D171">
        <v>699</v>
      </c>
      <c r="E171">
        <v>18.2</v>
      </c>
      <c r="F171">
        <v>3</v>
      </c>
      <c r="G171">
        <v>3</v>
      </c>
      <c r="H171">
        <v>36</v>
      </c>
      <c r="I171">
        <v>28</v>
      </c>
      <c r="J171" t="s">
        <v>13</v>
      </c>
    </row>
    <row r="172" spans="1:10">
      <c r="A172">
        <v>171</v>
      </c>
      <c r="B172" s="1">
        <v>45188</v>
      </c>
      <c r="C172" t="s">
        <v>14</v>
      </c>
      <c r="D172">
        <v>399</v>
      </c>
      <c r="E172">
        <v>10.3</v>
      </c>
      <c r="F172">
        <v>1</v>
      </c>
      <c r="G172">
        <v>2</v>
      </c>
      <c r="H172">
        <v>30</v>
      </c>
      <c r="I172">
        <v>27</v>
      </c>
      <c r="J172" t="s">
        <v>11</v>
      </c>
    </row>
    <row r="173" spans="1:10">
      <c r="A173">
        <v>172</v>
      </c>
      <c r="B173" s="1">
        <v>45022</v>
      </c>
      <c r="C173" t="s">
        <v>14</v>
      </c>
      <c r="D173">
        <v>399</v>
      </c>
      <c r="E173">
        <v>17.3</v>
      </c>
      <c r="F173">
        <v>7</v>
      </c>
      <c r="G173">
        <v>0</v>
      </c>
      <c r="H173">
        <v>10</v>
      </c>
      <c r="I173">
        <v>5</v>
      </c>
      <c r="J173" t="s">
        <v>13</v>
      </c>
    </row>
    <row r="174" spans="1:10">
      <c r="A174">
        <v>173</v>
      </c>
      <c r="B174" s="1">
        <v>45502</v>
      </c>
      <c r="C174" t="s">
        <v>14</v>
      </c>
      <c r="D174">
        <v>399</v>
      </c>
      <c r="E174">
        <v>18.7</v>
      </c>
      <c r="F174">
        <v>5</v>
      </c>
      <c r="G174">
        <v>1</v>
      </c>
      <c r="H174">
        <v>7</v>
      </c>
      <c r="I174">
        <v>35</v>
      </c>
      <c r="J174" t="s">
        <v>11</v>
      </c>
    </row>
    <row r="175" spans="1:10">
      <c r="A175">
        <v>174</v>
      </c>
      <c r="B175" s="1">
        <v>45360</v>
      </c>
      <c r="C175" t="s">
        <v>10</v>
      </c>
      <c r="D175">
        <v>699</v>
      </c>
      <c r="E175">
        <v>16.899999999999999</v>
      </c>
      <c r="F175">
        <v>6</v>
      </c>
      <c r="G175">
        <v>2</v>
      </c>
      <c r="H175">
        <v>22</v>
      </c>
      <c r="I175">
        <v>55</v>
      </c>
      <c r="J175" t="s">
        <v>11</v>
      </c>
    </row>
    <row r="176" spans="1:10">
      <c r="A176">
        <v>175</v>
      </c>
      <c r="B176" s="1">
        <v>45144</v>
      </c>
      <c r="C176" t="s">
        <v>10</v>
      </c>
      <c r="D176">
        <v>699</v>
      </c>
      <c r="E176">
        <v>24.2</v>
      </c>
      <c r="F176">
        <v>4</v>
      </c>
      <c r="G176">
        <v>2</v>
      </c>
      <c r="H176">
        <v>4</v>
      </c>
      <c r="I176">
        <v>6</v>
      </c>
      <c r="J176" t="s">
        <v>13</v>
      </c>
    </row>
    <row r="177" spans="1:10">
      <c r="A177">
        <v>176</v>
      </c>
      <c r="B177" s="1">
        <v>45044</v>
      </c>
      <c r="C177" t="s">
        <v>12</v>
      </c>
      <c r="D177">
        <v>199</v>
      </c>
      <c r="E177">
        <v>6</v>
      </c>
      <c r="F177">
        <v>1</v>
      </c>
      <c r="G177">
        <v>2</v>
      </c>
      <c r="H177">
        <v>31</v>
      </c>
      <c r="I177">
        <v>54</v>
      </c>
      <c r="J177" t="s">
        <v>11</v>
      </c>
    </row>
    <row r="178" spans="1:10">
      <c r="A178">
        <v>177</v>
      </c>
      <c r="B178" s="1">
        <v>45497</v>
      </c>
      <c r="C178" t="s">
        <v>14</v>
      </c>
      <c r="D178">
        <v>399</v>
      </c>
      <c r="E178">
        <v>20.3</v>
      </c>
      <c r="F178">
        <v>8</v>
      </c>
      <c r="G178">
        <v>4</v>
      </c>
      <c r="H178">
        <v>15</v>
      </c>
      <c r="I178">
        <v>39</v>
      </c>
      <c r="J178" t="s">
        <v>11</v>
      </c>
    </row>
    <row r="179" spans="1:10">
      <c r="A179">
        <v>178</v>
      </c>
      <c r="B179" s="1">
        <v>45274</v>
      </c>
      <c r="C179" t="s">
        <v>12</v>
      </c>
      <c r="D179">
        <v>199</v>
      </c>
      <c r="E179">
        <v>1.2</v>
      </c>
      <c r="F179">
        <v>4</v>
      </c>
      <c r="G179">
        <v>5</v>
      </c>
      <c r="H179">
        <v>18</v>
      </c>
      <c r="I179">
        <v>48</v>
      </c>
      <c r="J179" t="s">
        <v>11</v>
      </c>
    </row>
    <row r="180" spans="1:10">
      <c r="A180">
        <v>179</v>
      </c>
      <c r="B180" s="1">
        <v>45072</v>
      </c>
      <c r="C180" t="s">
        <v>14</v>
      </c>
      <c r="D180">
        <v>399</v>
      </c>
      <c r="E180">
        <v>4.9000000000000004</v>
      </c>
      <c r="F180">
        <v>2</v>
      </c>
      <c r="G180">
        <v>4</v>
      </c>
      <c r="H180">
        <v>1</v>
      </c>
      <c r="I180">
        <v>42</v>
      </c>
      <c r="J180" t="s">
        <v>11</v>
      </c>
    </row>
    <row r="181" spans="1:10">
      <c r="A181">
        <v>180</v>
      </c>
      <c r="B181" s="1">
        <v>45276</v>
      </c>
      <c r="C181" t="s">
        <v>10</v>
      </c>
      <c r="D181">
        <v>699</v>
      </c>
      <c r="E181">
        <v>2.7</v>
      </c>
      <c r="F181">
        <v>8</v>
      </c>
      <c r="G181">
        <v>1</v>
      </c>
      <c r="H181">
        <v>2</v>
      </c>
      <c r="I181">
        <v>24</v>
      </c>
      <c r="J181" t="s">
        <v>11</v>
      </c>
    </row>
    <row r="182" spans="1:10">
      <c r="A182">
        <v>181</v>
      </c>
      <c r="B182" s="1">
        <v>44980</v>
      </c>
      <c r="C182" t="s">
        <v>12</v>
      </c>
      <c r="D182">
        <v>199</v>
      </c>
      <c r="E182">
        <v>8.1</v>
      </c>
      <c r="F182">
        <v>5</v>
      </c>
      <c r="G182">
        <v>4</v>
      </c>
      <c r="H182">
        <v>24</v>
      </c>
      <c r="I182">
        <v>38</v>
      </c>
      <c r="J182" t="s">
        <v>11</v>
      </c>
    </row>
    <row r="183" spans="1:10">
      <c r="A183">
        <v>182</v>
      </c>
      <c r="B183" s="1">
        <v>45604</v>
      </c>
      <c r="C183" t="s">
        <v>12</v>
      </c>
      <c r="D183">
        <v>199</v>
      </c>
      <c r="E183">
        <v>19</v>
      </c>
      <c r="F183">
        <v>0</v>
      </c>
      <c r="G183">
        <v>5</v>
      </c>
      <c r="H183">
        <v>11</v>
      </c>
      <c r="I183">
        <v>5</v>
      </c>
      <c r="J183" t="s">
        <v>11</v>
      </c>
    </row>
    <row r="184" spans="1:10">
      <c r="A184">
        <v>183</v>
      </c>
      <c r="B184" s="1">
        <v>45043</v>
      </c>
      <c r="C184" t="s">
        <v>14</v>
      </c>
      <c r="D184">
        <v>399</v>
      </c>
      <c r="E184">
        <v>15.4</v>
      </c>
      <c r="F184">
        <v>6</v>
      </c>
      <c r="G184">
        <v>2</v>
      </c>
      <c r="H184">
        <v>32</v>
      </c>
      <c r="I184">
        <v>13</v>
      </c>
      <c r="J184" t="s">
        <v>13</v>
      </c>
    </row>
    <row r="185" spans="1:10">
      <c r="A185">
        <v>184</v>
      </c>
      <c r="B185" s="1">
        <v>45152</v>
      </c>
      <c r="C185" t="s">
        <v>14</v>
      </c>
      <c r="D185">
        <v>399</v>
      </c>
      <c r="E185">
        <v>3.2</v>
      </c>
      <c r="F185">
        <v>7</v>
      </c>
      <c r="G185">
        <v>4</v>
      </c>
      <c r="H185">
        <v>28</v>
      </c>
      <c r="I185">
        <v>42</v>
      </c>
      <c r="J185" t="s">
        <v>11</v>
      </c>
    </row>
    <row r="186" spans="1:10">
      <c r="A186">
        <v>185</v>
      </c>
      <c r="B186" s="1">
        <v>45188</v>
      </c>
      <c r="C186" t="s">
        <v>14</v>
      </c>
      <c r="D186">
        <v>399</v>
      </c>
      <c r="E186">
        <v>0.7</v>
      </c>
      <c r="F186">
        <v>4</v>
      </c>
      <c r="G186">
        <v>1</v>
      </c>
      <c r="H186">
        <v>4</v>
      </c>
      <c r="I186">
        <v>49</v>
      </c>
      <c r="J186" t="s">
        <v>11</v>
      </c>
    </row>
    <row r="187" spans="1:10">
      <c r="A187">
        <v>186</v>
      </c>
      <c r="B187" s="1">
        <v>45316</v>
      </c>
      <c r="C187" t="s">
        <v>14</v>
      </c>
      <c r="D187">
        <v>399</v>
      </c>
      <c r="E187">
        <v>3.4</v>
      </c>
      <c r="F187">
        <v>7</v>
      </c>
      <c r="G187">
        <v>5</v>
      </c>
      <c r="H187">
        <v>21</v>
      </c>
      <c r="I187">
        <v>27</v>
      </c>
      <c r="J187" t="s">
        <v>11</v>
      </c>
    </row>
    <row r="188" spans="1:10">
      <c r="A188">
        <v>187</v>
      </c>
      <c r="B188" s="1">
        <v>44970</v>
      </c>
      <c r="C188" t="s">
        <v>10</v>
      </c>
      <c r="D188">
        <v>699</v>
      </c>
      <c r="E188">
        <v>12.8</v>
      </c>
      <c r="F188">
        <v>5</v>
      </c>
      <c r="G188">
        <v>0</v>
      </c>
      <c r="H188">
        <v>15</v>
      </c>
      <c r="I188">
        <v>25</v>
      </c>
      <c r="J188" t="s">
        <v>13</v>
      </c>
    </row>
    <row r="189" spans="1:10">
      <c r="A189">
        <v>188</v>
      </c>
      <c r="B189" s="1">
        <v>45341</v>
      </c>
      <c r="C189" t="s">
        <v>14</v>
      </c>
      <c r="D189">
        <v>399</v>
      </c>
      <c r="E189">
        <v>11.8</v>
      </c>
      <c r="F189">
        <v>1</v>
      </c>
      <c r="G189">
        <v>2</v>
      </c>
      <c r="H189">
        <v>2</v>
      </c>
      <c r="I189">
        <v>36</v>
      </c>
      <c r="J189" t="s">
        <v>11</v>
      </c>
    </row>
    <row r="190" spans="1:10">
      <c r="A190">
        <v>189</v>
      </c>
      <c r="B190" s="1">
        <v>45559</v>
      </c>
      <c r="C190" t="s">
        <v>10</v>
      </c>
      <c r="D190">
        <v>699</v>
      </c>
      <c r="E190">
        <v>7.6</v>
      </c>
      <c r="F190">
        <v>6</v>
      </c>
      <c r="G190">
        <v>0</v>
      </c>
      <c r="H190">
        <v>27</v>
      </c>
      <c r="I190">
        <v>20</v>
      </c>
      <c r="J190" t="s">
        <v>11</v>
      </c>
    </row>
    <row r="191" spans="1:10">
      <c r="A191">
        <v>190</v>
      </c>
      <c r="B191" s="1">
        <v>45463</v>
      </c>
      <c r="C191" t="s">
        <v>14</v>
      </c>
      <c r="D191">
        <v>399</v>
      </c>
      <c r="E191">
        <v>2.7</v>
      </c>
      <c r="F191">
        <v>1</v>
      </c>
      <c r="G191">
        <v>1</v>
      </c>
      <c r="H191">
        <v>24</v>
      </c>
      <c r="I191">
        <v>27</v>
      </c>
      <c r="J191" t="s">
        <v>11</v>
      </c>
    </row>
    <row r="192" spans="1:10">
      <c r="A192">
        <v>191</v>
      </c>
      <c r="B192" s="1">
        <v>45005</v>
      </c>
      <c r="C192" t="s">
        <v>12</v>
      </c>
      <c r="D192">
        <v>199</v>
      </c>
      <c r="E192">
        <v>21.8</v>
      </c>
      <c r="F192">
        <v>5</v>
      </c>
      <c r="G192">
        <v>1</v>
      </c>
      <c r="H192">
        <v>26</v>
      </c>
      <c r="I192">
        <v>21</v>
      </c>
      <c r="J192" t="s">
        <v>13</v>
      </c>
    </row>
    <row r="193" spans="1:10">
      <c r="A193">
        <v>192</v>
      </c>
      <c r="B193" s="1">
        <v>45587</v>
      </c>
      <c r="C193" t="s">
        <v>10</v>
      </c>
      <c r="D193">
        <v>699</v>
      </c>
      <c r="E193">
        <v>13.5</v>
      </c>
      <c r="F193">
        <v>3</v>
      </c>
      <c r="G193">
        <v>2</v>
      </c>
      <c r="H193">
        <v>8</v>
      </c>
      <c r="I193">
        <v>22</v>
      </c>
      <c r="J193" t="s">
        <v>13</v>
      </c>
    </row>
    <row r="194" spans="1:10">
      <c r="A194">
        <v>193</v>
      </c>
      <c r="B194" s="1">
        <v>45598</v>
      </c>
      <c r="C194" t="s">
        <v>12</v>
      </c>
      <c r="D194">
        <v>199</v>
      </c>
      <c r="E194">
        <v>3</v>
      </c>
      <c r="F194">
        <v>4</v>
      </c>
      <c r="G194">
        <v>1</v>
      </c>
      <c r="H194">
        <v>16</v>
      </c>
      <c r="I194">
        <v>11</v>
      </c>
      <c r="J194" t="s">
        <v>13</v>
      </c>
    </row>
    <row r="195" spans="1:10">
      <c r="A195">
        <v>194</v>
      </c>
      <c r="B195" s="1">
        <v>45520</v>
      </c>
      <c r="C195" t="s">
        <v>12</v>
      </c>
      <c r="D195">
        <v>199</v>
      </c>
      <c r="E195">
        <v>23.8</v>
      </c>
      <c r="F195">
        <v>7</v>
      </c>
      <c r="G195">
        <v>3</v>
      </c>
      <c r="H195">
        <v>12</v>
      </c>
      <c r="I195">
        <v>48</v>
      </c>
      <c r="J195" t="s">
        <v>11</v>
      </c>
    </row>
    <row r="196" spans="1:10">
      <c r="A196">
        <v>195</v>
      </c>
      <c r="B196" s="1">
        <v>45379</v>
      </c>
      <c r="C196" t="s">
        <v>14</v>
      </c>
      <c r="D196">
        <v>399</v>
      </c>
      <c r="E196">
        <v>21.7</v>
      </c>
      <c r="F196">
        <v>5</v>
      </c>
      <c r="G196">
        <v>1</v>
      </c>
      <c r="H196">
        <v>21</v>
      </c>
      <c r="I196">
        <v>28</v>
      </c>
      <c r="J196" t="s">
        <v>11</v>
      </c>
    </row>
    <row r="197" spans="1:10">
      <c r="A197">
        <v>196</v>
      </c>
      <c r="B197" s="1">
        <v>45399</v>
      </c>
      <c r="C197" t="s">
        <v>10</v>
      </c>
      <c r="D197">
        <v>699</v>
      </c>
      <c r="E197">
        <v>20</v>
      </c>
      <c r="F197">
        <v>0</v>
      </c>
      <c r="G197">
        <v>2</v>
      </c>
      <c r="H197">
        <v>20</v>
      </c>
      <c r="I197">
        <v>32</v>
      </c>
      <c r="J197" t="s">
        <v>11</v>
      </c>
    </row>
    <row r="198" spans="1:10">
      <c r="A198">
        <v>197</v>
      </c>
      <c r="B198" s="1">
        <v>45019</v>
      </c>
      <c r="C198" t="s">
        <v>14</v>
      </c>
      <c r="D198">
        <v>399</v>
      </c>
      <c r="E198">
        <v>1.9</v>
      </c>
      <c r="F198">
        <v>4</v>
      </c>
      <c r="G198">
        <v>0</v>
      </c>
      <c r="H198">
        <v>3</v>
      </c>
      <c r="I198">
        <v>41</v>
      </c>
      <c r="J198" t="s">
        <v>13</v>
      </c>
    </row>
    <row r="199" spans="1:10">
      <c r="A199">
        <v>198</v>
      </c>
      <c r="B199" s="1">
        <v>45512</v>
      </c>
      <c r="C199" t="s">
        <v>10</v>
      </c>
      <c r="D199">
        <v>699</v>
      </c>
      <c r="E199">
        <v>9.9</v>
      </c>
      <c r="F199">
        <v>8</v>
      </c>
      <c r="G199">
        <v>5</v>
      </c>
      <c r="H199">
        <v>33</v>
      </c>
      <c r="I199">
        <v>57</v>
      </c>
      <c r="J199" t="s">
        <v>11</v>
      </c>
    </row>
    <row r="200" spans="1:10">
      <c r="A200">
        <v>199</v>
      </c>
      <c r="B200" s="1">
        <v>45388</v>
      </c>
      <c r="C200" t="s">
        <v>10</v>
      </c>
      <c r="D200">
        <v>699</v>
      </c>
      <c r="E200">
        <v>8.4</v>
      </c>
      <c r="F200">
        <v>7</v>
      </c>
      <c r="G200">
        <v>4</v>
      </c>
      <c r="H200">
        <v>13</v>
      </c>
      <c r="I200">
        <v>9</v>
      </c>
      <c r="J200" t="s">
        <v>13</v>
      </c>
    </row>
    <row r="201" spans="1:10">
      <c r="A201">
        <v>200</v>
      </c>
      <c r="B201" s="1">
        <v>45180</v>
      </c>
      <c r="C201" t="s">
        <v>12</v>
      </c>
      <c r="D201">
        <v>199</v>
      </c>
      <c r="E201">
        <v>24.6</v>
      </c>
      <c r="F201">
        <v>1</v>
      </c>
      <c r="G201">
        <v>4</v>
      </c>
      <c r="H201">
        <v>22</v>
      </c>
      <c r="I201">
        <v>41</v>
      </c>
      <c r="J201" t="s">
        <v>11</v>
      </c>
    </row>
    <row r="202" spans="1:10">
      <c r="A202">
        <v>201</v>
      </c>
      <c r="B202" s="1">
        <v>45308</v>
      </c>
      <c r="C202" t="s">
        <v>10</v>
      </c>
      <c r="D202">
        <v>699</v>
      </c>
      <c r="E202">
        <v>24.8</v>
      </c>
      <c r="F202">
        <v>8</v>
      </c>
      <c r="G202">
        <v>4</v>
      </c>
      <c r="H202">
        <v>29</v>
      </c>
      <c r="I202">
        <v>39</v>
      </c>
      <c r="J202" t="s">
        <v>11</v>
      </c>
    </row>
    <row r="203" spans="1:10">
      <c r="A203">
        <v>202</v>
      </c>
      <c r="B203" s="1">
        <v>45573</v>
      </c>
      <c r="C203" t="s">
        <v>14</v>
      </c>
      <c r="D203">
        <v>399</v>
      </c>
      <c r="E203">
        <v>10.5</v>
      </c>
      <c r="F203">
        <v>5</v>
      </c>
      <c r="G203">
        <v>5</v>
      </c>
      <c r="H203">
        <v>25</v>
      </c>
      <c r="I203">
        <v>38</v>
      </c>
      <c r="J203" t="s">
        <v>11</v>
      </c>
    </row>
    <row r="204" spans="1:10">
      <c r="A204">
        <v>203</v>
      </c>
      <c r="B204" s="1">
        <v>45185</v>
      </c>
      <c r="C204" t="s">
        <v>10</v>
      </c>
      <c r="D204">
        <v>699</v>
      </c>
      <c r="E204">
        <v>2.1</v>
      </c>
      <c r="F204">
        <v>1</v>
      </c>
      <c r="G204">
        <v>4</v>
      </c>
      <c r="H204">
        <v>22</v>
      </c>
      <c r="I204">
        <v>43</v>
      </c>
      <c r="J204" t="s">
        <v>11</v>
      </c>
    </row>
    <row r="205" spans="1:10">
      <c r="A205">
        <v>204</v>
      </c>
      <c r="B205" s="1">
        <v>45642</v>
      </c>
      <c r="C205" t="s">
        <v>10</v>
      </c>
      <c r="D205">
        <v>699</v>
      </c>
      <c r="E205">
        <v>8.6999999999999993</v>
      </c>
      <c r="F205">
        <v>2</v>
      </c>
      <c r="G205">
        <v>2</v>
      </c>
      <c r="H205">
        <v>10</v>
      </c>
      <c r="I205">
        <v>19</v>
      </c>
      <c r="J205" t="s">
        <v>13</v>
      </c>
    </row>
    <row r="206" spans="1:10">
      <c r="A206">
        <v>205</v>
      </c>
      <c r="B206" s="1">
        <v>45263</v>
      </c>
      <c r="C206" t="s">
        <v>10</v>
      </c>
      <c r="D206">
        <v>699</v>
      </c>
      <c r="E206">
        <v>3.7</v>
      </c>
      <c r="F206">
        <v>1</v>
      </c>
      <c r="G206">
        <v>2</v>
      </c>
      <c r="H206">
        <v>26</v>
      </c>
      <c r="I206">
        <v>35</v>
      </c>
      <c r="J206" t="s">
        <v>11</v>
      </c>
    </row>
    <row r="207" spans="1:10">
      <c r="A207">
        <v>206</v>
      </c>
      <c r="B207" s="1">
        <v>45243</v>
      </c>
      <c r="C207" t="s">
        <v>12</v>
      </c>
      <c r="D207">
        <v>199</v>
      </c>
      <c r="E207">
        <v>2.8</v>
      </c>
      <c r="F207">
        <v>6</v>
      </c>
      <c r="G207">
        <v>4</v>
      </c>
      <c r="H207">
        <v>34</v>
      </c>
      <c r="I207">
        <v>23</v>
      </c>
      <c r="J207" t="s">
        <v>11</v>
      </c>
    </row>
    <row r="208" spans="1:10">
      <c r="A208">
        <v>207</v>
      </c>
      <c r="B208" s="1">
        <v>45085</v>
      </c>
      <c r="C208" t="s">
        <v>12</v>
      </c>
      <c r="D208">
        <v>199</v>
      </c>
      <c r="E208">
        <v>8.9</v>
      </c>
      <c r="F208">
        <v>7</v>
      </c>
      <c r="G208">
        <v>1</v>
      </c>
      <c r="H208">
        <v>14</v>
      </c>
      <c r="I208">
        <v>14</v>
      </c>
      <c r="J208" t="s">
        <v>13</v>
      </c>
    </row>
    <row r="209" spans="1:10">
      <c r="A209">
        <v>208</v>
      </c>
      <c r="B209" s="1">
        <v>45466</v>
      </c>
      <c r="C209" t="s">
        <v>12</v>
      </c>
      <c r="D209">
        <v>199</v>
      </c>
      <c r="E209">
        <v>21.2</v>
      </c>
      <c r="F209">
        <v>1</v>
      </c>
      <c r="G209">
        <v>4</v>
      </c>
      <c r="H209">
        <v>19</v>
      </c>
      <c r="I209">
        <v>49</v>
      </c>
      <c r="J209" t="s">
        <v>11</v>
      </c>
    </row>
    <row r="210" spans="1:10">
      <c r="A210">
        <v>209</v>
      </c>
      <c r="B210" s="1">
        <v>45112</v>
      </c>
      <c r="C210" t="s">
        <v>12</v>
      </c>
      <c r="D210">
        <v>199</v>
      </c>
      <c r="E210">
        <v>22</v>
      </c>
      <c r="F210">
        <v>2</v>
      </c>
      <c r="G210">
        <v>4</v>
      </c>
      <c r="H210">
        <v>22</v>
      </c>
      <c r="I210">
        <v>24</v>
      </c>
      <c r="J210" t="s">
        <v>11</v>
      </c>
    </row>
    <row r="211" spans="1:10">
      <c r="A211">
        <v>210</v>
      </c>
      <c r="B211" s="1">
        <v>45170</v>
      </c>
      <c r="C211" t="s">
        <v>10</v>
      </c>
      <c r="D211">
        <v>699</v>
      </c>
      <c r="E211">
        <v>18.2</v>
      </c>
      <c r="F211">
        <v>0</v>
      </c>
      <c r="G211">
        <v>3</v>
      </c>
      <c r="H211">
        <v>11</v>
      </c>
      <c r="I211">
        <v>23</v>
      </c>
      <c r="J211" t="s">
        <v>13</v>
      </c>
    </row>
    <row r="212" spans="1:10">
      <c r="A212">
        <v>211</v>
      </c>
      <c r="B212" s="1">
        <v>45407</v>
      </c>
      <c r="C212" t="s">
        <v>14</v>
      </c>
      <c r="D212">
        <v>399</v>
      </c>
      <c r="E212">
        <v>18.899999999999999</v>
      </c>
      <c r="F212">
        <v>7</v>
      </c>
      <c r="G212">
        <v>1</v>
      </c>
      <c r="H212">
        <v>19</v>
      </c>
      <c r="I212">
        <v>34</v>
      </c>
      <c r="J212" t="s">
        <v>11</v>
      </c>
    </row>
    <row r="213" spans="1:10">
      <c r="A213">
        <v>212</v>
      </c>
      <c r="B213" s="1">
        <v>45318</v>
      </c>
      <c r="C213" t="s">
        <v>12</v>
      </c>
      <c r="D213">
        <v>199</v>
      </c>
      <c r="E213">
        <v>17.100000000000001</v>
      </c>
      <c r="F213">
        <v>7</v>
      </c>
      <c r="G213">
        <v>3</v>
      </c>
      <c r="H213">
        <v>24</v>
      </c>
      <c r="I213">
        <v>49</v>
      </c>
      <c r="J213" t="s">
        <v>11</v>
      </c>
    </row>
    <row r="214" spans="1:10">
      <c r="A214">
        <v>213</v>
      </c>
      <c r="B214" s="1">
        <v>45183</v>
      </c>
      <c r="C214" t="s">
        <v>10</v>
      </c>
      <c r="D214">
        <v>699</v>
      </c>
      <c r="E214">
        <v>10.8</v>
      </c>
      <c r="F214">
        <v>2</v>
      </c>
      <c r="G214">
        <v>1</v>
      </c>
      <c r="H214">
        <v>34</v>
      </c>
      <c r="I214">
        <v>51</v>
      </c>
      <c r="J214" t="s">
        <v>13</v>
      </c>
    </row>
    <row r="215" spans="1:10">
      <c r="A215">
        <v>214</v>
      </c>
      <c r="B215" s="1">
        <v>45054</v>
      </c>
      <c r="C215" t="s">
        <v>12</v>
      </c>
      <c r="D215">
        <v>199</v>
      </c>
      <c r="E215">
        <v>21.9</v>
      </c>
      <c r="F215">
        <v>8</v>
      </c>
      <c r="G215">
        <v>0</v>
      </c>
      <c r="H215">
        <v>31</v>
      </c>
      <c r="I215">
        <v>45</v>
      </c>
      <c r="J215" t="s">
        <v>13</v>
      </c>
    </row>
    <row r="216" spans="1:10">
      <c r="A216">
        <v>215</v>
      </c>
      <c r="B216" s="1">
        <v>45374</v>
      </c>
      <c r="C216" t="s">
        <v>14</v>
      </c>
      <c r="D216">
        <v>399</v>
      </c>
      <c r="E216">
        <v>19.2</v>
      </c>
      <c r="F216">
        <v>4</v>
      </c>
      <c r="G216">
        <v>3</v>
      </c>
      <c r="H216">
        <v>6</v>
      </c>
      <c r="I216">
        <v>57</v>
      </c>
      <c r="J216" t="s">
        <v>11</v>
      </c>
    </row>
    <row r="217" spans="1:10">
      <c r="A217">
        <v>216</v>
      </c>
      <c r="B217" s="1">
        <v>45441</v>
      </c>
      <c r="C217" t="s">
        <v>12</v>
      </c>
      <c r="D217">
        <v>199</v>
      </c>
      <c r="E217">
        <v>20.5</v>
      </c>
      <c r="F217">
        <v>5</v>
      </c>
      <c r="G217">
        <v>0</v>
      </c>
      <c r="H217">
        <v>15</v>
      </c>
      <c r="I217">
        <v>26</v>
      </c>
      <c r="J217" t="s">
        <v>11</v>
      </c>
    </row>
    <row r="218" spans="1:10">
      <c r="A218">
        <v>217</v>
      </c>
      <c r="B218" s="1">
        <v>45028</v>
      </c>
      <c r="C218" t="s">
        <v>14</v>
      </c>
      <c r="D218">
        <v>399</v>
      </c>
      <c r="E218">
        <v>10</v>
      </c>
      <c r="F218">
        <v>1</v>
      </c>
      <c r="G218">
        <v>2</v>
      </c>
      <c r="H218">
        <v>16</v>
      </c>
      <c r="I218">
        <v>14</v>
      </c>
      <c r="J218" t="s">
        <v>11</v>
      </c>
    </row>
    <row r="219" spans="1:10">
      <c r="A219">
        <v>218</v>
      </c>
      <c r="B219" s="1">
        <v>45410</v>
      </c>
      <c r="C219" t="s">
        <v>10</v>
      </c>
      <c r="D219">
        <v>699</v>
      </c>
      <c r="E219">
        <v>19.899999999999999</v>
      </c>
      <c r="F219">
        <v>2</v>
      </c>
      <c r="G219">
        <v>0</v>
      </c>
      <c r="H219">
        <v>22</v>
      </c>
      <c r="I219">
        <v>18</v>
      </c>
      <c r="J219" t="s">
        <v>13</v>
      </c>
    </row>
    <row r="220" spans="1:10">
      <c r="A220">
        <v>219</v>
      </c>
      <c r="B220" s="1">
        <v>45008</v>
      </c>
      <c r="C220" t="s">
        <v>10</v>
      </c>
      <c r="D220">
        <v>699</v>
      </c>
      <c r="E220">
        <v>19.100000000000001</v>
      </c>
      <c r="F220">
        <v>7</v>
      </c>
      <c r="G220">
        <v>3</v>
      </c>
      <c r="H220">
        <v>9</v>
      </c>
      <c r="I220">
        <v>39</v>
      </c>
      <c r="J220" t="s">
        <v>11</v>
      </c>
    </row>
    <row r="221" spans="1:10">
      <c r="A221">
        <v>220</v>
      </c>
      <c r="B221" s="1">
        <v>45467</v>
      </c>
      <c r="C221" t="s">
        <v>12</v>
      </c>
      <c r="D221">
        <v>199</v>
      </c>
      <c r="E221">
        <v>5.8</v>
      </c>
      <c r="F221">
        <v>2</v>
      </c>
      <c r="G221">
        <v>4</v>
      </c>
      <c r="H221">
        <v>17</v>
      </c>
      <c r="I221">
        <v>60</v>
      </c>
      <c r="J221" t="s">
        <v>13</v>
      </c>
    </row>
    <row r="222" spans="1:10">
      <c r="A222">
        <v>221</v>
      </c>
      <c r="B222" s="1">
        <v>45356</v>
      </c>
      <c r="C222" t="s">
        <v>14</v>
      </c>
      <c r="D222">
        <v>399</v>
      </c>
      <c r="E222">
        <v>19.5</v>
      </c>
      <c r="F222">
        <v>3</v>
      </c>
      <c r="G222">
        <v>2</v>
      </c>
      <c r="H222">
        <v>8</v>
      </c>
      <c r="I222">
        <v>7</v>
      </c>
      <c r="J222" t="s">
        <v>11</v>
      </c>
    </row>
    <row r="223" spans="1:10">
      <c r="A223">
        <v>222</v>
      </c>
      <c r="B223" s="1">
        <v>45454</v>
      </c>
      <c r="C223" t="s">
        <v>10</v>
      </c>
      <c r="D223">
        <v>699</v>
      </c>
      <c r="E223">
        <v>2</v>
      </c>
      <c r="F223">
        <v>7</v>
      </c>
      <c r="G223">
        <v>4</v>
      </c>
      <c r="H223">
        <v>30</v>
      </c>
      <c r="I223">
        <v>34</v>
      </c>
      <c r="J223" t="s">
        <v>11</v>
      </c>
    </row>
    <row r="224" spans="1:10">
      <c r="A224">
        <v>223</v>
      </c>
      <c r="B224" s="1">
        <v>45173</v>
      </c>
      <c r="C224" t="s">
        <v>10</v>
      </c>
      <c r="D224">
        <v>699</v>
      </c>
      <c r="E224">
        <v>18.100000000000001</v>
      </c>
      <c r="F224">
        <v>4</v>
      </c>
      <c r="G224">
        <v>3</v>
      </c>
      <c r="H224">
        <v>16</v>
      </c>
      <c r="I224">
        <v>0</v>
      </c>
      <c r="J224" t="s">
        <v>13</v>
      </c>
    </row>
    <row r="225" spans="1:10">
      <c r="A225">
        <v>224</v>
      </c>
      <c r="B225" s="1">
        <v>45465</v>
      </c>
      <c r="C225" t="s">
        <v>10</v>
      </c>
      <c r="D225">
        <v>699</v>
      </c>
      <c r="E225">
        <v>5.0999999999999996</v>
      </c>
      <c r="F225">
        <v>1</v>
      </c>
      <c r="G225">
        <v>4</v>
      </c>
      <c r="H225">
        <v>27</v>
      </c>
      <c r="I225">
        <v>23</v>
      </c>
      <c r="J225" t="s">
        <v>11</v>
      </c>
    </row>
    <row r="226" spans="1:10">
      <c r="A226">
        <v>225</v>
      </c>
      <c r="B226" s="1">
        <v>45408</v>
      </c>
      <c r="C226" t="s">
        <v>10</v>
      </c>
      <c r="D226">
        <v>699</v>
      </c>
      <c r="E226">
        <v>19.8</v>
      </c>
      <c r="F226">
        <v>8</v>
      </c>
      <c r="G226">
        <v>4</v>
      </c>
      <c r="H226">
        <v>33</v>
      </c>
      <c r="I226">
        <v>1</v>
      </c>
      <c r="J226" t="s">
        <v>11</v>
      </c>
    </row>
    <row r="227" spans="1:10">
      <c r="A227">
        <v>226</v>
      </c>
      <c r="B227" s="1">
        <v>44996</v>
      </c>
      <c r="C227" t="s">
        <v>12</v>
      </c>
      <c r="D227">
        <v>199</v>
      </c>
      <c r="E227">
        <v>24.5</v>
      </c>
      <c r="F227">
        <v>4</v>
      </c>
      <c r="G227">
        <v>5</v>
      </c>
      <c r="H227">
        <v>25</v>
      </c>
      <c r="I227">
        <v>1</v>
      </c>
      <c r="J227" t="s">
        <v>11</v>
      </c>
    </row>
    <row r="228" spans="1:10">
      <c r="A228">
        <v>227</v>
      </c>
      <c r="B228" s="1">
        <v>45063</v>
      </c>
      <c r="C228" t="s">
        <v>14</v>
      </c>
      <c r="D228">
        <v>399</v>
      </c>
      <c r="E228">
        <v>18.5</v>
      </c>
      <c r="F228">
        <v>1</v>
      </c>
      <c r="G228">
        <v>4</v>
      </c>
      <c r="H228">
        <v>16</v>
      </c>
      <c r="I228">
        <v>47</v>
      </c>
      <c r="J228" t="s">
        <v>13</v>
      </c>
    </row>
    <row r="229" spans="1:10">
      <c r="A229">
        <v>228</v>
      </c>
      <c r="B229" s="1">
        <v>45417</v>
      </c>
      <c r="C229" t="s">
        <v>12</v>
      </c>
      <c r="D229">
        <v>199</v>
      </c>
      <c r="E229">
        <v>13.9</v>
      </c>
      <c r="F229">
        <v>2</v>
      </c>
      <c r="G229">
        <v>5</v>
      </c>
      <c r="H229">
        <v>23</v>
      </c>
      <c r="I229">
        <v>29</v>
      </c>
      <c r="J229" t="s">
        <v>13</v>
      </c>
    </row>
    <row r="230" spans="1:10">
      <c r="A230">
        <v>229</v>
      </c>
      <c r="B230" s="1">
        <v>44964</v>
      </c>
      <c r="C230" t="s">
        <v>10</v>
      </c>
      <c r="D230">
        <v>699</v>
      </c>
      <c r="E230">
        <v>20.399999999999999</v>
      </c>
      <c r="F230">
        <v>1</v>
      </c>
      <c r="G230">
        <v>5</v>
      </c>
      <c r="H230">
        <v>12</v>
      </c>
      <c r="I230">
        <v>49</v>
      </c>
      <c r="J230" t="s">
        <v>13</v>
      </c>
    </row>
    <row r="231" spans="1:10">
      <c r="A231">
        <v>230</v>
      </c>
      <c r="B231" s="1">
        <v>45454</v>
      </c>
      <c r="C231" t="s">
        <v>14</v>
      </c>
      <c r="D231">
        <v>399</v>
      </c>
      <c r="E231">
        <v>1.6</v>
      </c>
      <c r="F231">
        <v>3</v>
      </c>
      <c r="G231">
        <v>0</v>
      </c>
      <c r="H231">
        <v>13</v>
      </c>
      <c r="I231">
        <v>20</v>
      </c>
      <c r="J231" t="s">
        <v>13</v>
      </c>
    </row>
    <row r="232" spans="1:10">
      <c r="A232">
        <v>231</v>
      </c>
      <c r="B232" s="1">
        <v>44975</v>
      </c>
      <c r="C232" t="s">
        <v>14</v>
      </c>
      <c r="D232">
        <v>399</v>
      </c>
      <c r="E232">
        <v>12.1</v>
      </c>
      <c r="F232">
        <v>0</v>
      </c>
      <c r="G232">
        <v>5</v>
      </c>
      <c r="H232">
        <v>35</v>
      </c>
      <c r="I232">
        <v>12</v>
      </c>
      <c r="J232" t="s">
        <v>11</v>
      </c>
    </row>
    <row r="233" spans="1:10">
      <c r="A233">
        <v>232</v>
      </c>
      <c r="B233" s="1">
        <v>45377</v>
      </c>
      <c r="C233" t="s">
        <v>10</v>
      </c>
      <c r="D233">
        <v>699</v>
      </c>
      <c r="E233">
        <v>7.2</v>
      </c>
      <c r="F233">
        <v>5</v>
      </c>
      <c r="G233">
        <v>3</v>
      </c>
      <c r="H233">
        <v>22</v>
      </c>
      <c r="I233">
        <v>56</v>
      </c>
      <c r="J233" t="s">
        <v>11</v>
      </c>
    </row>
    <row r="234" spans="1:10">
      <c r="A234">
        <v>233</v>
      </c>
      <c r="B234" s="1">
        <v>45458</v>
      </c>
      <c r="C234" t="s">
        <v>14</v>
      </c>
      <c r="D234">
        <v>399</v>
      </c>
      <c r="E234">
        <v>24.4</v>
      </c>
      <c r="F234">
        <v>7</v>
      </c>
      <c r="G234">
        <v>5</v>
      </c>
      <c r="H234">
        <v>22</v>
      </c>
      <c r="I234">
        <v>31</v>
      </c>
      <c r="J234" t="s">
        <v>11</v>
      </c>
    </row>
    <row r="235" spans="1:10">
      <c r="A235">
        <v>234</v>
      </c>
      <c r="B235" s="1">
        <v>45111</v>
      </c>
      <c r="C235" t="s">
        <v>14</v>
      </c>
      <c r="D235">
        <v>399</v>
      </c>
      <c r="E235">
        <v>18.3</v>
      </c>
      <c r="F235">
        <v>1</v>
      </c>
      <c r="G235">
        <v>3</v>
      </c>
      <c r="H235">
        <v>6</v>
      </c>
      <c r="I235">
        <v>38</v>
      </c>
      <c r="J235" t="s">
        <v>13</v>
      </c>
    </row>
    <row r="236" spans="1:10">
      <c r="A236">
        <v>235</v>
      </c>
      <c r="B236" s="1">
        <v>45383</v>
      </c>
      <c r="C236" t="s">
        <v>10</v>
      </c>
      <c r="D236">
        <v>699</v>
      </c>
      <c r="E236">
        <v>8.4</v>
      </c>
      <c r="F236">
        <v>1</v>
      </c>
      <c r="G236">
        <v>2</v>
      </c>
      <c r="H236">
        <v>19</v>
      </c>
      <c r="I236">
        <v>42</v>
      </c>
      <c r="J236" t="s">
        <v>11</v>
      </c>
    </row>
    <row r="237" spans="1:10">
      <c r="A237">
        <v>236</v>
      </c>
      <c r="B237" s="1">
        <v>45288</v>
      </c>
      <c r="C237" t="s">
        <v>10</v>
      </c>
      <c r="D237">
        <v>699</v>
      </c>
      <c r="E237">
        <v>4.5999999999999996</v>
      </c>
      <c r="F237">
        <v>7</v>
      </c>
      <c r="G237">
        <v>2</v>
      </c>
      <c r="H237">
        <v>28</v>
      </c>
      <c r="I237">
        <v>28</v>
      </c>
      <c r="J237" t="s">
        <v>11</v>
      </c>
    </row>
    <row r="238" spans="1:10">
      <c r="A238">
        <v>237</v>
      </c>
      <c r="B238" s="1">
        <v>45299</v>
      </c>
      <c r="C238" t="s">
        <v>10</v>
      </c>
      <c r="D238">
        <v>699</v>
      </c>
      <c r="E238">
        <v>7.2</v>
      </c>
      <c r="F238">
        <v>0</v>
      </c>
      <c r="G238">
        <v>0</v>
      </c>
      <c r="H238">
        <v>28</v>
      </c>
      <c r="I238">
        <v>42</v>
      </c>
      <c r="J238" t="s">
        <v>13</v>
      </c>
    </row>
    <row r="239" spans="1:10">
      <c r="A239">
        <v>238</v>
      </c>
      <c r="B239" s="1">
        <v>44962</v>
      </c>
      <c r="C239" t="s">
        <v>10</v>
      </c>
      <c r="D239">
        <v>699</v>
      </c>
      <c r="E239">
        <v>23.8</v>
      </c>
      <c r="F239">
        <v>2</v>
      </c>
      <c r="G239">
        <v>4</v>
      </c>
      <c r="H239">
        <v>11</v>
      </c>
      <c r="I239">
        <v>43</v>
      </c>
      <c r="J239" t="s">
        <v>13</v>
      </c>
    </row>
    <row r="240" spans="1:10">
      <c r="A240">
        <v>239</v>
      </c>
      <c r="B240" s="1">
        <v>44960</v>
      </c>
      <c r="C240" t="s">
        <v>12</v>
      </c>
      <c r="D240">
        <v>199</v>
      </c>
      <c r="E240">
        <v>6.3</v>
      </c>
      <c r="F240">
        <v>5</v>
      </c>
      <c r="G240">
        <v>2</v>
      </c>
      <c r="H240">
        <v>5</v>
      </c>
      <c r="I240">
        <v>24</v>
      </c>
      <c r="J240" t="s">
        <v>13</v>
      </c>
    </row>
    <row r="241" spans="1:10">
      <c r="A241">
        <v>240</v>
      </c>
      <c r="B241" s="1">
        <v>45514</v>
      </c>
      <c r="C241" t="s">
        <v>10</v>
      </c>
      <c r="D241">
        <v>699</v>
      </c>
      <c r="E241">
        <v>17.100000000000001</v>
      </c>
      <c r="F241">
        <v>5</v>
      </c>
      <c r="G241">
        <v>2</v>
      </c>
      <c r="H241">
        <v>10</v>
      </c>
      <c r="I241">
        <v>28</v>
      </c>
      <c r="J241" t="s">
        <v>13</v>
      </c>
    </row>
    <row r="242" spans="1:10">
      <c r="A242">
        <v>241</v>
      </c>
      <c r="B242" s="1">
        <v>45043</v>
      </c>
      <c r="C242" t="s">
        <v>12</v>
      </c>
      <c r="D242">
        <v>199</v>
      </c>
      <c r="E242">
        <v>9.5</v>
      </c>
      <c r="F242">
        <v>5</v>
      </c>
      <c r="G242">
        <v>5</v>
      </c>
      <c r="H242">
        <v>34</v>
      </c>
      <c r="I242">
        <v>17</v>
      </c>
      <c r="J242" t="s">
        <v>11</v>
      </c>
    </row>
    <row r="243" spans="1:10">
      <c r="A243">
        <v>242</v>
      </c>
      <c r="B243" s="1">
        <v>45193</v>
      </c>
      <c r="C243" t="s">
        <v>12</v>
      </c>
      <c r="D243">
        <v>199</v>
      </c>
      <c r="E243">
        <v>12.7</v>
      </c>
      <c r="F243">
        <v>6</v>
      </c>
      <c r="G243">
        <v>4</v>
      </c>
      <c r="H243">
        <v>12</v>
      </c>
      <c r="I243">
        <v>7</v>
      </c>
      <c r="J243" t="s">
        <v>11</v>
      </c>
    </row>
    <row r="244" spans="1:10">
      <c r="A244">
        <v>243</v>
      </c>
      <c r="B244" s="1">
        <v>45131</v>
      </c>
      <c r="C244" t="s">
        <v>10</v>
      </c>
      <c r="D244">
        <v>699</v>
      </c>
      <c r="E244">
        <v>5.8</v>
      </c>
      <c r="F244">
        <v>4</v>
      </c>
      <c r="G244">
        <v>5</v>
      </c>
      <c r="H244">
        <v>29</v>
      </c>
      <c r="I244">
        <v>58</v>
      </c>
      <c r="J244" t="s">
        <v>13</v>
      </c>
    </row>
    <row r="245" spans="1:10">
      <c r="A245">
        <v>244</v>
      </c>
      <c r="B245" s="1">
        <v>45016</v>
      </c>
      <c r="C245" t="s">
        <v>12</v>
      </c>
      <c r="D245">
        <v>199</v>
      </c>
      <c r="E245">
        <v>21.4</v>
      </c>
      <c r="F245">
        <v>7</v>
      </c>
      <c r="G245">
        <v>1</v>
      </c>
      <c r="H245">
        <v>9</v>
      </c>
      <c r="I245">
        <v>57</v>
      </c>
      <c r="J245" t="s">
        <v>13</v>
      </c>
    </row>
    <row r="246" spans="1:10">
      <c r="A246">
        <v>245</v>
      </c>
      <c r="B246" s="1">
        <v>45234</v>
      </c>
      <c r="C246" t="s">
        <v>10</v>
      </c>
      <c r="D246">
        <v>699</v>
      </c>
      <c r="E246">
        <v>16.899999999999999</v>
      </c>
      <c r="F246">
        <v>1</v>
      </c>
      <c r="G246">
        <v>4</v>
      </c>
      <c r="H246">
        <v>21</v>
      </c>
      <c r="I246">
        <v>34</v>
      </c>
      <c r="J246" t="s">
        <v>11</v>
      </c>
    </row>
    <row r="247" spans="1:10">
      <c r="A247">
        <v>246</v>
      </c>
      <c r="B247" s="1">
        <v>45069</v>
      </c>
      <c r="C247" t="s">
        <v>12</v>
      </c>
      <c r="D247">
        <v>199</v>
      </c>
      <c r="E247">
        <v>19.899999999999999</v>
      </c>
      <c r="F247">
        <v>8</v>
      </c>
      <c r="G247">
        <v>1</v>
      </c>
      <c r="H247">
        <v>12</v>
      </c>
      <c r="I247">
        <v>7</v>
      </c>
      <c r="J247" t="s">
        <v>13</v>
      </c>
    </row>
    <row r="248" spans="1:10">
      <c r="A248">
        <v>247</v>
      </c>
      <c r="B248" s="1">
        <v>45491</v>
      </c>
      <c r="C248" t="s">
        <v>12</v>
      </c>
      <c r="D248">
        <v>199</v>
      </c>
      <c r="E248">
        <v>1.1000000000000001</v>
      </c>
      <c r="F248">
        <v>8</v>
      </c>
      <c r="G248">
        <v>4</v>
      </c>
      <c r="H248">
        <v>32</v>
      </c>
      <c r="I248">
        <v>23</v>
      </c>
      <c r="J248" t="s">
        <v>11</v>
      </c>
    </row>
    <row r="249" spans="1:10">
      <c r="A249">
        <v>248</v>
      </c>
      <c r="B249" s="1">
        <v>45347</v>
      </c>
      <c r="C249" t="s">
        <v>12</v>
      </c>
      <c r="D249">
        <v>199</v>
      </c>
      <c r="E249">
        <v>2.1</v>
      </c>
      <c r="F249">
        <v>6</v>
      </c>
      <c r="G249">
        <v>5</v>
      </c>
      <c r="H249">
        <v>6</v>
      </c>
      <c r="I249">
        <v>46</v>
      </c>
      <c r="J249" t="s">
        <v>11</v>
      </c>
    </row>
    <row r="250" spans="1:10">
      <c r="A250">
        <v>249</v>
      </c>
      <c r="B250" s="1">
        <v>45623</v>
      </c>
      <c r="C250" t="s">
        <v>14</v>
      </c>
      <c r="D250">
        <v>399</v>
      </c>
      <c r="E250">
        <v>3.6</v>
      </c>
      <c r="F250">
        <v>5</v>
      </c>
      <c r="G250">
        <v>5</v>
      </c>
      <c r="H250">
        <v>5</v>
      </c>
      <c r="I250">
        <v>4</v>
      </c>
      <c r="J250" t="s">
        <v>11</v>
      </c>
    </row>
    <row r="251" spans="1:10">
      <c r="A251">
        <v>250</v>
      </c>
      <c r="B251" s="1">
        <v>45059</v>
      </c>
      <c r="C251" t="s">
        <v>10</v>
      </c>
      <c r="D251">
        <v>699</v>
      </c>
      <c r="E251">
        <v>3.6</v>
      </c>
      <c r="F251">
        <v>8</v>
      </c>
      <c r="G251">
        <v>5</v>
      </c>
      <c r="H251">
        <v>23</v>
      </c>
      <c r="I251">
        <v>37</v>
      </c>
      <c r="J251" t="s">
        <v>11</v>
      </c>
    </row>
    <row r="252" spans="1:10">
      <c r="A252">
        <v>251</v>
      </c>
      <c r="B252" s="1">
        <v>45095</v>
      </c>
      <c r="C252" t="s">
        <v>14</v>
      </c>
      <c r="D252">
        <v>399</v>
      </c>
      <c r="E252">
        <v>22.8</v>
      </c>
      <c r="F252">
        <v>0</v>
      </c>
      <c r="G252">
        <v>0</v>
      </c>
      <c r="H252">
        <v>33</v>
      </c>
      <c r="I252">
        <v>33</v>
      </c>
      <c r="J252" t="s">
        <v>11</v>
      </c>
    </row>
    <row r="253" spans="1:10">
      <c r="A253">
        <v>252</v>
      </c>
      <c r="B253" s="1">
        <v>45217</v>
      </c>
      <c r="C253" t="s">
        <v>12</v>
      </c>
      <c r="D253">
        <v>199</v>
      </c>
      <c r="E253">
        <v>23.4</v>
      </c>
      <c r="F253">
        <v>3</v>
      </c>
      <c r="G253">
        <v>2</v>
      </c>
      <c r="H253">
        <v>21</v>
      </c>
      <c r="I253">
        <v>60</v>
      </c>
      <c r="J253" t="s">
        <v>13</v>
      </c>
    </row>
    <row r="254" spans="1:10">
      <c r="A254">
        <v>253</v>
      </c>
      <c r="B254" s="1">
        <v>45556</v>
      </c>
      <c r="C254" t="s">
        <v>12</v>
      </c>
      <c r="D254">
        <v>199</v>
      </c>
      <c r="E254">
        <v>5.3</v>
      </c>
      <c r="F254">
        <v>8</v>
      </c>
      <c r="G254">
        <v>2</v>
      </c>
      <c r="H254">
        <v>17</v>
      </c>
      <c r="I254">
        <v>8</v>
      </c>
      <c r="J254" t="s">
        <v>13</v>
      </c>
    </row>
    <row r="255" spans="1:10">
      <c r="A255">
        <v>254</v>
      </c>
      <c r="B255" s="1">
        <v>45102</v>
      </c>
      <c r="C255" t="s">
        <v>10</v>
      </c>
      <c r="D255">
        <v>699</v>
      </c>
      <c r="E255">
        <v>12.8</v>
      </c>
      <c r="F255">
        <v>2</v>
      </c>
      <c r="G255">
        <v>4</v>
      </c>
      <c r="H255">
        <v>6</v>
      </c>
      <c r="I255">
        <v>60</v>
      </c>
      <c r="J255" t="s">
        <v>11</v>
      </c>
    </row>
    <row r="256" spans="1:10">
      <c r="A256">
        <v>255</v>
      </c>
      <c r="B256" s="1">
        <v>45583</v>
      </c>
      <c r="C256" t="s">
        <v>10</v>
      </c>
      <c r="D256">
        <v>699</v>
      </c>
      <c r="E256">
        <v>21.1</v>
      </c>
      <c r="F256">
        <v>0</v>
      </c>
      <c r="G256">
        <v>0</v>
      </c>
      <c r="H256">
        <v>22</v>
      </c>
      <c r="I256">
        <v>5</v>
      </c>
      <c r="J256" t="s">
        <v>11</v>
      </c>
    </row>
    <row r="257" spans="1:10">
      <c r="A257">
        <v>256</v>
      </c>
      <c r="B257" s="1">
        <v>45569</v>
      </c>
      <c r="C257" t="s">
        <v>10</v>
      </c>
      <c r="D257">
        <v>699</v>
      </c>
      <c r="E257">
        <v>16.5</v>
      </c>
      <c r="F257">
        <v>6</v>
      </c>
      <c r="G257">
        <v>4</v>
      </c>
      <c r="H257">
        <v>17</v>
      </c>
      <c r="I257">
        <v>40</v>
      </c>
      <c r="J257" t="s">
        <v>11</v>
      </c>
    </row>
    <row r="258" spans="1:10">
      <c r="A258">
        <v>257</v>
      </c>
      <c r="B258" s="1">
        <v>45628</v>
      </c>
      <c r="C258" t="s">
        <v>10</v>
      </c>
      <c r="D258">
        <v>699</v>
      </c>
      <c r="E258">
        <v>16.2</v>
      </c>
      <c r="F258">
        <v>4</v>
      </c>
      <c r="G258">
        <v>3</v>
      </c>
      <c r="H258">
        <v>19</v>
      </c>
      <c r="I258">
        <v>15</v>
      </c>
      <c r="J258" t="s">
        <v>13</v>
      </c>
    </row>
    <row r="259" spans="1:10">
      <c r="A259">
        <v>258</v>
      </c>
      <c r="B259" s="1">
        <v>45402</v>
      </c>
      <c r="C259" t="s">
        <v>14</v>
      </c>
      <c r="D259">
        <v>399</v>
      </c>
      <c r="E259">
        <v>11.6</v>
      </c>
      <c r="F259">
        <v>0</v>
      </c>
      <c r="G259">
        <v>1</v>
      </c>
      <c r="H259">
        <v>20</v>
      </c>
      <c r="I259">
        <v>28</v>
      </c>
      <c r="J259" t="s">
        <v>13</v>
      </c>
    </row>
    <row r="260" spans="1:10">
      <c r="A260">
        <v>259</v>
      </c>
      <c r="B260" s="1">
        <v>45280</v>
      </c>
      <c r="C260" t="s">
        <v>12</v>
      </c>
      <c r="D260">
        <v>199</v>
      </c>
      <c r="E260">
        <v>15.4</v>
      </c>
      <c r="F260">
        <v>5</v>
      </c>
      <c r="G260">
        <v>5</v>
      </c>
      <c r="H260">
        <v>22</v>
      </c>
      <c r="I260">
        <v>20</v>
      </c>
      <c r="J260" t="s">
        <v>13</v>
      </c>
    </row>
    <row r="261" spans="1:10">
      <c r="A261">
        <v>260</v>
      </c>
      <c r="B261" s="1">
        <v>45404</v>
      </c>
      <c r="C261" t="s">
        <v>14</v>
      </c>
      <c r="D261">
        <v>399</v>
      </c>
      <c r="E261">
        <v>19.100000000000001</v>
      </c>
      <c r="F261">
        <v>8</v>
      </c>
      <c r="G261">
        <v>4</v>
      </c>
      <c r="H261">
        <v>9</v>
      </c>
      <c r="I261">
        <v>6</v>
      </c>
      <c r="J261" t="s">
        <v>11</v>
      </c>
    </row>
    <row r="262" spans="1:10">
      <c r="A262">
        <v>261</v>
      </c>
      <c r="B262" s="1">
        <v>45320</v>
      </c>
      <c r="C262" t="s">
        <v>12</v>
      </c>
      <c r="D262">
        <v>199</v>
      </c>
      <c r="E262">
        <v>11.5</v>
      </c>
      <c r="F262">
        <v>2</v>
      </c>
      <c r="G262">
        <v>0</v>
      </c>
      <c r="H262">
        <v>18</v>
      </c>
      <c r="I262">
        <v>3</v>
      </c>
      <c r="J262" t="s">
        <v>13</v>
      </c>
    </row>
    <row r="263" spans="1:10">
      <c r="A263">
        <v>262</v>
      </c>
      <c r="B263" s="1">
        <v>45247</v>
      </c>
      <c r="C263" t="s">
        <v>10</v>
      </c>
      <c r="D263">
        <v>699</v>
      </c>
      <c r="E263">
        <v>6.6</v>
      </c>
      <c r="F263">
        <v>2</v>
      </c>
      <c r="G263">
        <v>2</v>
      </c>
      <c r="H263">
        <v>27</v>
      </c>
      <c r="I263">
        <v>59</v>
      </c>
      <c r="J263" t="s">
        <v>11</v>
      </c>
    </row>
    <row r="264" spans="1:10">
      <c r="A264">
        <v>263</v>
      </c>
      <c r="B264" s="1">
        <v>45436</v>
      </c>
      <c r="C264" t="s">
        <v>12</v>
      </c>
      <c r="D264">
        <v>199</v>
      </c>
      <c r="E264">
        <v>12.7</v>
      </c>
      <c r="F264">
        <v>8</v>
      </c>
      <c r="G264">
        <v>3</v>
      </c>
      <c r="H264">
        <v>11</v>
      </c>
      <c r="I264">
        <v>31</v>
      </c>
      <c r="J264" t="s">
        <v>13</v>
      </c>
    </row>
    <row r="265" spans="1:10">
      <c r="A265">
        <v>264</v>
      </c>
      <c r="B265" s="1">
        <v>45288</v>
      </c>
      <c r="C265" t="s">
        <v>12</v>
      </c>
      <c r="D265">
        <v>199</v>
      </c>
      <c r="E265">
        <v>23.7</v>
      </c>
      <c r="F265">
        <v>8</v>
      </c>
      <c r="G265">
        <v>3</v>
      </c>
      <c r="H265">
        <v>6</v>
      </c>
      <c r="I265">
        <v>15</v>
      </c>
      <c r="J265" t="s">
        <v>11</v>
      </c>
    </row>
    <row r="266" spans="1:10">
      <c r="A266">
        <v>265</v>
      </c>
      <c r="B266" s="1">
        <v>45037</v>
      </c>
      <c r="C266" t="s">
        <v>12</v>
      </c>
      <c r="D266">
        <v>199</v>
      </c>
      <c r="E266">
        <v>7.4</v>
      </c>
      <c r="F266">
        <v>7</v>
      </c>
      <c r="G266">
        <v>2</v>
      </c>
      <c r="H266">
        <v>4</v>
      </c>
      <c r="I266">
        <v>34</v>
      </c>
      <c r="J266" t="s">
        <v>11</v>
      </c>
    </row>
    <row r="267" spans="1:10">
      <c r="A267">
        <v>266</v>
      </c>
      <c r="B267" s="1">
        <v>44979</v>
      </c>
      <c r="C267" t="s">
        <v>14</v>
      </c>
      <c r="D267">
        <v>399</v>
      </c>
      <c r="E267">
        <v>22.1</v>
      </c>
      <c r="F267">
        <v>5</v>
      </c>
      <c r="G267">
        <v>3</v>
      </c>
      <c r="H267">
        <v>9</v>
      </c>
      <c r="I267">
        <v>23</v>
      </c>
      <c r="J267" t="s">
        <v>11</v>
      </c>
    </row>
    <row r="268" spans="1:10">
      <c r="A268">
        <v>267</v>
      </c>
      <c r="B268" s="1">
        <v>45388</v>
      </c>
      <c r="C268" t="s">
        <v>10</v>
      </c>
      <c r="D268">
        <v>699</v>
      </c>
      <c r="E268">
        <v>5.3</v>
      </c>
      <c r="F268">
        <v>8</v>
      </c>
      <c r="G268">
        <v>2</v>
      </c>
      <c r="H268">
        <v>36</v>
      </c>
      <c r="I268">
        <v>4</v>
      </c>
      <c r="J268" t="s">
        <v>11</v>
      </c>
    </row>
    <row r="269" spans="1:10">
      <c r="A269">
        <v>268</v>
      </c>
      <c r="B269" s="1">
        <v>45274</v>
      </c>
      <c r="C269" t="s">
        <v>10</v>
      </c>
      <c r="D269">
        <v>699</v>
      </c>
      <c r="E269">
        <v>20.7</v>
      </c>
      <c r="F269">
        <v>1</v>
      </c>
      <c r="G269">
        <v>1</v>
      </c>
      <c r="H269">
        <v>18</v>
      </c>
      <c r="I269">
        <v>6</v>
      </c>
      <c r="J269" t="s">
        <v>13</v>
      </c>
    </row>
    <row r="270" spans="1:10">
      <c r="A270">
        <v>269</v>
      </c>
      <c r="B270" s="1">
        <v>44968</v>
      </c>
      <c r="C270" t="s">
        <v>10</v>
      </c>
      <c r="D270">
        <v>699</v>
      </c>
      <c r="E270">
        <v>19</v>
      </c>
      <c r="F270">
        <v>3</v>
      </c>
      <c r="G270">
        <v>4</v>
      </c>
      <c r="H270">
        <v>24</v>
      </c>
      <c r="I270">
        <v>32</v>
      </c>
      <c r="J270" t="s">
        <v>11</v>
      </c>
    </row>
    <row r="271" spans="1:10">
      <c r="A271">
        <v>270</v>
      </c>
      <c r="B271" s="1">
        <v>45547</v>
      </c>
      <c r="C271" t="s">
        <v>12</v>
      </c>
      <c r="D271">
        <v>199</v>
      </c>
      <c r="E271">
        <v>3.9</v>
      </c>
      <c r="F271">
        <v>5</v>
      </c>
      <c r="G271">
        <v>3</v>
      </c>
      <c r="H271">
        <v>3</v>
      </c>
      <c r="I271">
        <v>33</v>
      </c>
      <c r="J271" t="s">
        <v>11</v>
      </c>
    </row>
    <row r="272" spans="1:10">
      <c r="A272">
        <v>271</v>
      </c>
      <c r="B272" s="1">
        <v>45233</v>
      </c>
      <c r="C272" t="s">
        <v>10</v>
      </c>
      <c r="D272">
        <v>699</v>
      </c>
      <c r="E272">
        <v>8.5</v>
      </c>
      <c r="F272">
        <v>5</v>
      </c>
      <c r="G272">
        <v>1</v>
      </c>
      <c r="H272">
        <v>9</v>
      </c>
      <c r="I272">
        <v>25</v>
      </c>
      <c r="J272" t="s">
        <v>13</v>
      </c>
    </row>
    <row r="273" spans="1:10">
      <c r="A273">
        <v>272</v>
      </c>
      <c r="B273" s="1">
        <v>45233</v>
      </c>
      <c r="C273" t="s">
        <v>10</v>
      </c>
      <c r="D273">
        <v>699</v>
      </c>
      <c r="E273">
        <v>12.9</v>
      </c>
      <c r="F273">
        <v>8</v>
      </c>
      <c r="G273">
        <v>4</v>
      </c>
      <c r="H273">
        <v>22</v>
      </c>
      <c r="I273">
        <v>31</v>
      </c>
      <c r="J273" t="s">
        <v>11</v>
      </c>
    </row>
    <row r="274" spans="1:10">
      <c r="A274">
        <v>273</v>
      </c>
      <c r="B274" s="1">
        <v>45631</v>
      </c>
      <c r="C274" t="s">
        <v>14</v>
      </c>
      <c r="D274">
        <v>399</v>
      </c>
      <c r="E274">
        <v>9.5</v>
      </c>
      <c r="F274">
        <v>1</v>
      </c>
      <c r="G274">
        <v>3</v>
      </c>
      <c r="H274">
        <v>2</v>
      </c>
      <c r="I274">
        <v>37</v>
      </c>
      <c r="J274" t="s">
        <v>11</v>
      </c>
    </row>
    <row r="275" spans="1:10">
      <c r="A275">
        <v>274</v>
      </c>
      <c r="B275" s="1">
        <v>45519</v>
      </c>
      <c r="C275" t="s">
        <v>10</v>
      </c>
      <c r="D275">
        <v>699</v>
      </c>
      <c r="E275">
        <v>15.1</v>
      </c>
      <c r="F275">
        <v>4</v>
      </c>
      <c r="G275">
        <v>5</v>
      </c>
      <c r="H275">
        <v>2</v>
      </c>
      <c r="I275">
        <v>50</v>
      </c>
      <c r="J275" t="s">
        <v>13</v>
      </c>
    </row>
    <row r="276" spans="1:10">
      <c r="A276">
        <v>275</v>
      </c>
      <c r="B276" s="1">
        <v>45561</v>
      </c>
      <c r="C276" t="s">
        <v>10</v>
      </c>
      <c r="D276">
        <v>699</v>
      </c>
      <c r="E276">
        <v>18.2</v>
      </c>
      <c r="F276">
        <v>7</v>
      </c>
      <c r="G276">
        <v>1</v>
      </c>
      <c r="H276">
        <v>15</v>
      </c>
      <c r="I276">
        <v>33</v>
      </c>
      <c r="J276" t="s">
        <v>13</v>
      </c>
    </row>
    <row r="277" spans="1:10">
      <c r="A277">
        <v>276</v>
      </c>
      <c r="B277" s="1">
        <v>45039</v>
      </c>
      <c r="C277" t="s">
        <v>14</v>
      </c>
      <c r="D277">
        <v>399</v>
      </c>
      <c r="E277">
        <v>20.6</v>
      </c>
      <c r="F277">
        <v>3</v>
      </c>
      <c r="G277">
        <v>0</v>
      </c>
      <c r="H277">
        <v>10</v>
      </c>
      <c r="I277">
        <v>36</v>
      </c>
      <c r="J277" t="s">
        <v>13</v>
      </c>
    </row>
    <row r="278" spans="1:10">
      <c r="A278">
        <v>277</v>
      </c>
      <c r="B278" s="1">
        <v>45347</v>
      </c>
      <c r="C278" t="s">
        <v>12</v>
      </c>
      <c r="D278">
        <v>199</v>
      </c>
      <c r="E278">
        <v>11.3</v>
      </c>
      <c r="F278">
        <v>6</v>
      </c>
      <c r="G278">
        <v>1</v>
      </c>
      <c r="H278">
        <v>2</v>
      </c>
      <c r="I278">
        <v>26</v>
      </c>
      <c r="J278" t="s">
        <v>13</v>
      </c>
    </row>
    <row r="279" spans="1:10">
      <c r="A279">
        <v>278</v>
      </c>
      <c r="B279" s="1">
        <v>45501</v>
      </c>
      <c r="C279" t="s">
        <v>10</v>
      </c>
      <c r="D279">
        <v>699</v>
      </c>
      <c r="E279">
        <v>21.9</v>
      </c>
      <c r="F279">
        <v>0</v>
      </c>
      <c r="G279">
        <v>5</v>
      </c>
      <c r="H279">
        <v>31</v>
      </c>
      <c r="I279">
        <v>8</v>
      </c>
      <c r="J279" t="s">
        <v>13</v>
      </c>
    </row>
    <row r="280" spans="1:10">
      <c r="A280">
        <v>279</v>
      </c>
      <c r="B280" s="1">
        <v>45277</v>
      </c>
      <c r="C280" t="s">
        <v>14</v>
      </c>
      <c r="D280">
        <v>399</v>
      </c>
      <c r="E280">
        <v>13.4</v>
      </c>
      <c r="F280">
        <v>5</v>
      </c>
      <c r="G280">
        <v>1</v>
      </c>
      <c r="H280">
        <v>31</v>
      </c>
      <c r="I280">
        <v>29</v>
      </c>
      <c r="J280" t="s">
        <v>13</v>
      </c>
    </row>
    <row r="281" spans="1:10">
      <c r="A281">
        <v>280</v>
      </c>
      <c r="B281" s="1">
        <v>45179</v>
      </c>
      <c r="C281" t="s">
        <v>10</v>
      </c>
      <c r="D281">
        <v>699</v>
      </c>
      <c r="E281">
        <v>17.100000000000001</v>
      </c>
      <c r="F281">
        <v>4</v>
      </c>
      <c r="G281">
        <v>4</v>
      </c>
      <c r="H281">
        <v>23</v>
      </c>
      <c r="I281">
        <v>30</v>
      </c>
      <c r="J281" t="s">
        <v>11</v>
      </c>
    </row>
    <row r="282" spans="1:10">
      <c r="A282">
        <v>281</v>
      </c>
      <c r="B282" s="1">
        <v>45648</v>
      </c>
      <c r="C282" t="s">
        <v>14</v>
      </c>
      <c r="D282">
        <v>399</v>
      </c>
      <c r="E282">
        <v>7.8</v>
      </c>
      <c r="F282">
        <v>4</v>
      </c>
      <c r="G282">
        <v>2</v>
      </c>
      <c r="H282">
        <v>36</v>
      </c>
      <c r="I282">
        <v>45</v>
      </c>
      <c r="J282" t="s">
        <v>11</v>
      </c>
    </row>
    <row r="283" spans="1:10">
      <c r="A283">
        <v>282</v>
      </c>
      <c r="B283" s="1">
        <v>45514</v>
      </c>
      <c r="C283" t="s">
        <v>14</v>
      </c>
      <c r="D283">
        <v>399</v>
      </c>
      <c r="E283">
        <v>12.3</v>
      </c>
      <c r="F283">
        <v>8</v>
      </c>
      <c r="G283">
        <v>5</v>
      </c>
      <c r="H283">
        <v>21</v>
      </c>
      <c r="I283">
        <v>17</v>
      </c>
      <c r="J283" t="s">
        <v>11</v>
      </c>
    </row>
    <row r="284" spans="1:10">
      <c r="A284">
        <v>283</v>
      </c>
      <c r="B284" s="1">
        <v>45224</v>
      </c>
      <c r="C284" t="s">
        <v>10</v>
      </c>
      <c r="D284">
        <v>699</v>
      </c>
      <c r="E284">
        <v>9.8000000000000007</v>
      </c>
      <c r="F284">
        <v>6</v>
      </c>
      <c r="G284">
        <v>2</v>
      </c>
      <c r="H284">
        <v>35</v>
      </c>
      <c r="I284">
        <v>49</v>
      </c>
      <c r="J284" t="s">
        <v>13</v>
      </c>
    </row>
    <row r="285" spans="1:10">
      <c r="A285">
        <v>284</v>
      </c>
      <c r="B285" s="1">
        <v>45189</v>
      </c>
      <c r="C285" t="s">
        <v>12</v>
      </c>
      <c r="D285">
        <v>199</v>
      </c>
      <c r="E285">
        <v>23.9</v>
      </c>
      <c r="F285">
        <v>1</v>
      </c>
      <c r="G285">
        <v>2</v>
      </c>
      <c r="H285">
        <v>19</v>
      </c>
      <c r="I285">
        <v>59</v>
      </c>
      <c r="J285" t="s">
        <v>11</v>
      </c>
    </row>
    <row r="286" spans="1:10">
      <c r="A286">
        <v>285</v>
      </c>
      <c r="B286" s="1">
        <v>45205</v>
      </c>
      <c r="C286" t="s">
        <v>10</v>
      </c>
      <c r="D286">
        <v>699</v>
      </c>
      <c r="E286">
        <v>5.7</v>
      </c>
      <c r="F286">
        <v>8</v>
      </c>
      <c r="G286">
        <v>2</v>
      </c>
      <c r="H286">
        <v>31</v>
      </c>
      <c r="I286">
        <v>59</v>
      </c>
      <c r="J286" t="s">
        <v>11</v>
      </c>
    </row>
    <row r="287" spans="1:10">
      <c r="A287">
        <v>286</v>
      </c>
      <c r="B287" s="1">
        <v>45470</v>
      </c>
      <c r="C287" t="s">
        <v>12</v>
      </c>
      <c r="D287">
        <v>199</v>
      </c>
      <c r="E287">
        <v>15.6</v>
      </c>
      <c r="F287">
        <v>3</v>
      </c>
      <c r="G287">
        <v>1</v>
      </c>
      <c r="H287">
        <v>7</v>
      </c>
      <c r="I287">
        <v>3</v>
      </c>
      <c r="J287" t="s">
        <v>13</v>
      </c>
    </row>
    <row r="288" spans="1:10">
      <c r="A288">
        <v>287</v>
      </c>
      <c r="B288" s="1">
        <v>45624</v>
      </c>
      <c r="C288" t="s">
        <v>12</v>
      </c>
      <c r="D288">
        <v>199</v>
      </c>
      <c r="E288">
        <v>1.8</v>
      </c>
      <c r="F288">
        <v>6</v>
      </c>
      <c r="G288">
        <v>2</v>
      </c>
      <c r="H288">
        <v>15</v>
      </c>
      <c r="I288">
        <v>45</v>
      </c>
      <c r="J288" t="s">
        <v>11</v>
      </c>
    </row>
    <row r="289" spans="1:10">
      <c r="A289">
        <v>288</v>
      </c>
      <c r="B289" s="1">
        <v>45414</v>
      </c>
      <c r="C289" t="s">
        <v>12</v>
      </c>
      <c r="D289">
        <v>199</v>
      </c>
      <c r="E289">
        <v>24.1</v>
      </c>
      <c r="F289">
        <v>2</v>
      </c>
      <c r="G289">
        <v>3</v>
      </c>
      <c r="H289">
        <v>1</v>
      </c>
      <c r="I289">
        <v>41</v>
      </c>
      <c r="J289" t="s">
        <v>13</v>
      </c>
    </row>
    <row r="290" spans="1:10">
      <c r="A290">
        <v>289</v>
      </c>
      <c r="B290" s="1">
        <v>45018</v>
      </c>
      <c r="C290" t="s">
        <v>14</v>
      </c>
      <c r="D290">
        <v>399</v>
      </c>
      <c r="E290">
        <v>19</v>
      </c>
      <c r="F290">
        <v>4</v>
      </c>
      <c r="G290">
        <v>2</v>
      </c>
      <c r="H290">
        <v>13</v>
      </c>
      <c r="I290">
        <v>18</v>
      </c>
      <c r="J290" t="s">
        <v>13</v>
      </c>
    </row>
    <row r="291" spans="1:10">
      <c r="A291">
        <v>290</v>
      </c>
      <c r="B291" s="1">
        <v>45107</v>
      </c>
      <c r="C291" t="s">
        <v>10</v>
      </c>
      <c r="D291">
        <v>699</v>
      </c>
      <c r="E291">
        <v>13.6</v>
      </c>
      <c r="F291">
        <v>0</v>
      </c>
      <c r="G291">
        <v>1</v>
      </c>
      <c r="H291">
        <v>15</v>
      </c>
      <c r="I291">
        <v>26</v>
      </c>
      <c r="J291" t="s">
        <v>13</v>
      </c>
    </row>
    <row r="292" spans="1:10">
      <c r="A292">
        <v>291</v>
      </c>
      <c r="B292" s="1">
        <v>44965</v>
      </c>
      <c r="C292" t="s">
        <v>12</v>
      </c>
      <c r="D292">
        <v>199</v>
      </c>
      <c r="E292">
        <v>19.8</v>
      </c>
      <c r="F292">
        <v>2</v>
      </c>
      <c r="G292">
        <v>5</v>
      </c>
      <c r="H292">
        <v>26</v>
      </c>
      <c r="I292">
        <v>55</v>
      </c>
      <c r="J292" t="s">
        <v>13</v>
      </c>
    </row>
    <row r="293" spans="1:10">
      <c r="A293">
        <v>292</v>
      </c>
      <c r="B293" s="1">
        <v>45583</v>
      </c>
      <c r="C293" t="s">
        <v>12</v>
      </c>
      <c r="D293">
        <v>199</v>
      </c>
      <c r="E293">
        <v>14.4</v>
      </c>
      <c r="F293">
        <v>1</v>
      </c>
      <c r="G293">
        <v>2</v>
      </c>
      <c r="H293">
        <v>20</v>
      </c>
      <c r="I293">
        <v>18</v>
      </c>
      <c r="J293" t="s">
        <v>13</v>
      </c>
    </row>
    <row r="294" spans="1:10">
      <c r="A294">
        <v>293</v>
      </c>
      <c r="B294" s="1">
        <v>45042</v>
      </c>
      <c r="C294" t="s">
        <v>10</v>
      </c>
      <c r="D294">
        <v>699</v>
      </c>
      <c r="E294">
        <v>12.6</v>
      </c>
      <c r="F294">
        <v>2</v>
      </c>
      <c r="G294">
        <v>4</v>
      </c>
      <c r="H294">
        <v>34</v>
      </c>
      <c r="I294">
        <v>29</v>
      </c>
      <c r="J294" t="s">
        <v>11</v>
      </c>
    </row>
    <row r="295" spans="1:10">
      <c r="A295">
        <v>294</v>
      </c>
      <c r="B295" s="1">
        <v>45272</v>
      </c>
      <c r="C295" t="s">
        <v>14</v>
      </c>
      <c r="D295">
        <v>399</v>
      </c>
      <c r="E295">
        <v>18.399999999999999</v>
      </c>
      <c r="F295">
        <v>4</v>
      </c>
      <c r="G295">
        <v>5</v>
      </c>
      <c r="H295">
        <v>11</v>
      </c>
      <c r="I295">
        <v>11</v>
      </c>
      <c r="J295" t="s">
        <v>11</v>
      </c>
    </row>
    <row r="296" spans="1:10">
      <c r="A296">
        <v>295</v>
      </c>
      <c r="B296" s="1">
        <v>45337</v>
      </c>
      <c r="C296" t="s">
        <v>14</v>
      </c>
      <c r="D296">
        <v>399</v>
      </c>
      <c r="E296">
        <v>4.8</v>
      </c>
      <c r="F296">
        <v>6</v>
      </c>
      <c r="G296">
        <v>3</v>
      </c>
      <c r="H296">
        <v>13</v>
      </c>
      <c r="I296">
        <v>32</v>
      </c>
      <c r="J296" t="s">
        <v>11</v>
      </c>
    </row>
    <row r="297" spans="1:10">
      <c r="A297">
        <v>296</v>
      </c>
      <c r="B297" s="1">
        <v>44933</v>
      </c>
      <c r="C297" t="s">
        <v>10</v>
      </c>
      <c r="D297">
        <v>699</v>
      </c>
      <c r="E297">
        <v>5</v>
      </c>
      <c r="F297">
        <v>2</v>
      </c>
      <c r="G297">
        <v>3</v>
      </c>
      <c r="H297">
        <v>7</v>
      </c>
      <c r="I297">
        <v>20</v>
      </c>
      <c r="J297" t="s">
        <v>13</v>
      </c>
    </row>
    <row r="298" spans="1:10">
      <c r="A298">
        <v>297</v>
      </c>
      <c r="B298" s="1">
        <v>45513</v>
      </c>
      <c r="C298" t="s">
        <v>14</v>
      </c>
      <c r="D298">
        <v>399</v>
      </c>
      <c r="E298">
        <v>6.3</v>
      </c>
      <c r="F298">
        <v>4</v>
      </c>
      <c r="G298">
        <v>2</v>
      </c>
      <c r="H298">
        <v>25</v>
      </c>
      <c r="I298">
        <v>19</v>
      </c>
      <c r="J298" t="s">
        <v>13</v>
      </c>
    </row>
    <row r="299" spans="1:10">
      <c r="A299">
        <v>298</v>
      </c>
      <c r="B299" s="1">
        <v>45241</v>
      </c>
      <c r="C299" t="s">
        <v>12</v>
      </c>
      <c r="D299">
        <v>199</v>
      </c>
      <c r="E299">
        <v>16.5</v>
      </c>
      <c r="F299">
        <v>3</v>
      </c>
      <c r="G299">
        <v>0</v>
      </c>
      <c r="H299">
        <v>17</v>
      </c>
      <c r="I299">
        <v>42</v>
      </c>
      <c r="J299" t="s">
        <v>11</v>
      </c>
    </row>
    <row r="300" spans="1:10">
      <c r="A300">
        <v>299</v>
      </c>
      <c r="B300" s="1">
        <v>45229</v>
      </c>
      <c r="C300" t="s">
        <v>12</v>
      </c>
      <c r="D300">
        <v>199</v>
      </c>
      <c r="E300">
        <v>17.3</v>
      </c>
      <c r="F300">
        <v>4</v>
      </c>
      <c r="G300">
        <v>5</v>
      </c>
      <c r="H300">
        <v>26</v>
      </c>
      <c r="I300">
        <v>7</v>
      </c>
      <c r="J300" t="s">
        <v>13</v>
      </c>
    </row>
    <row r="301" spans="1:10">
      <c r="A301">
        <v>300</v>
      </c>
      <c r="B301" s="1">
        <v>45547</v>
      </c>
      <c r="C301" t="s">
        <v>14</v>
      </c>
      <c r="D301">
        <v>399</v>
      </c>
      <c r="E301">
        <v>5.9</v>
      </c>
      <c r="F301">
        <v>2</v>
      </c>
      <c r="G301">
        <v>3</v>
      </c>
      <c r="H301">
        <v>15</v>
      </c>
      <c r="I301">
        <v>9</v>
      </c>
      <c r="J301" t="s">
        <v>13</v>
      </c>
    </row>
    <row r="302" spans="1:10">
      <c r="A302">
        <v>301</v>
      </c>
      <c r="B302" s="1">
        <v>45150</v>
      </c>
      <c r="C302" t="s">
        <v>14</v>
      </c>
      <c r="D302">
        <v>399</v>
      </c>
      <c r="E302">
        <v>17.7</v>
      </c>
      <c r="F302">
        <v>7</v>
      </c>
      <c r="G302">
        <v>4</v>
      </c>
      <c r="H302">
        <v>27</v>
      </c>
      <c r="I302">
        <v>51</v>
      </c>
      <c r="J302" t="s">
        <v>11</v>
      </c>
    </row>
    <row r="303" spans="1:10">
      <c r="A303">
        <v>302</v>
      </c>
      <c r="B303" s="1">
        <v>45504</v>
      </c>
      <c r="C303" t="s">
        <v>12</v>
      </c>
      <c r="D303">
        <v>199</v>
      </c>
      <c r="E303">
        <v>13.4</v>
      </c>
      <c r="F303">
        <v>8</v>
      </c>
      <c r="G303">
        <v>5</v>
      </c>
      <c r="H303">
        <v>6</v>
      </c>
      <c r="I303">
        <v>23</v>
      </c>
      <c r="J303" t="s">
        <v>11</v>
      </c>
    </row>
    <row r="304" spans="1:10">
      <c r="A304">
        <v>303</v>
      </c>
      <c r="B304" s="1">
        <v>45095</v>
      </c>
      <c r="C304" t="s">
        <v>12</v>
      </c>
      <c r="D304">
        <v>199</v>
      </c>
      <c r="E304">
        <v>20.8</v>
      </c>
      <c r="F304">
        <v>8</v>
      </c>
      <c r="G304">
        <v>1</v>
      </c>
      <c r="H304">
        <v>4</v>
      </c>
      <c r="I304">
        <v>36</v>
      </c>
      <c r="J304" t="s">
        <v>13</v>
      </c>
    </row>
    <row r="305" spans="1:10">
      <c r="A305">
        <v>304</v>
      </c>
      <c r="B305" s="1">
        <v>45449</v>
      </c>
      <c r="C305" t="s">
        <v>14</v>
      </c>
      <c r="D305">
        <v>399</v>
      </c>
      <c r="E305">
        <v>11.3</v>
      </c>
      <c r="F305">
        <v>3</v>
      </c>
      <c r="G305">
        <v>5</v>
      </c>
      <c r="H305">
        <v>34</v>
      </c>
      <c r="I305">
        <v>37</v>
      </c>
      <c r="J305" t="s">
        <v>11</v>
      </c>
    </row>
    <row r="306" spans="1:10">
      <c r="A306">
        <v>305</v>
      </c>
      <c r="B306" s="1">
        <v>45499</v>
      </c>
      <c r="C306" t="s">
        <v>14</v>
      </c>
      <c r="D306">
        <v>399</v>
      </c>
      <c r="E306">
        <v>11.6</v>
      </c>
      <c r="F306">
        <v>8</v>
      </c>
      <c r="G306">
        <v>3</v>
      </c>
      <c r="H306">
        <v>4</v>
      </c>
      <c r="I306">
        <v>29</v>
      </c>
      <c r="J306" t="s">
        <v>11</v>
      </c>
    </row>
    <row r="307" spans="1:10">
      <c r="A307">
        <v>306</v>
      </c>
      <c r="B307" s="1">
        <v>45150</v>
      </c>
      <c r="C307" t="s">
        <v>14</v>
      </c>
      <c r="D307">
        <v>399</v>
      </c>
      <c r="E307">
        <v>18.2</v>
      </c>
      <c r="F307">
        <v>6</v>
      </c>
      <c r="G307">
        <v>2</v>
      </c>
      <c r="H307">
        <v>20</v>
      </c>
      <c r="I307">
        <v>52</v>
      </c>
      <c r="J307" t="s">
        <v>11</v>
      </c>
    </row>
    <row r="308" spans="1:10">
      <c r="A308">
        <v>307</v>
      </c>
      <c r="B308" s="1">
        <v>44988</v>
      </c>
      <c r="C308" t="s">
        <v>10</v>
      </c>
      <c r="D308">
        <v>699</v>
      </c>
      <c r="E308">
        <v>1.6</v>
      </c>
      <c r="F308">
        <v>5</v>
      </c>
      <c r="G308">
        <v>5</v>
      </c>
      <c r="H308">
        <v>5</v>
      </c>
      <c r="I308">
        <v>4</v>
      </c>
      <c r="J308" t="s">
        <v>11</v>
      </c>
    </row>
    <row r="309" spans="1:10">
      <c r="A309">
        <v>308</v>
      </c>
      <c r="B309" s="1">
        <v>45583</v>
      </c>
      <c r="C309" t="s">
        <v>12</v>
      </c>
      <c r="D309">
        <v>199</v>
      </c>
      <c r="E309">
        <v>1.3</v>
      </c>
      <c r="F309">
        <v>6</v>
      </c>
      <c r="G309">
        <v>1</v>
      </c>
      <c r="H309">
        <v>31</v>
      </c>
      <c r="I309">
        <v>49</v>
      </c>
      <c r="J309" t="s">
        <v>11</v>
      </c>
    </row>
    <row r="310" spans="1:10">
      <c r="A310">
        <v>309</v>
      </c>
      <c r="B310" s="1">
        <v>45313</v>
      </c>
      <c r="C310" t="s">
        <v>10</v>
      </c>
      <c r="D310">
        <v>699</v>
      </c>
      <c r="E310">
        <v>9.6999999999999993</v>
      </c>
      <c r="F310">
        <v>6</v>
      </c>
      <c r="G310">
        <v>3</v>
      </c>
      <c r="H310">
        <v>27</v>
      </c>
      <c r="I310">
        <v>55</v>
      </c>
      <c r="J310" t="s">
        <v>13</v>
      </c>
    </row>
    <row r="311" spans="1:10">
      <c r="A311">
        <v>310</v>
      </c>
      <c r="B311" s="1">
        <v>45048</v>
      </c>
      <c r="C311" t="s">
        <v>14</v>
      </c>
      <c r="D311">
        <v>399</v>
      </c>
      <c r="E311">
        <v>17.2</v>
      </c>
      <c r="F311">
        <v>8</v>
      </c>
      <c r="G311">
        <v>1</v>
      </c>
      <c r="H311">
        <v>6</v>
      </c>
      <c r="I311">
        <v>41</v>
      </c>
      <c r="J311" t="s">
        <v>13</v>
      </c>
    </row>
    <row r="312" spans="1:10">
      <c r="A312">
        <v>311</v>
      </c>
      <c r="B312" s="1">
        <v>44950</v>
      </c>
      <c r="C312" t="s">
        <v>12</v>
      </c>
      <c r="D312">
        <v>199</v>
      </c>
      <c r="E312">
        <v>10.1</v>
      </c>
      <c r="F312">
        <v>2</v>
      </c>
      <c r="G312">
        <v>5</v>
      </c>
      <c r="H312">
        <v>35</v>
      </c>
      <c r="I312">
        <v>14</v>
      </c>
      <c r="J312" t="s">
        <v>13</v>
      </c>
    </row>
    <row r="313" spans="1:10">
      <c r="A313">
        <v>312</v>
      </c>
      <c r="B313" s="1">
        <v>45162</v>
      </c>
      <c r="C313" t="s">
        <v>14</v>
      </c>
      <c r="D313">
        <v>399</v>
      </c>
      <c r="E313">
        <v>17</v>
      </c>
      <c r="F313">
        <v>8</v>
      </c>
      <c r="G313">
        <v>3</v>
      </c>
      <c r="H313">
        <v>30</v>
      </c>
      <c r="I313">
        <v>34</v>
      </c>
      <c r="J313" t="s">
        <v>11</v>
      </c>
    </row>
    <row r="314" spans="1:10">
      <c r="A314">
        <v>313</v>
      </c>
      <c r="B314" s="1">
        <v>45042</v>
      </c>
      <c r="C314" t="s">
        <v>12</v>
      </c>
      <c r="D314">
        <v>199</v>
      </c>
      <c r="E314">
        <v>9</v>
      </c>
      <c r="F314">
        <v>4</v>
      </c>
      <c r="G314">
        <v>1</v>
      </c>
      <c r="H314">
        <v>30</v>
      </c>
      <c r="I314">
        <v>59</v>
      </c>
      <c r="J314" t="s">
        <v>13</v>
      </c>
    </row>
    <row r="315" spans="1:10">
      <c r="A315">
        <v>314</v>
      </c>
      <c r="B315" s="1">
        <v>45535</v>
      </c>
      <c r="C315" t="s">
        <v>12</v>
      </c>
      <c r="D315">
        <v>199</v>
      </c>
      <c r="E315">
        <v>15.6</v>
      </c>
      <c r="F315">
        <v>0</v>
      </c>
      <c r="G315">
        <v>1</v>
      </c>
      <c r="H315">
        <v>27</v>
      </c>
      <c r="I315">
        <v>13</v>
      </c>
      <c r="J315" t="s">
        <v>11</v>
      </c>
    </row>
    <row r="316" spans="1:10">
      <c r="A316">
        <v>315</v>
      </c>
      <c r="B316" s="1">
        <v>45376</v>
      </c>
      <c r="C316" t="s">
        <v>12</v>
      </c>
      <c r="D316">
        <v>199</v>
      </c>
      <c r="E316">
        <v>15.1</v>
      </c>
      <c r="F316">
        <v>0</v>
      </c>
      <c r="G316">
        <v>1</v>
      </c>
      <c r="H316">
        <v>29</v>
      </c>
      <c r="I316">
        <v>47</v>
      </c>
      <c r="J316" t="s">
        <v>11</v>
      </c>
    </row>
    <row r="317" spans="1:10">
      <c r="A317">
        <v>316</v>
      </c>
      <c r="B317" s="1">
        <v>45166</v>
      </c>
      <c r="C317" t="s">
        <v>12</v>
      </c>
      <c r="D317">
        <v>199</v>
      </c>
      <c r="E317">
        <v>5.8</v>
      </c>
      <c r="F317">
        <v>0</v>
      </c>
      <c r="G317">
        <v>1</v>
      </c>
      <c r="H317">
        <v>35</v>
      </c>
      <c r="I317">
        <v>32</v>
      </c>
      <c r="J317" t="s">
        <v>13</v>
      </c>
    </row>
    <row r="318" spans="1:10">
      <c r="A318">
        <v>317</v>
      </c>
      <c r="B318" s="1">
        <v>45603</v>
      </c>
      <c r="C318" t="s">
        <v>10</v>
      </c>
      <c r="D318">
        <v>699</v>
      </c>
      <c r="E318">
        <v>14.6</v>
      </c>
      <c r="F318">
        <v>5</v>
      </c>
      <c r="G318">
        <v>1</v>
      </c>
      <c r="H318">
        <v>21</v>
      </c>
      <c r="I318">
        <v>19</v>
      </c>
      <c r="J318" t="s">
        <v>13</v>
      </c>
    </row>
    <row r="319" spans="1:10">
      <c r="A319">
        <v>318</v>
      </c>
      <c r="B319" s="1">
        <v>45106</v>
      </c>
      <c r="C319" t="s">
        <v>10</v>
      </c>
      <c r="D319">
        <v>699</v>
      </c>
      <c r="E319">
        <v>10.6</v>
      </c>
      <c r="F319">
        <v>4</v>
      </c>
      <c r="G319">
        <v>0</v>
      </c>
      <c r="H319">
        <v>15</v>
      </c>
      <c r="I319">
        <v>35</v>
      </c>
      <c r="J319" t="s">
        <v>13</v>
      </c>
    </row>
    <row r="320" spans="1:10">
      <c r="A320">
        <v>319</v>
      </c>
      <c r="B320" s="1">
        <v>45317</v>
      </c>
      <c r="C320" t="s">
        <v>10</v>
      </c>
      <c r="D320">
        <v>699</v>
      </c>
      <c r="E320">
        <v>14.1</v>
      </c>
      <c r="F320">
        <v>0</v>
      </c>
      <c r="G320">
        <v>2</v>
      </c>
      <c r="H320">
        <v>28</v>
      </c>
      <c r="I320">
        <v>60</v>
      </c>
      <c r="J320" t="s">
        <v>13</v>
      </c>
    </row>
    <row r="321" spans="1:10">
      <c r="A321">
        <v>320</v>
      </c>
      <c r="B321" s="1">
        <v>45477</v>
      </c>
      <c r="C321" t="s">
        <v>10</v>
      </c>
      <c r="D321">
        <v>699</v>
      </c>
      <c r="E321">
        <v>17.600000000000001</v>
      </c>
      <c r="F321">
        <v>6</v>
      </c>
      <c r="G321">
        <v>1</v>
      </c>
      <c r="H321">
        <v>21</v>
      </c>
      <c r="I321">
        <v>19</v>
      </c>
      <c r="J321" t="s">
        <v>13</v>
      </c>
    </row>
    <row r="322" spans="1:10">
      <c r="A322">
        <v>321</v>
      </c>
      <c r="B322" s="1">
        <v>44986</v>
      </c>
      <c r="C322" t="s">
        <v>14</v>
      </c>
      <c r="D322">
        <v>399</v>
      </c>
      <c r="E322">
        <v>21.3</v>
      </c>
      <c r="F322">
        <v>4</v>
      </c>
      <c r="G322">
        <v>5</v>
      </c>
      <c r="H322">
        <v>16</v>
      </c>
      <c r="I322">
        <v>9</v>
      </c>
      <c r="J322" t="s">
        <v>13</v>
      </c>
    </row>
    <row r="323" spans="1:10">
      <c r="A323">
        <v>322</v>
      </c>
      <c r="B323" s="1">
        <v>45188</v>
      </c>
      <c r="C323" t="s">
        <v>10</v>
      </c>
      <c r="D323">
        <v>699</v>
      </c>
      <c r="E323">
        <v>24.2</v>
      </c>
      <c r="F323">
        <v>8</v>
      </c>
      <c r="G323">
        <v>4</v>
      </c>
      <c r="H323">
        <v>27</v>
      </c>
      <c r="I323">
        <v>8</v>
      </c>
      <c r="J323" t="s">
        <v>11</v>
      </c>
    </row>
    <row r="324" spans="1:10">
      <c r="A324">
        <v>323</v>
      </c>
      <c r="B324" s="1">
        <v>45122</v>
      </c>
      <c r="C324" t="s">
        <v>12</v>
      </c>
      <c r="D324">
        <v>199</v>
      </c>
      <c r="E324">
        <v>16.3</v>
      </c>
      <c r="F324">
        <v>7</v>
      </c>
      <c r="G324">
        <v>2</v>
      </c>
      <c r="H324">
        <v>22</v>
      </c>
      <c r="I324">
        <v>5</v>
      </c>
      <c r="J324" t="s">
        <v>13</v>
      </c>
    </row>
    <row r="325" spans="1:10">
      <c r="A325">
        <v>324</v>
      </c>
      <c r="B325" s="1">
        <v>45528</v>
      </c>
      <c r="C325" t="s">
        <v>12</v>
      </c>
      <c r="D325">
        <v>199</v>
      </c>
      <c r="E325">
        <v>9.6999999999999993</v>
      </c>
      <c r="F325">
        <v>0</v>
      </c>
      <c r="G325">
        <v>0</v>
      </c>
      <c r="H325">
        <v>18</v>
      </c>
      <c r="I325">
        <v>12</v>
      </c>
      <c r="J325" t="s">
        <v>13</v>
      </c>
    </row>
    <row r="326" spans="1:10">
      <c r="A326">
        <v>325</v>
      </c>
      <c r="B326" s="1">
        <v>44942</v>
      </c>
      <c r="C326" t="s">
        <v>10</v>
      </c>
      <c r="D326">
        <v>699</v>
      </c>
      <c r="E326">
        <v>5.8</v>
      </c>
      <c r="F326">
        <v>3</v>
      </c>
      <c r="G326">
        <v>2</v>
      </c>
      <c r="H326">
        <v>36</v>
      </c>
      <c r="I326">
        <v>19</v>
      </c>
      <c r="J326" t="s">
        <v>13</v>
      </c>
    </row>
    <row r="327" spans="1:10">
      <c r="A327">
        <v>326</v>
      </c>
      <c r="B327" s="1">
        <v>45175</v>
      </c>
      <c r="C327" t="s">
        <v>12</v>
      </c>
      <c r="D327">
        <v>199</v>
      </c>
      <c r="E327">
        <v>24.1</v>
      </c>
      <c r="F327">
        <v>1</v>
      </c>
      <c r="G327">
        <v>5</v>
      </c>
      <c r="H327">
        <v>13</v>
      </c>
      <c r="I327">
        <v>48</v>
      </c>
      <c r="J327" t="s">
        <v>11</v>
      </c>
    </row>
    <row r="328" spans="1:10">
      <c r="A328">
        <v>327</v>
      </c>
      <c r="B328" s="1">
        <v>45316</v>
      </c>
      <c r="C328" t="s">
        <v>10</v>
      </c>
      <c r="D328">
        <v>699</v>
      </c>
      <c r="E328">
        <v>10.199999999999999</v>
      </c>
      <c r="F328">
        <v>3</v>
      </c>
      <c r="G328">
        <v>4</v>
      </c>
      <c r="H328">
        <v>14</v>
      </c>
      <c r="I328">
        <v>20</v>
      </c>
      <c r="J328" t="s">
        <v>13</v>
      </c>
    </row>
    <row r="329" spans="1:10">
      <c r="A329">
        <v>328</v>
      </c>
      <c r="B329" s="1">
        <v>45436</v>
      </c>
      <c r="C329" t="s">
        <v>14</v>
      </c>
      <c r="D329">
        <v>399</v>
      </c>
      <c r="E329">
        <v>16.399999999999999</v>
      </c>
      <c r="F329">
        <v>4</v>
      </c>
      <c r="G329">
        <v>2</v>
      </c>
      <c r="H329">
        <v>35</v>
      </c>
      <c r="I329">
        <v>23</v>
      </c>
      <c r="J329" t="s">
        <v>11</v>
      </c>
    </row>
    <row r="330" spans="1:10">
      <c r="A330">
        <v>329</v>
      </c>
      <c r="B330" s="1">
        <v>45247</v>
      </c>
      <c r="C330" t="s">
        <v>14</v>
      </c>
      <c r="D330">
        <v>399</v>
      </c>
      <c r="E330">
        <v>20.2</v>
      </c>
      <c r="F330">
        <v>7</v>
      </c>
      <c r="G330">
        <v>2</v>
      </c>
      <c r="H330">
        <v>7</v>
      </c>
      <c r="I330">
        <v>58</v>
      </c>
      <c r="J330" t="s">
        <v>11</v>
      </c>
    </row>
    <row r="331" spans="1:10">
      <c r="A331">
        <v>330</v>
      </c>
      <c r="B331" s="1">
        <v>45493</v>
      </c>
      <c r="C331" t="s">
        <v>14</v>
      </c>
      <c r="D331">
        <v>399</v>
      </c>
      <c r="E331">
        <v>14.3</v>
      </c>
      <c r="F331">
        <v>3</v>
      </c>
      <c r="G331">
        <v>5</v>
      </c>
      <c r="H331">
        <v>3</v>
      </c>
      <c r="I331">
        <v>9</v>
      </c>
      <c r="J331" t="s">
        <v>11</v>
      </c>
    </row>
    <row r="332" spans="1:10">
      <c r="A332">
        <v>331</v>
      </c>
      <c r="B332" s="1">
        <v>45178</v>
      </c>
      <c r="C332" t="s">
        <v>10</v>
      </c>
      <c r="D332">
        <v>699</v>
      </c>
      <c r="E332">
        <v>7.7</v>
      </c>
      <c r="F332">
        <v>3</v>
      </c>
      <c r="G332">
        <v>2</v>
      </c>
      <c r="H332">
        <v>27</v>
      </c>
      <c r="I332">
        <v>14</v>
      </c>
      <c r="J332" t="s">
        <v>13</v>
      </c>
    </row>
    <row r="333" spans="1:10">
      <c r="A333">
        <v>332</v>
      </c>
      <c r="B333" s="1">
        <v>45584</v>
      </c>
      <c r="C333" t="s">
        <v>14</v>
      </c>
      <c r="D333">
        <v>399</v>
      </c>
      <c r="E333">
        <v>16.5</v>
      </c>
      <c r="F333">
        <v>5</v>
      </c>
      <c r="G333">
        <v>2</v>
      </c>
      <c r="H333">
        <v>36</v>
      </c>
      <c r="I333">
        <v>48</v>
      </c>
      <c r="J333" t="s">
        <v>13</v>
      </c>
    </row>
    <row r="334" spans="1:10">
      <c r="A334">
        <v>333</v>
      </c>
      <c r="B334" s="1">
        <v>45427</v>
      </c>
      <c r="C334" t="s">
        <v>10</v>
      </c>
      <c r="D334">
        <v>699</v>
      </c>
      <c r="E334">
        <v>11.8</v>
      </c>
      <c r="F334">
        <v>5</v>
      </c>
      <c r="G334">
        <v>1</v>
      </c>
      <c r="H334">
        <v>32</v>
      </c>
      <c r="I334">
        <v>8</v>
      </c>
      <c r="J334" t="s">
        <v>13</v>
      </c>
    </row>
    <row r="335" spans="1:10">
      <c r="A335">
        <v>334</v>
      </c>
      <c r="B335" s="1">
        <v>45003</v>
      </c>
      <c r="C335" t="s">
        <v>12</v>
      </c>
      <c r="D335">
        <v>199</v>
      </c>
      <c r="E335">
        <v>24.8</v>
      </c>
      <c r="F335">
        <v>0</v>
      </c>
      <c r="G335">
        <v>4</v>
      </c>
      <c r="H335">
        <v>35</v>
      </c>
      <c r="I335">
        <v>2</v>
      </c>
      <c r="J335" t="s">
        <v>13</v>
      </c>
    </row>
    <row r="336" spans="1:10">
      <c r="A336">
        <v>335</v>
      </c>
      <c r="B336" s="1">
        <v>44996</v>
      </c>
      <c r="C336" t="s">
        <v>10</v>
      </c>
      <c r="D336">
        <v>699</v>
      </c>
      <c r="E336">
        <v>19.2</v>
      </c>
      <c r="F336">
        <v>6</v>
      </c>
      <c r="G336">
        <v>1</v>
      </c>
      <c r="H336">
        <v>4</v>
      </c>
      <c r="I336">
        <v>53</v>
      </c>
      <c r="J336" t="s">
        <v>13</v>
      </c>
    </row>
    <row r="337" spans="1:10">
      <c r="A337">
        <v>336</v>
      </c>
      <c r="B337" s="1">
        <v>45580</v>
      </c>
      <c r="C337" t="s">
        <v>10</v>
      </c>
      <c r="D337">
        <v>699</v>
      </c>
      <c r="E337">
        <v>0.7</v>
      </c>
      <c r="F337">
        <v>8</v>
      </c>
      <c r="G337">
        <v>3</v>
      </c>
      <c r="H337">
        <v>10</v>
      </c>
      <c r="I337">
        <v>23</v>
      </c>
      <c r="J337" t="s">
        <v>11</v>
      </c>
    </row>
    <row r="338" spans="1:10">
      <c r="A338">
        <v>337</v>
      </c>
      <c r="B338" s="1">
        <v>44939</v>
      </c>
      <c r="C338" t="s">
        <v>10</v>
      </c>
      <c r="D338">
        <v>699</v>
      </c>
      <c r="E338">
        <v>16.7</v>
      </c>
      <c r="F338">
        <v>0</v>
      </c>
      <c r="G338">
        <v>0</v>
      </c>
      <c r="H338">
        <v>31</v>
      </c>
      <c r="I338">
        <v>34</v>
      </c>
      <c r="J338" t="s">
        <v>13</v>
      </c>
    </row>
    <row r="339" spans="1:10">
      <c r="A339">
        <v>338</v>
      </c>
      <c r="B339" s="1">
        <v>45641</v>
      </c>
      <c r="C339" t="s">
        <v>12</v>
      </c>
      <c r="D339">
        <v>199</v>
      </c>
      <c r="E339">
        <v>18.2</v>
      </c>
      <c r="F339">
        <v>8</v>
      </c>
      <c r="G339">
        <v>2</v>
      </c>
      <c r="H339">
        <v>34</v>
      </c>
      <c r="I339">
        <v>1</v>
      </c>
      <c r="J339" t="s">
        <v>13</v>
      </c>
    </row>
    <row r="340" spans="1:10">
      <c r="A340">
        <v>339</v>
      </c>
      <c r="B340" s="1">
        <v>45079</v>
      </c>
      <c r="C340" t="s">
        <v>10</v>
      </c>
      <c r="D340">
        <v>699</v>
      </c>
      <c r="E340">
        <v>20.3</v>
      </c>
      <c r="F340">
        <v>2</v>
      </c>
      <c r="G340">
        <v>0</v>
      </c>
      <c r="H340">
        <v>28</v>
      </c>
      <c r="I340">
        <v>58</v>
      </c>
      <c r="J340" t="s">
        <v>11</v>
      </c>
    </row>
    <row r="341" spans="1:10">
      <c r="A341">
        <v>340</v>
      </c>
      <c r="B341" s="1">
        <v>45007</v>
      </c>
      <c r="C341" t="s">
        <v>12</v>
      </c>
      <c r="D341">
        <v>199</v>
      </c>
      <c r="E341">
        <v>15.7</v>
      </c>
      <c r="F341">
        <v>4</v>
      </c>
      <c r="G341">
        <v>2</v>
      </c>
      <c r="H341">
        <v>13</v>
      </c>
      <c r="I341">
        <v>17</v>
      </c>
      <c r="J341" t="s">
        <v>13</v>
      </c>
    </row>
    <row r="342" spans="1:10">
      <c r="A342">
        <v>341</v>
      </c>
      <c r="B342" s="1">
        <v>45009</v>
      </c>
      <c r="C342" t="s">
        <v>14</v>
      </c>
      <c r="D342">
        <v>399</v>
      </c>
      <c r="E342">
        <v>11.7</v>
      </c>
      <c r="F342">
        <v>3</v>
      </c>
      <c r="G342">
        <v>5</v>
      </c>
      <c r="H342">
        <v>26</v>
      </c>
      <c r="I342">
        <v>14</v>
      </c>
      <c r="J342" t="s">
        <v>11</v>
      </c>
    </row>
    <row r="343" spans="1:10">
      <c r="A343">
        <v>342</v>
      </c>
      <c r="B343" s="1">
        <v>45579</v>
      </c>
      <c r="C343" t="s">
        <v>10</v>
      </c>
      <c r="D343">
        <v>699</v>
      </c>
      <c r="E343">
        <v>2.8</v>
      </c>
      <c r="F343">
        <v>6</v>
      </c>
      <c r="G343">
        <v>3</v>
      </c>
      <c r="H343">
        <v>3</v>
      </c>
      <c r="I343">
        <v>35</v>
      </c>
      <c r="J343" t="s">
        <v>11</v>
      </c>
    </row>
    <row r="344" spans="1:10">
      <c r="A344">
        <v>343</v>
      </c>
      <c r="B344" s="1">
        <v>45024</v>
      </c>
      <c r="C344" t="s">
        <v>12</v>
      </c>
      <c r="D344">
        <v>199</v>
      </c>
      <c r="E344">
        <v>2.5</v>
      </c>
      <c r="F344">
        <v>6</v>
      </c>
      <c r="G344">
        <v>5</v>
      </c>
      <c r="H344">
        <v>11</v>
      </c>
      <c r="I344">
        <v>50</v>
      </c>
      <c r="J344" t="s">
        <v>11</v>
      </c>
    </row>
    <row r="345" spans="1:10">
      <c r="A345">
        <v>344</v>
      </c>
      <c r="B345" s="1">
        <v>45627</v>
      </c>
      <c r="C345" t="s">
        <v>10</v>
      </c>
      <c r="D345">
        <v>699</v>
      </c>
      <c r="E345">
        <v>6.1</v>
      </c>
      <c r="F345">
        <v>7</v>
      </c>
      <c r="G345">
        <v>2</v>
      </c>
      <c r="H345">
        <v>3</v>
      </c>
      <c r="I345">
        <v>2</v>
      </c>
      <c r="J345" t="s">
        <v>13</v>
      </c>
    </row>
    <row r="346" spans="1:10">
      <c r="A346">
        <v>345</v>
      </c>
      <c r="B346" s="1">
        <v>44943</v>
      </c>
      <c r="C346" t="s">
        <v>14</v>
      </c>
      <c r="D346">
        <v>399</v>
      </c>
      <c r="E346">
        <v>14.3</v>
      </c>
      <c r="F346">
        <v>0</v>
      </c>
      <c r="G346">
        <v>1</v>
      </c>
      <c r="H346">
        <v>35</v>
      </c>
      <c r="I346">
        <v>59</v>
      </c>
      <c r="J346" t="s">
        <v>13</v>
      </c>
    </row>
    <row r="347" spans="1:10">
      <c r="A347">
        <v>346</v>
      </c>
      <c r="B347" s="1">
        <v>45173</v>
      </c>
      <c r="C347" t="s">
        <v>12</v>
      </c>
      <c r="D347">
        <v>199</v>
      </c>
      <c r="E347">
        <v>18.899999999999999</v>
      </c>
      <c r="F347">
        <v>6</v>
      </c>
      <c r="G347">
        <v>0</v>
      </c>
      <c r="H347">
        <v>10</v>
      </c>
      <c r="I347">
        <v>19</v>
      </c>
      <c r="J347" t="s">
        <v>11</v>
      </c>
    </row>
    <row r="348" spans="1:10">
      <c r="A348">
        <v>347</v>
      </c>
      <c r="B348" s="1">
        <v>45070</v>
      </c>
      <c r="C348" t="s">
        <v>10</v>
      </c>
      <c r="D348">
        <v>699</v>
      </c>
      <c r="E348">
        <v>17.100000000000001</v>
      </c>
      <c r="F348">
        <v>8</v>
      </c>
      <c r="G348">
        <v>2</v>
      </c>
      <c r="H348">
        <v>25</v>
      </c>
      <c r="I348">
        <v>24</v>
      </c>
      <c r="J348" t="s">
        <v>13</v>
      </c>
    </row>
    <row r="349" spans="1:10">
      <c r="A349">
        <v>348</v>
      </c>
      <c r="B349" s="1">
        <v>45004</v>
      </c>
      <c r="C349" t="s">
        <v>10</v>
      </c>
      <c r="D349">
        <v>699</v>
      </c>
      <c r="E349">
        <v>12.8</v>
      </c>
      <c r="F349">
        <v>5</v>
      </c>
      <c r="G349">
        <v>0</v>
      </c>
      <c r="H349">
        <v>6</v>
      </c>
      <c r="I349">
        <v>6</v>
      </c>
      <c r="J349" t="s">
        <v>13</v>
      </c>
    </row>
    <row r="350" spans="1:10">
      <c r="A350">
        <v>349</v>
      </c>
      <c r="B350" s="1">
        <v>45388</v>
      </c>
      <c r="C350" t="s">
        <v>14</v>
      </c>
      <c r="D350">
        <v>399</v>
      </c>
      <c r="E350">
        <v>24.2</v>
      </c>
      <c r="F350">
        <v>5</v>
      </c>
      <c r="G350">
        <v>0</v>
      </c>
      <c r="H350">
        <v>26</v>
      </c>
      <c r="I350">
        <v>40</v>
      </c>
      <c r="J350" t="s">
        <v>11</v>
      </c>
    </row>
    <row r="351" spans="1:10">
      <c r="A351">
        <v>350</v>
      </c>
      <c r="B351" s="1">
        <v>45603</v>
      </c>
      <c r="C351" t="s">
        <v>14</v>
      </c>
      <c r="D351">
        <v>399</v>
      </c>
      <c r="E351">
        <v>9.1999999999999993</v>
      </c>
      <c r="F351">
        <v>6</v>
      </c>
      <c r="G351">
        <v>3</v>
      </c>
      <c r="H351">
        <v>15</v>
      </c>
      <c r="I351">
        <v>11</v>
      </c>
      <c r="J351" t="s">
        <v>13</v>
      </c>
    </row>
    <row r="352" spans="1:10">
      <c r="A352">
        <v>351</v>
      </c>
      <c r="B352" s="1">
        <v>45201</v>
      </c>
      <c r="C352" t="s">
        <v>14</v>
      </c>
      <c r="D352">
        <v>399</v>
      </c>
      <c r="E352">
        <v>19.399999999999999</v>
      </c>
      <c r="F352">
        <v>4</v>
      </c>
      <c r="G352">
        <v>1</v>
      </c>
      <c r="H352">
        <v>6</v>
      </c>
      <c r="I352">
        <v>45</v>
      </c>
      <c r="J352" t="s">
        <v>11</v>
      </c>
    </row>
    <row r="353" spans="1:10">
      <c r="A353">
        <v>352</v>
      </c>
      <c r="B353" s="1">
        <v>45036</v>
      </c>
      <c r="C353" t="s">
        <v>12</v>
      </c>
      <c r="D353">
        <v>199</v>
      </c>
      <c r="E353">
        <v>17.899999999999999</v>
      </c>
      <c r="F353">
        <v>2</v>
      </c>
      <c r="G353">
        <v>5</v>
      </c>
      <c r="H353">
        <v>25</v>
      </c>
      <c r="I353">
        <v>24</v>
      </c>
      <c r="J353" t="s">
        <v>11</v>
      </c>
    </row>
    <row r="354" spans="1:10">
      <c r="A354">
        <v>353</v>
      </c>
      <c r="B354" s="1">
        <v>45062</v>
      </c>
      <c r="C354" t="s">
        <v>12</v>
      </c>
      <c r="D354">
        <v>199</v>
      </c>
      <c r="E354">
        <v>23.6</v>
      </c>
      <c r="F354">
        <v>7</v>
      </c>
      <c r="G354">
        <v>2</v>
      </c>
      <c r="H354">
        <v>1</v>
      </c>
      <c r="I354">
        <v>48</v>
      </c>
      <c r="J354" t="s">
        <v>11</v>
      </c>
    </row>
    <row r="355" spans="1:10">
      <c r="A355">
        <v>354</v>
      </c>
      <c r="B355" s="1">
        <v>44953</v>
      </c>
      <c r="C355" t="s">
        <v>12</v>
      </c>
      <c r="D355">
        <v>199</v>
      </c>
      <c r="E355">
        <v>11.1</v>
      </c>
      <c r="F355">
        <v>8</v>
      </c>
      <c r="G355">
        <v>4</v>
      </c>
      <c r="H355">
        <v>12</v>
      </c>
      <c r="I355">
        <v>32</v>
      </c>
      <c r="J355" t="s">
        <v>11</v>
      </c>
    </row>
    <row r="356" spans="1:10">
      <c r="A356">
        <v>355</v>
      </c>
      <c r="B356" s="1">
        <v>45324</v>
      </c>
      <c r="C356" t="s">
        <v>12</v>
      </c>
      <c r="D356">
        <v>199</v>
      </c>
      <c r="E356">
        <v>14.1</v>
      </c>
      <c r="F356">
        <v>5</v>
      </c>
      <c r="G356">
        <v>3</v>
      </c>
      <c r="H356">
        <v>23</v>
      </c>
      <c r="I356">
        <v>0</v>
      </c>
      <c r="J356" t="s">
        <v>11</v>
      </c>
    </row>
    <row r="357" spans="1:10">
      <c r="A357">
        <v>356</v>
      </c>
      <c r="B357" s="1">
        <v>45316</v>
      </c>
      <c r="C357" t="s">
        <v>12</v>
      </c>
      <c r="D357">
        <v>199</v>
      </c>
      <c r="E357">
        <v>22.7</v>
      </c>
      <c r="F357">
        <v>3</v>
      </c>
      <c r="G357">
        <v>4</v>
      </c>
      <c r="H357">
        <v>36</v>
      </c>
      <c r="I357">
        <v>33</v>
      </c>
      <c r="J357" t="s">
        <v>11</v>
      </c>
    </row>
    <row r="358" spans="1:10">
      <c r="A358">
        <v>357</v>
      </c>
      <c r="B358" s="1">
        <v>45372</v>
      </c>
      <c r="C358" t="s">
        <v>12</v>
      </c>
      <c r="D358">
        <v>199</v>
      </c>
      <c r="E358">
        <v>7.1</v>
      </c>
      <c r="F358">
        <v>4</v>
      </c>
      <c r="G358">
        <v>3</v>
      </c>
      <c r="H358">
        <v>9</v>
      </c>
      <c r="I358">
        <v>9</v>
      </c>
      <c r="J358" t="s">
        <v>11</v>
      </c>
    </row>
    <row r="359" spans="1:10">
      <c r="A359">
        <v>358</v>
      </c>
      <c r="B359" s="1">
        <v>45567</v>
      </c>
      <c r="C359" t="s">
        <v>14</v>
      </c>
      <c r="D359">
        <v>399</v>
      </c>
      <c r="E359">
        <v>7.8</v>
      </c>
      <c r="F359">
        <v>1</v>
      </c>
      <c r="G359">
        <v>2</v>
      </c>
      <c r="H359">
        <v>27</v>
      </c>
      <c r="I359">
        <v>16</v>
      </c>
      <c r="J359" t="s">
        <v>13</v>
      </c>
    </row>
    <row r="360" spans="1:10">
      <c r="A360">
        <v>359</v>
      </c>
      <c r="B360" s="1">
        <v>45267</v>
      </c>
      <c r="C360" t="s">
        <v>14</v>
      </c>
      <c r="D360">
        <v>399</v>
      </c>
      <c r="E360">
        <v>11.7</v>
      </c>
      <c r="F360">
        <v>2</v>
      </c>
      <c r="G360">
        <v>2</v>
      </c>
      <c r="H360">
        <v>13</v>
      </c>
      <c r="I360">
        <v>0</v>
      </c>
      <c r="J360" t="s">
        <v>13</v>
      </c>
    </row>
    <row r="361" spans="1:10">
      <c r="A361">
        <v>360</v>
      </c>
      <c r="B361" s="1">
        <v>45593</v>
      </c>
      <c r="C361" t="s">
        <v>10</v>
      </c>
      <c r="D361">
        <v>699</v>
      </c>
      <c r="E361">
        <v>20.2</v>
      </c>
      <c r="F361">
        <v>5</v>
      </c>
      <c r="G361">
        <v>3</v>
      </c>
      <c r="H361">
        <v>25</v>
      </c>
      <c r="I361">
        <v>21</v>
      </c>
      <c r="J361" t="s">
        <v>11</v>
      </c>
    </row>
    <row r="362" spans="1:10">
      <c r="A362">
        <v>361</v>
      </c>
      <c r="B362" s="1">
        <v>45334</v>
      </c>
      <c r="C362" t="s">
        <v>10</v>
      </c>
      <c r="D362">
        <v>699</v>
      </c>
      <c r="E362">
        <v>7.9</v>
      </c>
      <c r="F362">
        <v>3</v>
      </c>
      <c r="G362">
        <v>3</v>
      </c>
      <c r="H362">
        <v>9</v>
      </c>
      <c r="I362">
        <v>20</v>
      </c>
      <c r="J362" t="s">
        <v>11</v>
      </c>
    </row>
    <row r="363" spans="1:10">
      <c r="A363">
        <v>362</v>
      </c>
      <c r="B363" s="1">
        <v>45312</v>
      </c>
      <c r="C363" t="s">
        <v>14</v>
      </c>
      <c r="D363">
        <v>399</v>
      </c>
      <c r="E363">
        <v>18.5</v>
      </c>
      <c r="F363">
        <v>7</v>
      </c>
      <c r="G363">
        <v>4</v>
      </c>
      <c r="H363">
        <v>19</v>
      </c>
      <c r="I363">
        <v>50</v>
      </c>
      <c r="J363" t="s">
        <v>11</v>
      </c>
    </row>
    <row r="364" spans="1:10">
      <c r="A364">
        <v>363</v>
      </c>
      <c r="B364" s="1">
        <v>45490</v>
      </c>
      <c r="C364" t="s">
        <v>14</v>
      </c>
      <c r="D364">
        <v>399</v>
      </c>
      <c r="E364">
        <v>9.4</v>
      </c>
      <c r="F364">
        <v>3</v>
      </c>
      <c r="G364">
        <v>4</v>
      </c>
      <c r="H364">
        <v>26</v>
      </c>
      <c r="I364">
        <v>34</v>
      </c>
      <c r="J364" t="s">
        <v>11</v>
      </c>
    </row>
    <row r="365" spans="1:10">
      <c r="A365">
        <v>364</v>
      </c>
      <c r="B365" s="1">
        <v>45636</v>
      </c>
      <c r="C365" t="s">
        <v>12</v>
      </c>
      <c r="D365">
        <v>199</v>
      </c>
      <c r="E365">
        <v>23.6</v>
      </c>
      <c r="F365">
        <v>3</v>
      </c>
      <c r="G365">
        <v>3</v>
      </c>
      <c r="H365">
        <v>30</v>
      </c>
      <c r="I365">
        <v>51</v>
      </c>
      <c r="J365" t="s">
        <v>11</v>
      </c>
    </row>
    <row r="366" spans="1:10">
      <c r="A366">
        <v>365</v>
      </c>
      <c r="B366" s="1">
        <v>45601</v>
      </c>
      <c r="C366" t="s">
        <v>12</v>
      </c>
      <c r="D366">
        <v>199</v>
      </c>
      <c r="E366">
        <v>17</v>
      </c>
      <c r="F366">
        <v>2</v>
      </c>
      <c r="G366">
        <v>5</v>
      </c>
      <c r="H366">
        <v>27</v>
      </c>
      <c r="I366">
        <v>19</v>
      </c>
      <c r="J366" t="s">
        <v>11</v>
      </c>
    </row>
    <row r="367" spans="1:10">
      <c r="A367">
        <v>366</v>
      </c>
      <c r="B367" s="1">
        <v>45337</v>
      </c>
      <c r="C367" t="s">
        <v>12</v>
      </c>
      <c r="D367">
        <v>199</v>
      </c>
      <c r="E367">
        <v>19.8</v>
      </c>
      <c r="F367">
        <v>1</v>
      </c>
      <c r="G367">
        <v>3</v>
      </c>
      <c r="H367">
        <v>28</v>
      </c>
      <c r="I367">
        <v>38</v>
      </c>
      <c r="J367" t="s">
        <v>11</v>
      </c>
    </row>
    <row r="368" spans="1:10">
      <c r="A368">
        <v>367</v>
      </c>
      <c r="B368" s="1">
        <v>45295</v>
      </c>
      <c r="C368" t="s">
        <v>10</v>
      </c>
      <c r="D368">
        <v>699</v>
      </c>
      <c r="E368">
        <v>23.1</v>
      </c>
      <c r="F368">
        <v>6</v>
      </c>
      <c r="G368">
        <v>4</v>
      </c>
      <c r="H368">
        <v>33</v>
      </c>
      <c r="I368">
        <v>2</v>
      </c>
      <c r="J368" t="s">
        <v>13</v>
      </c>
    </row>
    <row r="369" spans="1:10">
      <c r="A369">
        <v>368</v>
      </c>
      <c r="B369" s="1">
        <v>45607</v>
      </c>
      <c r="C369" t="s">
        <v>10</v>
      </c>
      <c r="D369">
        <v>699</v>
      </c>
      <c r="E369">
        <v>15</v>
      </c>
      <c r="F369">
        <v>1</v>
      </c>
      <c r="G369">
        <v>0</v>
      </c>
      <c r="H369">
        <v>35</v>
      </c>
      <c r="I369">
        <v>49</v>
      </c>
      <c r="J369" t="s">
        <v>11</v>
      </c>
    </row>
    <row r="370" spans="1:10">
      <c r="A370">
        <v>369</v>
      </c>
      <c r="B370" s="1">
        <v>45336</v>
      </c>
      <c r="C370" t="s">
        <v>14</v>
      </c>
      <c r="D370">
        <v>399</v>
      </c>
      <c r="E370">
        <v>16.399999999999999</v>
      </c>
      <c r="F370">
        <v>0</v>
      </c>
      <c r="G370">
        <v>4</v>
      </c>
      <c r="H370">
        <v>11</v>
      </c>
      <c r="I370">
        <v>41</v>
      </c>
      <c r="J370" t="s">
        <v>13</v>
      </c>
    </row>
    <row r="371" spans="1:10">
      <c r="A371">
        <v>370</v>
      </c>
      <c r="B371" s="1">
        <v>45458</v>
      </c>
      <c r="C371" t="s">
        <v>14</v>
      </c>
      <c r="D371">
        <v>399</v>
      </c>
      <c r="E371">
        <v>3.1</v>
      </c>
      <c r="F371">
        <v>1</v>
      </c>
      <c r="G371">
        <v>2</v>
      </c>
      <c r="H371">
        <v>28</v>
      </c>
      <c r="I371">
        <v>14</v>
      </c>
      <c r="J371" t="s">
        <v>11</v>
      </c>
    </row>
    <row r="372" spans="1:10">
      <c r="A372">
        <v>371</v>
      </c>
      <c r="B372" s="1">
        <v>45634</v>
      </c>
      <c r="C372" t="s">
        <v>10</v>
      </c>
      <c r="D372">
        <v>699</v>
      </c>
      <c r="E372">
        <v>11.4</v>
      </c>
      <c r="F372">
        <v>6</v>
      </c>
      <c r="G372">
        <v>3</v>
      </c>
      <c r="H372">
        <v>15</v>
      </c>
      <c r="I372">
        <v>49</v>
      </c>
      <c r="J372" t="s">
        <v>11</v>
      </c>
    </row>
    <row r="373" spans="1:10">
      <c r="A373">
        <v>372</v>
      </c>
      <c r="B373" s="1">
        <v>45014</v>
      </c>
      <c r="C373" t="s">
        <v>10</v>
      </c>
      <c r="D373">
        <v>699</v>
      </c>
      <c r="E373">
        <v>9</v>
      </c>
      <c r="F373">
        <v>0</v>
      </c>
      <c r="G373">
        <v>3</v>
      </c>
      <c r="H373">
        <v>10</v>
      </c>
      <c r="I373">
        <v>6</v>
      </c>
      <c r="J373" t="s">
        <v>11</v>
      </c>
    </row>
    <row r="374" spans="1:10">
      <c r="A374">
        <v>373</v>
      </c>
      <c r="B374" s="1">
        <v>45421</v>
      </c>
      <c r="C374" t="s">
        <v>12</v>
      </c>
      <c r="D374">
        <v>199</v>
      </c>
      <c r="E374">
        <v>9</v>
      </c>
      <c r="F374">
        <v>5</v>
      </c>
      <c r="G374">
        <v>3</v>
      </c>
      <c r="H374">
        <v>10</v>
      </c>
      <c r="I374">
        <v>50</v>
      </c>
      <c r="J374" t="s">
        <v>11</v>
      </c>
    </row>
    <row r="375" spans="1:10">
      <c r="A375">
        <v>374</v>
      </c>
      <c r="B375" s="1">
        <v>45654</v>
      </c>
      <c r="C375" t="s">
        <v>14</v>
      </c>
      <c r="D375">
        <v>399</v>
      </c>
      <c r="E375">
        <v>2.9</v>
      </c>
      <c r="F375">
        <v>7</v>
      </c>
      <c r="G375">
        <v>2</v>
      </c>
      <c r="H375">
        <v>31</v>
      </c>
      <c r="I375">
        <v>4</v>
      </c>
      <c r="J375" t="s">
        <v>11</v>
      </c>
    </row>
    <row r="376" spans="1:10">
      <c r="A376">
        <v>375</v>
      </c>
      <c r="B376" s="1">
        <v>45176</v>
      </c>
      <c r="C376" t="s">
        <v>12</v>
      </c>
      <c r="D376">
        <v>199</v>
      </c>
      <c r="E376">
        <v>21.3</v>
      </c>
      <c r="F376">
        <v>1</v>
      </c>
      <c r="G376">
        <v>5</v>
      </c>
      <c r="H376">
        <v>2</v>
      </c>
      <c r="I376">
        <v>51</v>
      </c>
      <c r="J376" t="s">
        <v>11</v>
      </c>
    </row>
    <row r="377" spans="1:10">
      <c r="A377">
        <v>376</v>
      </c>
      <c r="B377" s="1">
        <v>45164</v>
      </c>
      <c r="C377" t="s">
        <v>10</v>
      </c>
      <c r="D377">
        <v>699</v>
      </c>
      <c r="E377">
        <v>14</v>
      </c>
      <c r="F377">
        <v>5</v>
      </c>
      <c r="G377">
        <v>4</v>
      </c>
      <c r="H377">
        <v>12</v>
      </c>
      <c r="I377">
        <v>27</v>
      </c>
      <c r="J377" t="s">
        <v>13</v>
      </c>
    </row>
    <row r="378" spans="1:10">
      <c r="A378">
        <v>377</v>
      </c>
      <c r="B378" s="1">
        <v>45129</v>
      </c>
      <c r="C378" t="s">
        <v>14</v>
      </c>
      <c r="D378">
        <v>399</v>
      </c>
      <c r="E378">
        <v>5.0999999999999996</v>
      </c>
      <c r="F378">
        <v>6</v>
      </c>
      <c r="G378">
        <v>3</v>
      </c>
      <c r="H378">
        <v>12</v>
      </c>
      <c r="I378">
        <v>1</v>
      </c>
      <c r="J378" t="s">
        <v>13</v>
      </c>
    </row>
    <row r="379" spans="1:10">
      <c r="A379">
        <v>378</v>
      </c>
      <c r="B379" s="1">
        <v>44991</v>
      </c>
      <c r="C379" t="s">
        <v>14</v>
      </c>
      <c r="D379">
        <v>399</v>
      </c>
      <c r="E379">
        <v>10</v>
      </c>
      <c r="F379">
        <v>3</v>
      </c>
      <c r="G379">
        <v>1</v>
      </c>
      <c r="H379">
        <v>28</v>
      </c>
      <c r="I379">
        <v>17</v>
      </c>
      <c r="J379" t="s">
        <v>13</v>
      </c>
    </row>
    <row r="380" spans="1:10">
      <c r="A380">
        <v>379</v>
      </c>
      <c r="B380" s="1">
        <v>45395</v>
      </c>
      <c r="C380" t="s">
        <v>10</v>
      </c>
      <c r="D380">
        <v>699</v>
      </c>
      <c r="E380">
        <v>20.100000000000001</v>
      </c>
      <c r="F380">
        <v>8</v>
      </c>
      <c r="G380">
        <v>1</v>
      </c>
      <c r="H380">
        <v>7</v>
      </c>
      <c r="I380">
        <v>23</v>
      </c>
      <c r="J380" t="s">
        <v>11</v>
      </c>
    </row>
    <row r="381" spans="1:10">
      <c r="A381">
        <v>380</v>
      </c>
      <c r="B381" s="1">
        <v>45324</v>
      </c>
      <c r="C381" t="s">
        <v>12</v>
      </c>
      <c r="D381">
        <v>199</v>
      </c>
      <c r="E381">
        <v>16.899999999999999</v>
      </c>
      <c r="F381">
        <v>7</v>
      </c>
      <c r="G381">
        <v>4</v>
      </c>
      <c r="H381">
        <v>17</v>
      </c>
      <c r="I381">
        <v>40</v>
      </c>
      <c r="J381" t="s">
        <v>11</v>
      </c>
    </row>
    <row r="382" spans="1:10">
      <c r="A382">
        <v>381</v>
      </c>
      <c r="B382" s="1">
        <v>45103</v>
      </c>
      <c r="C382" t="s">
        <v>10</v>
      </c>
      <c r="D382">
        <v>699</v>
      </c>
      <c r="E382">
        <v>14.9</v>
      </c>
      <c r="F382">
        <v>5</v>
      </c>
      <c r="G382">
        <v>2</v>
      </c>
      <c r="H382">
        <v>26</v>
      </c>
      <c r="I382">
        <v>54</v>
      </c>
      <c r="J382" t="s">
        <v>11</v>
      </c>
    </row>
    <row r="383" spans="1:10">
      <c r="A383">
        <v>382</v>
      </c>
      <c r="B383" s="1">
        <v>45171</v>
      </c>
      <c r="C383" t="s">
        <v>10</v>
      </c>
      <c r="D383">
        <v>699</v>
      </c>
      <c r="E383">
        <v>23</v>
      </c>
      <c r="F383">
        <v>1</v>
      </c>
      <c r="G383">
        <v>5</v>
      </c>
      <c r="H383">
        <v>20</v>
      </c>
      <c r="I383">
        <v>8</v>
      </c>
      <c r="J383" t="s">
        <v>11</v>
      </c>
    </row>
    <row r="384" spans="1:10">
      <c r="A384">
        <v>383</v>
      </c>
      <c r="B384" s="1">
        <v>45068</v>
      </c>
      <c r="C384" t="s">
        <v>14</v>
      </c>
      <c r="D384">
        <v>399</v>
      </c>
      <c r="E384">
        <v>5</v>
      </c>
      <c r="F384">
        <v>2</v>
      </c>
      <c r="G384">
        <v>4</v>
      </c>
      <c r="H384">
        <v>8</v>
      </c>
      <c r="I384">
        <v>24</v>
      </c>
      <c r="J384" t="s">
        <v>11</v>
      </c>
    </row>
    <row r="385" spans="1:10">
      <c r="A385">
        <v>384</v>
      </c>
      <c r="B385" s="1">
        <v>45587</v>
      </c>
      <c r="C385" t="s">
        <v>10</v>
      </c>
      <c r="D385">
        <v>699</v>
      </c>
      <c r="E385">
        <v>10.9</v>
      </c>
      <c r="F385">
        <v>7</v>
      </c>
      <c r="G385">
        <v>5</v>
      </c>
      <c r="H385">
        <v>25</v>
      </c>
      <c r="I385">
        <v>34</v>
      </c>
      <c r="J385" t="s">
        <v>11</v>
      </c>
    </row>
    <row r="386" spans="1:10">
      <c r="A386">
        <v>385</v>
      </c>
      <c r="B386" s="1">
        <v>45388</v>
      </c>
      <c r="C386" t="s">
        <v>12</v>
      </c>
      <c r="D386">
        <v>199</v>
      </c>
      <c r="E386">
        <v>4.5999999999999996</v>
      </c>
      <c r="F386">
        <v>4</v>
      </c>
      <c r="G386">
        <v>1</v>
      </c>
      <c r="H386">
        <v>36</v>
      </c>
      <c r="I386">
        <v>11</v>
      </c>
      <c r="J386" t="s">
        <v>11</v>
      </c>
    </row>
    <row r="387" spans="1:10">
      <c r="A387">
        <v>386</v>
      </c>
      <c r="B387" s="1">
        <v>45320</v>
      </c>
      <c r="C387" t="s">
        <v>10</v>
      </c>
      <c r="D387">
        <v>699</v>
      </c>
      <c r="E387">
        <v>21.7</v>
      </c>
      <c r="F387">
        <v>0</v>
      </c>
      <c r="G387">
        <v>3</v>
      </c>
      <c r="H387">
        <v>4</v>
      </c>
      <c r="I387">
        <v>8</v>
      </c>
      <c r="J387" t="s">
        <v>11</v>
      </c>
    </row>
    <row r="388" spans="1:10">
      <c r="A388">
        <v>387</v>
      </c>
      <c r="B388" s="1">
        <v>45381</v>
      </c>
      <c r="C388" t="s">
        <v>10</v>
      </c>
      <c r="D388">
        <v>699</v>
      </c>
      <c r="E388">
        <v>16.5</v>
      </c>
      <c r="F388">
        <v>6</v>
      </c>
      <c r="G388">
        <v>5</v>
      </c>
      <c r="H388">
        <v>33</v>
      </c>
      <c r="I388">
        <v>31</v>
      </c>
      <c r="J388" t="s">
        <v>11</v>
      </c>
    </row>
    <row r="389" spans="1:10">
      <c r="A389">
        <v>388</v>
      </c>
      <c r="B389" s="1">
        <v>45157</v>
      </c>
      <c r="C389" t="s">
        <v>14</v>
      </c>
      <c r="D389">
        <v>399</v>
      </c>
      <c r="E389">
        <v>2.5</v>
      </c>
      <c r="F389">
        <v>0</v>
      </c>
      <c r="G389">
        <v>1</v>
      </c>
      <c r="H389">
        <v>11</v>
      </c>
      <c r="I389">
        <v>18</v>
      </c>
      <c r="J389" t="s">
        <v>11</v>
      </c>
    </row>
    <row r="390" spans="1:10">
      <c r="A390">
        <v>389</v>
      </c>
      <c r="B390" s="1">
        <v>45434</v>
      </c>
      <c r="C390" t="s">
        <v>10</v>
      </c>
      <c r="D390">
        <v>699</v>
      </c>
      <c r="E390">
        <v>4.5999999999999996</v>
      </c>
      <c r="F390">
        <v>7</v>
      </c>
      <c r="G390">
        <v>4</v>
      </c>
      <c r="H390">
        <v>19</v>
      </c>
      <c r="I390">
        <v>47</v>
      </c>
      <c r="J390" t="s">
        <v>11</v>
      </c>
    </row>
    <row r="391" spans="1:10">
      <c r="A391">
        <v>390</v>
      </c>
      <c r="B391" s="1">
        <v>45302</v>
      </c>
      <c r="C391" t="s">
        <v>10</v>
      </c>
      <c r="D391">
        <v>699</v>
      </c>
      <c r="E391">
        <v>3.3</v>
      </c>
      <c r="F391">
        <v>1</v>
      </c>
      <c r="G391">
        <v>2</v>
      </c>
      <c r="H391">
        <v>33</v>
      </c>
      <c r="I391">
        <v>49</v>
      </c>
      <c r="J391" t="s">
        <v>11</v>
      </c>
    </row>
    <row r="392" spans="1:10">
      <c r="A392">
        <v>391</v>
      </c>
      <c r="B392" s="1">
        <v>45031</v>
      </c>
      <c r="C392" t="s">
        <v>10</v>
      </c>
      <c r="D392">
        <v>699</v>
      </c>
      <c r="E392">
        <v>19.100000000000001</v>
      </c>
      <c r="F392">
        <v>7</v>
      </c>
      <c r="G392">
        <v>4</v>
      </c>
      <c r="H392">
        <v>3</v>
      </c>
      <c r="I392">
        <v>13</v>
      </c>
      <c r="J392" t="s">
        <v>13</v>
      </c>
    </row>
    <row r="393" spans="1:10">
      <c r="A393">
        <v>392</v>
      </c>
      <c r="B393" s="1">
        <v>45016</v>
      </c>
      <c r="C393" t="s">
        <v>10</v>
      </c>
      <c r="D393">
        <v>699</v>
      </c>
      <c r="E393">
        <v>7.8</v>
      </c>
      <c r="F393">
        <v>0</v>
      </c>
      <c r="G393">
        <v>3</v>
      </c>
      <c r="H393">
        <v>16</v>
      </c>
      <c r="I393">
        <v>16</v>
      </c>
      <c r="J393" t="s">
        <v>11</v>
      </c>
    </row>
    <row r="394" spans="1:10">
      <c r="A394">
        <v>393</v>
      </c>
      <c r="B394" s="1">
        <v>45632</v>
      </c>
      <c r="C394" t="s">
        <v>14</v>
      </c>
      <c r="D394">
        <v>399</v>
      </c>
      <c r="E394">
        <v>19.5</v>
      </c>
      <c r="F394">
        <v>3</v>
      </c>
      <c r="G394">
        <v>1</v>
      </c>
      <c r="H394">
        <v>8</v>
      </c>
      <c r="I394">
        <v>51</v>
      </c>
      <c r="J394" t="s">
        <v>13</v>
      </c>
    </row>
    <row r="395" spans="1:10">
      <c r="A395">
        <v>394</v>
      </c>
      <c r="B395" s="1">
        <v>44987</v>
      </c>
      <c r="C395" t="s">
        <v>14</v>
      </c>
      <c r="D395">
        <v>399</v>
      </c>
      <c r="E395">
        <v>4.5999999999999996</v>
      </c>
      <c r="F395">
        <v>2</v>
      </c>
      <c r="G395">
        <v>1</v>
      </c>
      <c r="H395">
        <v>28</v>
      </c>
      <c r="I395">
        <v>52</v>
      </c>
      <c r="J395" t="s">
        <v>11</v>
      </c>
    </row>
    <row r="396" spans="1:10">
      <c r="A396">
        <v>395</v>
      </c>
      <c r="B396" s="1">
        <v>45226</v>
      </c>
      <c r="C396" t="s">
        <v>10</v>
      </c>
      <c r="D396">
        <v>699</v>
      </c>
      <c r="E396">
        <v>13.5</v>
      </c>
      <c r="F396">
        <v>8</v>
      </c>
      <c r="G396">
        <v>1</v>
      </c>
      <c r="H396">
        <v>23</v>
      </c>
      <c r="I396">
        <v>20</v>
      </c>
      <c r="J396" t="s">
        <v>13</v>
      </c>
    </row>
    <row r="397" spans="1:10">
      <c r="A397">
        <v>396</v>
      </c>
      <c r="B397" s="1">
        <v>45348</v>
      </c>
      <c r="C397" t="s">
        <v>14</v>
      </c>
      <c r="D397">
        <v>399</v>
      </c>
      <c r="E397">
        <v>23.8</v>
      </c>
      <c r="F397">
        <v>8</v>
      </c>
      <c r="G397">
        <v>5</v>
      </c>
      <c r="H397">
        <v>18</v>
      </c>
      <c r="I397">
        <v>52</v>
      </c>
      <c r="J397" t="s">
        <v>11</v>
      </c>
    </row>
    <row r="398" spans="1:10">
      <c r="A398">
        <v>397</v>
      </c>
      <c r="B398" s="1">
        <v>45076</v>
      </c>
      <c r="C398" t="s">
        <v>12</v>
      </c>
      <c r="D398">
        <v>199</v>
      </c>
      <c r="E398">
        <v>21.7</v>
      </c>
      <c r="F398">
        <v>2</v>
      </c>
      <c r="G398">
        <v>5</v>
      </c>
      <c r="H398">
        <v>18</v>
      </c>
      <c r="I398">
        <v>55</v>
      </c>
      <c r="J398" t="s">
        <v>11</v>
      </c>
    </row>
    <row r="399" spans="1:10">
      <c r="A399">
        <v>398</v>
      </c>
      <c r="B399" s="1">
        <v>45202</v>
      </c>
      <c r="C399" t="s">
        <v>10</v>
      </c>
      <c r="D399">
        <v>699</v>
      </c>
      <c r="E399">
        <v>20.8</v>
      </c>
      <c r="F399">
        <v>6</v>
      </c>
      <c r="G399">
        <v>3</v>
      </c>
      <c r="H399">
        <v>21</v>
      </c>
      <c r="I399">
        <v>9</v>
      </c>
      <c r="J399" t="s">
        <v>13</v>
      </c>
    </row>
    <row r="400" spans="1:10">
      <c r="A400">
        <v>399</v>
      </c>
      <c r="B400" s="1">
        <v>45022</v>
      </c>
      <c r="C400" t="s">
        <v>10</v>
      </c>
      <c r="D400">
        <v>699</v>
      </c>
      <c r="E400">
        <v>9.6999999999999993</v>
      </c>
      <c r="F400">
        <v>1</v>
      </c>
      <c r="G400">
        <v>5</v>
      </c>
      <c r="H400">
        <v>27</v>
      </c>
      <c r="I400">
        <v>50</v>
      </c>
      <c r="J400" t="s">
        <v>13</v>
      </c>
    </row>
    <row r="401" spans="1:10">
      <c r="A401">
        <v>400</v>
      </c>
      <c r="B401" s="1">
        <v>45522</v>
      </c>
      <c r="C401" t="s">
        <v>14</v>
      </c>
      <c r="D401">
        <v>399</v>
      </c>
      <c r="E401">
        <v>18.899999999999999</v>
      </c>
      <c r="F401">
        <v>5</v>
      </c>
      <c r="G401">
        <v>3</v>
      </c>
      <c r="H401">
        <v>33</v>
      </c>
      <c r="I401">
        <v>60</v>
      </c>
      <c r="J401" t="s">
        <v>11</v>
      </c>
    </row>
    <row r="402" spans="1:10">
      <c r="A402">
        <v>401</v>
      </c>
      <c r="B402" s="1">
        <v>44991</v>
      </c>
      <c r="C402" t="s">
        <v>12</v>
      </c>
      <c r="D402">
        <v>199</v>
      </c>
      <c r="E402">
        <v>18.399999999999999</v>
      </c>
      <c r="F402">
        <v>7</v>
      </c>
      <c r="G402">
        <v>5</v>
      </c>
      <c r="H402">
        <v>6</v>
      </c>
      <c r="I402">
        <v>42</v>
      </c>
      <c r="J402" t="s">
        <v>11</v>
      </c>
    </row>
    <row r="403" spans="1:10">
      <c r="A403">
        <v>402</v>
      </c>
      <c r="B403" s="1">
        <v>45217</v>
      </c>
      <c r="C403" t="s">
        <v>10</v>
      </c>
      <c r="D403">
        <v>699</v>
      </c>
      <c r="E403">
        <v>5.8</v>
      </c>
      <c r="F403">
        <v>6</v>
      </c>
      <c r="G403">
        <v>1</v>
      </c>
      <c r="H403">
        <v>26</v>
      </c>
      <c r="I403">
        <v>31</v>
      </c>
      <c r="J403" t="s">
        <v>11</v>
      </c>
    </row>
    <row r="404" spans="1:10">
      <c r="A404">
        <v>403</v>
      </c>
      <c r="B404" s="1">
        <v>44976</v>
      </c>
      <c r="C404" t="s">
        <v>14</v>
      </c>
      <c r="D404">
        <v>399</v>
      </c>
      <c r="E404">
        <v>14.7</v>
      </c>
      <c r="F404">
        <v>7</v>
      </c>
      <c r="G404">
        <v>2</v>
      </c>
      <c r="H404">
        <v>36</v>
      </c>
      <c r="I404">
        <v>57</v>
      </c>
      <c r="J404" t="s">
        <v>11</v>
      </c>
    </row>
    <row r="405" spans="1:10">
      <c r="A405">
        <v>404</v>
      </c>
      <c r="B405" s="1">
        <v>45088</v>
      </c>
      <c r="C405" t="s">
        <v>12</v>
      </c>
      <c r="D405">
        <v>199</v>
      </c>
      <c r="E405">
        <v>15.8</v>
      </c>
      <c r="F405">
        <v>7</v>
      </c>
      <c r="G405">
        <v>0</v>
      </c>
      <c r="H405">
        <v>7</v>
      </c>
      <c r="I405">
        <v>7</v>
      </c>
      <c r="J405" t="s">
        <v>13</v>
      </c>
    </row>
    <row r="406" spans="1:10">
      <c r="A406">
        <v>405</v>
      </c>
      <c r="B406" s="1">
        <v>45592</v>
      </c>
      <c r="C406" t="s">
        <v>14</v>
      </c>
      <c r="D406">
        <v>399</v>
      </c>
      <c r="E406">
        <v>0.5</v>
      </c>
      <c r="F406">
        <v>6</v>
      </c>
      <c r="G406">
        <v>1</v>
      </c>
      <c r="H406">
        <v>30</v>
      </c>
      <c r="I406">
        <v>44</v>
      </c>
      <c r="J406" t="s">
        <v>13</v>
      </c>
    </row>
    <row r="407" spans="1:10">
      <c r="A407">
        <v>406</v>
      </c>
      <c r="B407" s="1">
        <v>45011</v>
      </c>
      <c r="C407" t="s">
        <v>14</v>
      </c>
      <c r="D407">
        <v>399</v>
      </c>
      <c r="E407">
        <v>21.9</v>
      </c>
      <c r="F407">
        <v>4</v>
      </c>
      <c r="G407">
        <v>0</v>
      </c>
      <c r="H407">
        <v>11</v>
      </c>
      <c r="I407">
        <v>41</v>
      </c>
      <c r="J407" t="s">
        <v>11</v>
      </c>
    </row>
    <row r="408" spans="1:10">
      <c r="A408">
        <v>407</v>
      </c>
      <c r="B408" s="1">
        <v>45366</v>
      </c>
      <c r="C408" t="s">
        <v>14</v>
      </c>
      <c r="D408">
        <v>399</v>
      </c>
      <c r="E408">
        <v>1.8</v>
      </c>
      <c r="F408">
        <v>4</v>
      </c>
      <c r="G408">
        <v>5</v>
      </c>
      <c r="H408">
        <v>11</v>
      </c>
      <c r="I408">
        <v>44</v>
      </c>
      <c r="J408" t="s">
        <v>11</v>
      </c>
    </row>
    <row r="409" spans="1:10">
      <c r="A409">
        <v>408</v>
      </c>
      <c r="B409" s="1">
        <v>45534</v>
      </c>
      <c r="C409" t="s">
        <v>10</v>
      </c>
      <c r="D409">
        <v>699</v>
      </c>
      <c r="E409">
        <v>17.7</v>
      </c>
      <c r="F409">
        <v>0</v>
      </c>
      <c r="G409">
        <v>1</v>
      </c>
      <c r="H409">
        <v>6</v>
      </c>
      <c r="I409">
        <v>30</v>
      </c>
      <c r="J409" t="s">
        <v>11</v>
      </c>
    </row>
    <row r="410" spans="1:10">
      <c r="A410">
        <v>409</v>
      </c>
      <c r="B410" s="1">
        <v>45050</v>
      </c>
      <c r="C410" t="s">
        <v>12</v>
      </c>
      <c r="D410">
        <v>199</v>
      </c>
      <c r="E410">
        <v>17.2</v>
      </c>
      <c r="F410">
        <v>0</v>
      </c>
      <c r="G410">
        <v>0</v>
      </c>
      <c r="H410">
        <v>34</v>
      </c>
      <c r="I410">
        <v>44</v>
      </c>
      <c r="J410" t="s">
        <v>11</v>
      </c>
    </row>
    <row r="411" spans="1:10">
      <c r="A411">
        <v>410</v>
      </c>
      <c r="B411" s="1">
        <v>45031</v>
      </c>
      <c r="C411" t="s">
        <v>14</v>
      </c>
      <c r="D411">
        <v>399</v>
      </c>
      <c r="E411">
        <v>12.2</v>
      </c>
      <c r="F411">
        <v>3</v>
      </c>
      <c r="G411">
        <v>3</v>
      </c>
      <c r="H411">
        <v>9</v>
      </c>
      <c r="I411">
        <v>5</v>
      </c>
      <c r="J411" t="s">
        <v>13</v>
      </c>
    </row>
    <row r="412" spans="1:10">
      <c r="A412">
        <v>411</v>
      </c>
      <c r="B412" s="1">
        <v>45063</v>
      </c>
      <c r="C412" t="s">
        <v>12</v>
      </c>
      <c r="D412">
        <v>199</v>
      </c>
      <c r="E412">
        <v>9.5</v>
      </c>
      <c r="F412">
        <v>4</v>
      </c>
      <c r="G412">
        <v>1</v>
      </c>
      <c r="H412">
        <v>21</v>
      </c>
      <c r="I412">
        <v>24</v>
      </c>
      <c r="J412" t="s">
        <v>13</v>
      </c>
    </row>
    <row r="413" spans="1:10">
      <c r="A413">
        <v>412</v>
      </c>
      <c r="B413" s="1">
        <v>45286</v>
      </c>
      <c r="C413" t="s">
        <v>10</v>
      </c>
      <c r="D413">
        <v>699</v>
      </c>
      <c r="E413">
        <v>2.2000000000000002</v>
      </c>
      <c r="F413">
        <v>0</v>
      </c>
      <c r="G413">
        <v>4</v>
      </c>
      <c r="H413">
        <v>10</v>
      </c>
      <c r="I413">
        <v>41</v>
      </c>
      <c r="J413" t="s">
        <v>11</v>
      </c>
    </row>
    <row r="414" spans="1:10">
      <c r="A414">
        <v>413</v>
      </c>
      <c r="B414" s="1">
        <v>45149</v>
      </c>
      <c r="C414" t="s">
        <v>10</v>
      </c>
      <c r="D414">
        <v>699</v>
      </c>
      <c r="E414">
        <v>15.9</v>
      </c>
      <c r="F414">
        <v>2</v>
      </c>
      <c r="G414">
        <v>3</v>
      </c>
      <c r="H414">
        <v>14</v>
      </c>
      <c r="I414">
        <v>39</v>
      </c>
      <c r="J414" t="s">
        <v>13</v>
      </c>
    </row>
    <row r="415" spans="1:10">
      <c r="A415">
        <v>414</v>
      </c>
      <c r="B415" s="1">
        <v>45366</v>
      </c>
      <c r="C415" t="s">
        <v>12</v>
      </c>
      <c r="D415">
        <v>199</v>
      </c>
      <c r="E415">
        <v>3.9</v>
      </c>
      <c r="F415">
        <v>1</v>
      </c>
      <c r="G415">
        <v>4</v>
      </c>
      <c r="H415">
        <v>7</v>
      </c>
      <c r="I415">
        <v>46</v>
      </c>
      <c r="J415" t="s">
        <v>11</v>
      </c>
    </row>
    <row r="416" spans="1:10">
      <c r="A416">
        <v>415</v>
      </c>
      <c r="B416" s="1">
        <v>45549</v>
      </c>
      <c r="C416" t="s">
        <v>14</v>
      </c>
      <c r="D416">
        <v>399</v>
      </c>
      <c r="E416">
        <v>6.6</v>
      </c>
      <c r="F416">
        <v>1</v>
      </c>
      <c r="G416">
        <v>1</v>
      </c>
      <c r="H416">
        <v>9</v>
      </c>
      <c r="I416">
        <v>35</v>
      </c>
      <c r="J416" t="s">
        <v>13</v>
      </c>
    </row>
    <row r="417" spans="1:10">
      <c r="A417">
        <v>416</v>
      </c>
      <c r="B417" s="1">
        <v>45120</v>
      </c>
      <c r="C417" t="s">
        <v>14</v>
      </c>
      <c r="D417">
        <v>399</v>
      </c>
      <c r="E417">
        <v>21.3</v>
      </c>
      <c r="F417">
        <v>4</v>
      </c>
      <c r="G417">
        <v>1</v>
      </c>
      <c r="H417">
        <v>2</v>
      </c>
      <c r="I417">
        <v>33</v>
      </c>
      <c r="J417" t="s">
        <v>13</v>
      </c>
    </row>
    <row r="418" spans="1:10">
      <c r="A418">
        <v>417</v>
      </c>
      <c r="B418" s="1">
        <v>45173</v>
      </c>
      <c r="C418" t="s">
        <v>10</v>
      </c>
      <c r="D418">
        <v>699</v>
      </c>
      <c r="E418">
        <v>7.7</v>
      </c>
      <c r="F418">
        <v>0</v>
      </c>
      <c r="G418">
        <v>1</v>
      </c>
      <c r="H418">
        <v>26</v>
      </c>
      <c r="I418">
        <v>31</v>
      </c>
      <c r="J418" t="s">
        <v>13</v>
      </c>
    </row>
    <row r="419" spans="1:10">
      <c r="A419">
        <v>418</v>
      </c>
      <c r="B419" s="1">
        <v>45323</v>
      </c>
      <c r="C419" t="s">
        <v>14</v>
      </c>
      <c r="D419">
        <v>399</v>
      </c>
      <c r="E419">
        <v>13.4</v>
      </c>
      <c r="F419">
        <v>0</v>
      </c>
      <c r="G419">
        <v>2</v>
      </c>
      <c r="H419">
        <v>5</v>
      </c>
      <c r="I419">
        <v>59</v>
      </c>
      <c r="J419" t="s">
        <v>11</v>
      </c>
    </row>
    <row r="420" spans="1:10">
      <c r="A420">
        <v>419</v>
      </c>
      <c r="B420" s="1">
        <v>45528</v>
      </c>
      <c r="C420" t="s">
        <v>10</v>
      </c>
      <c r="D420">
        <v>699</v>
      </c>
      <c r="E420">
        <v>9.5</v>
      </c>
      <c r="F420">
        <v>2</v>
      </c>
      <c r="G420">
        <v>3</v>
      </c>
      <c r="H420">
        <v>27</v>
      </c>
      <c r="I420">
        <v>49</v>
      </c>
      <c r="J420" t="s">
        <v>11</v>
      </c>
    </row>
    <row r="421" spans="1:10">
      <c r="A421">
        <v>420</v>
      </c>
      <c r="B421" s="1">
        <v>45445</v>
      </c>
      <c r="C421" t="s">
        <v>12</v>
      </c>
      <c r="D421">
        <v>199</v>
      </c>
      <c r="E421">
        <v>6.9</v>
      </c>
      <c r="F421">
        <v>0</v>
      </c>
      <c r="G421">
        <v>0</v>
      </c>
      <c r="H421">
        <v>1</v>
      </c>
      <c r="I421">
        <v>60</v>
      </c>
      <c r="J421" t="s">
        <v>13</v>
      </c>
    </row>
    <row r="422" spans="1:10">
      <c r="A422">
        <v>421</v>
      </c>
      <c r="B422" s="1">
        <v>45476</v>
      </c>
      <c r="C422" t="s">
        <v>14</v>
      </c>
      <c r="D422">
        <v>399</v>
      </c>
      <c r="E422">
        <v>19.3</v>
      </c>
      <c r="F422">
        <v>6</v>
      </c>
      <c r="G422">
        <v>5</v>
      </c>
      <c r="H422">
        <v>33</v>
      </c>
      <c r="I422">
        <v>25</v>
      </c>
      <c r="J422" t="s">
        <v>11</v>
      </c>
    </row>
    <row r="423" spans="1:10">
      <c r="A423">
        <v>422</v>
      </c>
      <c r="B423" s="1">
        <v>45086</v>
      </c>
      <c r="C423" t="s">
        <v>10</v>
      </c>
      <c r="D423">
        <v>699</v>
      </c>
      <c r="E423">
        <v>7.3</v>
      </c>
      <c r="F423">
        <v>4</v>
      </c>
      <c r="G423">
        <v>0</v>
      </c>
      <c r="H423">
        <v>10</v>
      </c>
      <c r="I423">
        <v>32</v>
      </c>
      <c r="J423" t="s">
        <v>13</v>
      </c>
    </row>
    <row r="424" spans="1:10">
      <c r="A424">
        <v>423</v>
      </c>
      <c r="B424" s="1">
        <v>45171</v>
      </c>
      <c r="C424" t="s">
        <v>10</v>
      </c>
      <c r="D424">
        <v>699</v>
      </c>
      <c r="E424">
        <v>10.1</v>
      </c>
      <c r="F424">
        <v>1</v>
      </c>
      <c r="G424">
        <v>2</v>
      </c>
      <c r="H424">
        <v>21</v>
      </c>
      <c r="I424">
        <v>44</v>
      </c>
      <c r="J424" t="s">
        <v>11</v>
      </c>
    </row>
    <row r="425" spans="1:10">
      <c r="A425">
        <v>424</v>
      </c>
      <c r="B425" s="1">
        <v>44983</v>
      </c>
      <c r="C425" t="s">
        <v>12</v>
      </c>
      <c r="D425">
        <v>199</v>
      </c>
      <c r="E425">
        <v>2.6</v>
      </c>
      <c r="F425">
        <v>6</v>
      </c>
      <c r="G425">
        <v>0</v>
      </c>
      <c r="H425">
        <v>16</v>
      </c>
      <c r="I425">
        <v>29</v>
      </c>
      <c r="J425" t="s">
        <v>11</v>
      </c>
    </row>
    <row r="426" spans="1:10">
      <c r="A426">
        <v>425</v>
      </c>
      <c r="B426" s="1">
        <v>45282</v>
      </c>
      <c r="C426" t="s">
        <v>14</v>
      </c>
      <c r="D426">
        <v>399</v>
      </c>
      <c r="E426">
        <v>3.4</v>
      </c>
      <c r="F426">
        <v>2</v>
      </c>
      <c r="G426">
        <v>5</v>
      </c>
      <c r="H426">
        <v>12</v>
      </c>
      <c r="I426">
        <v>0</v>
      </c>
      <c r="J426" t="s">
        <v>11</v>
      </c>
    </row>
    <row r="427" spans="1:10">
      <c r="A427">
        <v>426</v>
      </c>
      <c r="B427" s="1">
        <v>45202</v>
      </c>
      <c r="C427" t="s">
        <v>10</v>
      </c>
      <c r="D427">
        <v>699</v>
      </c>
      <c r="E427">
        <v>19.7</v>
      </c>
      <c r="F427">
        <v>4</v>
      </c>
      <c r="G427">
        <v>1</v>
      </c>
      <c r="H427">
        <v>34</v>
      </c>
      <c r="I427">
        <v>23</v>
      </c>
      <c r="J427" t="s">
        <v>11</v>
      </c>
    </row>
    <row r="428" spans="1:10">
      <c r="A428">
        <v>427</v>
      </c>
      <c r="B428" s="1">
        <v>45463</v>
      </c>
      <c r="C428" t="s">
        <v>10</v>
      </c>
      <c r="D428">
        <v>699</v>
      </c>
      <c r="E428">
        <v>19.399999999999999</v>
      </c>
      <c r="F428">
        <v>0</v>
      </c>
      <c r="G428">
        <v>2</v>
      </c>
      <c r="H428">
        <v>8</v>
      </c>
      <c r="I428">
        <v>51</v>
      </c>
      <c r="J428" t="s">
        <v>11</v>
      </c>
    </row>
    <row r="429" spans="1:10">
      <c r="A429">
        <v>428</v>
      </c>
      <c r="B429" s="1">
        <v>44983</v>
      </c>
      <c r="C429" t="s">
        <v>12</v>
      </c>
      <c r="D429">
        <v>199</v>
      </c>
      <c r="E429">
        <v>18</v>
      </c>
      <c r="F429">
        <v>1</v>
      </c>
      <c r="G429">
        <v>3</v>
      </c>
      <c r="H429">
        <v>17</v>
      </c>
      <c r="I429">
        <v>29</v>
      </c>
      <c r="J429" t="s">
        <v>11</v>
      </c>
    </row>
    <row r="430" spans="1:10">
      <c r="A430">
        <v>429</v>
      </c>
      <c r="B430" s="1">
        <v>45045</v>
      </c>
      <c r="C430" t="s">
        <v>14</v>
      </c>
      <c r="D430">
        <v>399</v>
      </c>
      <c r="E430">
        <v>9.5</v>
      </c>
      <c r="F430">
        <v>4</v>
      </c>
      <c r="G430">
        <v>0</v>
      </c>
      <c r="H430">
        <v>11</v>
      </c>
      <c r="I430">
        <v>57</v>
      </c>
      <c r="J430" t="s">
        <v>13</v>
      </c>
    </row>
    <row r="431" spans="1:10">
      <c r="A431">
        <v>430</v>
      </c>
      <c r="B431" s="1">
        <v>45319</v>
      </c>
      <c r="C431" t="s">
        <v>12</v>
      </c>
      <c r="D431">
        <v>199</v>
      </c>
      <c r="E431">
        <v>0.6</v>
      </c>
      <c r="F431">
        <v>0</v>
      </c>
      <c r="G431">
        <v>1</v>
      </c>
      <c r="H431">
        <v>33</v>
      </c>
      <c r="I431">
        <v>2</v>
      </c>
      <c r="J431" t="s">
        <v>13</v>
      </c>
    </row>
    <row r="432" spans="1:10">
      <c r="A432">
        <v>431</v>
      </c>
      <c r="B432" s="1">
        <v>45598</v>
      </c>
      <c r="C432" t="s">
        <v>12</v>
      </c>
      <c r="D432">
        <v>199</v>
      </c>
      <c r="E432">
        <v>23.3</v>
      </c>
      <c r="F432">
        <v>0</v>
      </c>
      <c r="G432">
        <v>4</v>
      </c>
      <c r="H432">
        <v>12</v>
      </c>
      <c r="I432">
        <v>51</v>
      </c>
      <c r="J432" t="s">
        <v>13</v>
      </c>
    </row>
    <row r="433" spans="1:10">
      <c r="A433">
        <v>432</v>
      </c>
      <c r="B433" s="1">
        <v>45006</v>
      </c>
      <c r="C433" t="s">
        <v>14</v>
      </c>
      <c r="D433">
        <v>399</v>
      </c>
      <c r="E433">
        <v>8.4</v>
      </c>
      <c r="F433">
        <v>6</v>
      </c>
      <c r="G433">
        <v>5</v>
      </c>
      <c r="H433">
        <v>15</v>
      </c>
      <c r="I433">
        <v>20</v>
      </c>
      <c r="J433" t="s">
        <v>11</v>
      </c>
    </row>
    <row r="434" spans="1:10">
      <c r="A434">
        <v>433</v>
      </c>
      <c r="B434" s="1">
        <v>44974</v>
      </c>
      <c r="C434" t="s">
        <v>10</v>
      </c>
      <c r="D434">
        <v>699</v>
      </c>
      <c r="E434">
        <v>3.4</v>
      </c>
      <c r="F434">
        <v>0</v>
      </c>
      <c r="G434">
        <v>1</v>
      </c>
      <c r="H434">
        <v>24</v>
      </c>
      <c r="I434">
        <v>14</v>
      </c>
      <c r="J434" t="s">
        <v>13</v>
      </c>
    </row>
    <row r="435" spans="1:10">
      <c r="A435">
        <v>434</v>
      </c>
      <c r="B435" s="1">
        <v>45394</v>
      </c>
      <c r="C435" t="s">
        <v>14</v>
      </c>
      <c r="D435">
        <v>399</v>
      </c>
      <c r="E435">
        <v>22</v>
      </c>
      <c r="F435">
        <v>4</v>
      </c>
      <c r="G435">
        <v>2</v>
      </c>
      <c r="H435">
        <v>5</v>
      </c>
      <c r="I435">
        <v>20</v>
      </c>
      <c r="J435" t="s">
        <v>11</v>
      </c>
    </row>
    <row r="436" spans="1:10">
      <c r="A436">
        <v>435</v>
      </c>
      <c r="B436" s="1">
        <v>45304</v>
      </c>
      <c r="C436" t="s">
        <v>12</v>
      </c>
      <c r="D436">
        <v>199</v>
      </c>
      <c r="E436">
        <v>5.4</v>
      </c>
      <c r="F436">
        <v>4</v>
      </c>
      <c r="G436">
        <v>5</v>
      </c>
      <c r="H436">
        <v>24</v>
      </c>
      <c r="I436">
        <v>39</v>
      </c>
      <c r="J436" t="s">
        <v>11</v>
      </c>
    </row>
    <row r="437" spans="1:10">
      <c r="A437">
        <v>436</v>
      </c>
      <c r="B437" s="1">
        <v>45178</v>
      </c>
      <c r="C437" t="s">
        <v>10</v>
      </c>
      <c r="D437">
        <v>699</v>
      </c>
      <c r="E437">
        <v>24.9</v>
      </c>
      <c r="F437">
        <v>3</v>
      </c>
      <c r="G437">
        <v>5</v>
      </c>
      <c r="H437">
        <v>32</v>
      </c>
      <c r="I437">
        <v>57</v>
      </c>
      <c r="J437" t="s">
        <v>11</v>
      </c>
    </row>
    <row r="438" spans="1:10">
      <c r="A438">
        <v>437</v>
      </c>
      <c r="B438" s="1">
        <v>45637</v>
      </c>
      <c r="C438" t="s">
        <v>12</v>
      </c>
      <c r="D438">
        <v>199</v>
      </c>
      <c r="E438">
        <v>23.3</v>
      </c>
      <c r="F438">
        <v>0</v>
      </c>
      <c r="G438">
        <v>1</v>
      </c>
      <c r="H438">
        <v>1</v>
      </c>
      <c r="I438">
        <v>34</v>
      </c>
      <c r="J438" t="s">
        <v>11</v>
      </c>
    </row>
    <row r="439" spans="1:10">
      <c r="A439">
        <v>438</v>
      </c>
      <c r="B439" s="1">
        <v>45137</v>
      </c>
      <c r="C439" t="s">
        <v>12</v>
      </c>
      <c r="D439">
        <v>199</v>
      </c>
      <c r="E439">
        <v>0.5</v>
      </c>
      <c r="F439">
        <v>6</v>
      </c>
      <c r="G439">
        <v>5</v>
      </c>
      <c r="H439">
        <v>22</v>
      </c>
      <c r="I439">
        <v>46</v>
      </c>
      <c r="J439" t="s">
        <v>11</v>
      </c>
    </row>
    <row r="440" spans="1:10">
      <c r="A440">
        <v>439</v>
      </c>
      <c r="B440" s="1">
        <v>44971</v>
      </c>
      <c r="C440" t="s">
        <v>10</v>
      </c>
      <c r="D440">
        <v>699</v>
      </c>
      <c r="E440">
        <v>10.8</v>
      </c>
      <c r="F440">
        <v>0</v>
      </c>
      <c r="G440">
        <v>1</v>
      </c>
      <c r="H440">
        <v>16</v>
      </c>
      <c r="I440">
        <v>45</v>
      </c>
      <c r="J440" t="s">
        <v>11</v>
      </c>
    </row>
    <row r="441" spans="1:10">
      <c r="A441">
        <v>440</v>
      </c>
      <c r="B441" s="1">
        <v>45024</v>
      </c>
      <c r="C441" t="s">
        <v>12</v>
      </c>
      <c r="D441">
        <v>199</v>
      </c>
      <c r="E441">
        <v>10.6</v>
      </c>
      <c r="F441">
        <v>5</v>
      </c>
      <c r="G441">
        <v>3</v>
      </c>
      <c r="H441">
        <v>34</v>
      </c>
      <c r="I441">
        <v>47</v>
      </c>
      <c r="J441" t="s">
        <v>11</v>
      </c>
    </row>
    <row r="442" spans="1:10">
      <c r="A442">
        <v>441</v>
      </c>
      <c r="B442" s="1">
        <v>45372</v>
      </c>
      <c r="C442" t="s">
        <v>10</v>
      </c>
      <c r="D442">
        <v>699</v>
      </c>
      <c r="E442">
        <v>16.100000000000001</v>
      </c>
      <c r="F442">
        <v>6</v>
      </c>
      <c r="G442">
        <v>0</v>
      </c>
      <c r="H442">
        <v>9</v>
      </c>
      <c r="I442">
        <v>37</v>
      </c>
      <c r="J442" t="s">
        <v>13</v>
      </c>
    </row>
    <row r="443" spans="1:10">
      <c r="A443">
        <v>442</v>
      </c>
      <c r="B443" s="1">
        <v>45644</v>
      </c>
      <c r="C443" t="s">
        <v>10</v>
      </c>
      <c r="D443">
        <v>699</v>
      </c>
      <c r="E443">
        <v>6.3</v>
      </c>
      <c r="F443">
        <v>4</v>
      </c>
      <c r="G443">
        <v>2</v>
      </c>
      <c r="H443">
        <v>9</v>
      </c>
      <c r="I443">
        <v>59</v>
      </c>
      <c r="J443" t="s">
        <v>13</v>
      </c>
    </row>
    <row r="444" spans="1:10">
      <c r="A444">
        <v>443</v>
      </c>
      <c r="B444" s="1">
        <v>45066</v>
      </c>
      <c r="C444" t="s">
        <v>10</v>
      </c>
      <c r="D444">
        <v>699</v>
      </c>
      <c r="E444">
        <v>8.3000000000000007</v>
      </c>
      <c r="F444">
        <v>4</v>
      </c>
      <c r="G444">
        <v>1</v>
      </c>
      <c r="H444">
        <v>21</v>
      </c>
      <c r="I444">
        <v>4</v>
      </c>
      <c r="J444" t="s">
        <v>13</v>
      </c>
    </row>
    <row r="445" spans="1:10">
      <c r="A445">
        <v>444</v>
      </c>
      <c r="B445" s="1">
        <v>45050</v>
      </c>
      <c r="C445" t="s">
        <v>10</v>
      </c>
      <c r="D445">
        <v>699</v>
      </c>
      <c r="E445">
        <v>4.3</v>
      </c>
      <c r="F445">
        <v>2</v>
      </c>
      <c r="G445">
        <v>3</v>
      </c>
      <c r="H445">
        <v>7</v>
      </c>
      <c r="I445">
        <v>29</v>
      </c>
      <c r="J445" t="s">
        <v>11</v>
      </c>
    </row>
    <row r="446" spans="1:10">
      <c r="A446">
        <v>445</v>
      </c>
      <c r="B446" s="1">
        <v>45049</v>
      </c>
      <c r="C446" t="s">
        <v>10</v>
      </c>
      <c r="D446">
        <v>699</v>
      </c>
      <c r="E446">
        <v>24.1</v>
      </c>
      <c r="F446">
        <v>3</v>
      </c>
      <c r="G446">
        <v>3</v>
      </c>
      <c r="H446">
        <v>23</v>
      </c>
      <c r="I446">
        <v>19</v>
      </c>
      <c r="J446" t="s">
        <v>13</v>
      </c>
    </row>
    <row r="447" spans="1:10">
      <c r="A447">
        <v>446</v>
      </c>
      <c r="B447" s="1">
        <v>45147</v>
      </c>
      <c r="C447" t="s">
        <v>12</v>
      </c>
      <c r="D447">
        <v>199</v>
      </c>
      <c r="E447">
        <v>20.3</v>
      </c>
      <c r="F447">
        <v>4</v>
      </c>
      <c r="G447">
        <v>5</v>
      </c>
      <c r="H447">
        <v>11</v>
      </c>
      <c r="I447">
        <v>44</v>
      </c>
      <c r="J447" t="s">
        <v>11</v>
      </c>
    </row>
    <row r="448" spans="1:10">
      <c r="A448">
        <v>447</v>
      </c>
      <c r="B448" s="1">
        <v>45620</v>
      </c>
      <c r="C448" t="s">
        <v>14</v>
      </c>
      <c r="D448">
        <v>399</v>
      </c>
      <c r="E448">
        <v>2.7</v>
      </c>
      <c r="F448">
        <v>3</v>
      </c>
      <c r="G448">
        <v>2</v>
      </c>
      <c r="H448">
        <v>10</v>
      </c>
      <c r="I448">
        <v>25</v>
      </c>
      <c r="J448" t="s">
        <v>11</v>
      </c>
    </row>
    <row r="449" spans="1:10">
      <c r="A449">
        <v>448</v>
      </c>
      <c r="B449" s="1">
        <v>45390</v>
      </c>
      <c r="C449" t="s">
        <v>14</v>
      </c>
      <c r="D449">
        <v>399</v>
      </c>
      <c r="E449">
        <v>20.6</v>
      </c>
      <c r="F449">
        <v>2</v>
      </c>
      <c r="G449">
        <v>0</v>
      </c>
      <c r="H449">
        <v>17</v>
      </c>
      <c r="I449">
        <v>60</v>
      </c>
      <c r="J449" t="s">
        <v>13</v>
      </c>
    </row>
    <row r="450" spans="1:10">
      <c r="A450">
        <v>449</v>
      </c>
      <c r="B450" s="1">
        <v>45051</v>
      </c>
      <c r="C450" t="s">
        <v>10</v>
      </c>
      <c r="D450">
        <v>699</v>
      </c>
      <c r="E450">
        <v>6.6</v>
      </c>
      <c r="F450">
        <v>7</v>
      </c>
      <c r="G450">
        <v>0</v>
      </c>
      <c r="H450">
        <v>36</v>
      </c>
      <c r="I450">
        <v>51</v>
      </c>
      <c r="J450" t="s">
        <v>13</v>
      </c>
    </row>
    <row r="451" spans="1:10">
      <c r="A451">
        <v>450</v>
      </c>
      <c r="B451" s="1">
        <v>45308</v>
      </c>
      <c r="C451" t="s">
        <v>12</v>
      </c>
      <c r="D451">
        <v>199</v>
      </c>
      <c r="E451">
        <v>20.8</v>
      </c>
      <c r="F451">
        <v>3</v>
      </c>
      <c r="G451">
        <v>1</v>
      </c>
      <c r="H451">
        <v>4</v>
      </c>
      <c r="I451">
        <v>12</v>
      </c>
      <c r="J451" t="s">
        <v>13</v>
      </c>
    </row>
    <row r="452" spans="1:10">
      <c r="A452">
        <v>451</v>
      </c>
      <c r="B452" s="1">
        <v>45129</v>
      </c>
      <c r="C452" t="s">
        <v>10</v>
      </c>
      <c r="D452">
        <v>699</v>
      </c>
      <c r="E452">
        <v>14.8</v>
      </c>
      <c r="F452">
        <v>4</v>
      </c>
      <c r="G452">
        <v>0</v>
      </c>
      <c r="H452">
        <v>6</v>
      </c>
      <c r="I452">
        <v>1</v>
      </c>
      <c r="J452" t="s">
        <v>13</v>
      </c>
    </row>
    <row r="453" spans="1:10">
      <c r="A453">
        <v>452</v>
      </c>
      <c r="B453" s="1">
        <v>45399</v>
      </c>
      <c r="C453" t="s">
        <v>10</v>
      </c>
      <c r="D453">
        <v>699</v>
      </c>
      <c r="E453">
        <v>20.3</v>
      </c>
      <c r="F453">
        <v>1</v>
      </c>
      <c r="G453">
        <v>2</v>
      </c>
      <c r="H453">
        <v>29</v>
      </c>
      <c r="I453">
        <v>7</v>
      </c>
      <c r="J453" t="s">
        <v>11</v>
      </c>
    </row>
    <row r="454" spans="1:10">
      <c r="A454">
        <v>453</v>
      </c>
      <c r="B454" s="1">
        <v>45318</v>
      </c>
      <c r="C454" t="s">
        <v>12</v>
      </c>
      <c r="D454">
        <v>199</v>
      </c>
      <c r="E454">
        <v>23.1</v>
      </c>
      <c r="F454">
        <v>6</v>
      </c>
      <c r="G454">
        <v>5</v>
      </c>
      <c r="H454">
        <v>11</v>
      </c>
      <c r="I454">
        <v>25</v>
      </c>
      <c r="J454" t="s">
        <v>11</v>
      </c>
    </row>
    <row r="455" spans="1:10">
      <c r="A455">
        <v>454</v>
      </c>
      <c r="B455" s="1">
        <v>45079</v>
      </c>
      <c r="C455" t="s">
        <v>10</v>
      </c>
      <c r="D455">
        <v>699</v>
      </c>
      <c r="E455">
        <v>4.7</v>
      </c>
      <c r="F455">
        <v>3</v>
      </c>
      <c r="G455">
        <v>1</v>
      </c>
      <c r="H455">
        <v>28</v>
      </c>
      <c r="I455">
        <v>17</v>
      </c>
      <c r="J455" t="s">
        <v>11</v>
      </c>
    </row>
    <row r="456" spans="1:10">
      <c r="A456">
        <v>455</v>
      </c>
      <c r="B456" s="1">
        <v>44989</v>
      </c>
      <c r="C456" t="s">
        <v>12</v>
      </c>
      <c r="D456">
        <v>199</v>
      </c>
      <c r="E456">
        <v>16.399999999999999</v>
      </c>
      <c r="F456">
        <v>7</v>
      </c>
      <c r="G456">
        <v>3</v>
      </c>
      <c r="H456">
        <v>16</v>
      </c>
      <c r="I456">
        <v>56</v>
      </c>
      <c r="J456" t="s">
        <v>11</v>
      </c>
    </row>
    <row r="457" spans="1:10">
      <c r="A457">
        <v>456</v>
      </c>
      <c r="B457" s="1">
        <v>45465</v>
      </c>
      <c r="C457" t="s">
        <v>12</v>
      </c>
      <c r="D457">
        <v>199</v>
      </c>
      <c r="E457">
        <v>9.9</v>
      </c>
      <c r="F457">
        <v>6</v>
      </c>
      <c r="G457">
        <v>1</v>
      </c>
      <c r="H457">
        <v>18</v>
      </c>
      <c r="I457">
        <v>41</v>
      </c>
      <c r="J457" t="s">
        <v>13</v>
      </c>
    </row>
    <row r="458" spans="1:10">
      <c r="A458">
        <v>457</v>
      </c>
      <c r="B458" s="1">
        <v>45423</v>
      </c>
      <c r="C458" t="s">
        <v>12</v>
      </c>
      <c r="D458">
        <v>199</v>
      </c>
      <c r="E458">
        <v>20</v>
      </c>
      <c r="F458">
        <v>6</v>
      </c>
      <c r="G458">
        <v>5</v>
      </c>
      <c r="H458">
        <v>35</v>
      </c>
      <c r="I458">
        <v>22</v>
      </c>
      <c r="J458" t="s">
        <v>11</v>
      </c>
    </row>
    <row r="459" spans="1:10">
      <c r="A459">
        <v>458</v>
      </c>
      <c r="B459" s="1">
        <v>45151</v>
      </c>
      <c r="C459" t="s">
        <v>14</v>
      </c>
      <c r="D459">
        <v>399</v>
      </c>
      <c r="E459">
        <v>8.4</v>
      </c>
      <c r="F459">
        <v>4</v>
      </c>
      <c r="G459">
        <v>1</v>
      </c>
      <c r="H459">
        <v>33</v>
      </c>
      <c r="I459">
        <v>1</v>
      </c>
      <c r="J459" t="s">
        <v>13</v>
      </c>
    </row>
    <row r="460" spans="1:10">
      <c r="A460">
        <v>459</v>
      </c>
      <c r="B460" s="1">
        <v>45165</v>
      </c>
      <c r="C460" t="s">
        <v>12</v>
      </c>
      <c r="D460">
        <v>199</v>
      </c>
      <c r="E460">
        <v>1.9</v>
      </c>
      <c r="F460">
        <v>7</v>
      </c>
      <c r="G460">
        <v>4</v>
      </c>
      <c r="H460">
        <v>18</v>
      </c>
      <c r="I460">
        <v>22</v>
      </c>
      <c r="J460" t="s">
        <v>11</v>
      </c>
    </row>
    <row r="461" spans="1:10">
      <c r="A461">
        <v>460</v>
      </c>
      <c r="B461" s="1">
        <v>44984</v>
      </c>
      <c r="C461" t="s">
        <v>12</v>
      </c>
      <c r="D461">
        <v>199</v>
      </c>
      <c r="E461">
        <v>6.6</v>
      </c>
      <c r="F461">
        <v>3</v>
      </c>
      <c r="G461">
        <v>2</v>
      </c>
      <c r="H461">
        <v>7</v>
      </c>
      <c r="I461">
        <v>34</v>
      </c>
      <c r="J461" t="s">
        <v>13</v>
      </c>
    </row>
    <row r="462" spans="1:10">
      <c r="A462">
        <v>461</v>
      </c>
      <c r="B462" s="1">
        <v>45641</v>
      </c>
      <c r="C462" t="s">
        <v>12</v>
      </c>
      <c r="D462">
        <v>199</v>
      </c>
      <c r="E462">
        <v>9.1999999999999993</v>
      </c>
      <c r="F462">
        <v>2</v>
      </c>
      <c r="G462">
        <v>1</v>
      </c>
      <c r="H462">
        <v>25</v>
      </c>
      <c r="I462">
        <v>15</v>
      </c>
      <c r="J462" t="s">
        <v>13</v>
      </c>
    </row>
    <row r="463" spans="1:10">
      <c r="A463">
        <v>462</v>
      </c>
      <c r="B463" s="1">
        <v>45119</v>
      </c>
      <c r="C463" t="s">
        <v>14</v>
      </c>
      <c r="D463">
        <v>399</v>
      </c>
      <c r="E463">
        <v>17.7</v>
      </c>
      <c r="F463">
        <v>5</v>
      </c>
      <c r="G463">
        <v>4</v>
      </c>
      <c r="H463">
        <v>2</v>
      </c>
      <c r="I463">
        <v>36</v>
      </c>
      <c r="J463" t="s">
        <v>11</v>
      </c>
    </row>
    <row r="464" spans="1:10">
      <c r="A464">
        <v>463</v>
      </c>
      <c r="B464" s="1">
        <v>45543</v>
      </c>
      <c r="C464" t="s">
        <v>14</v>
      </c>
      <c r="D464">
        <v>399</v>
      </c>
      <c r="E464">
        <v>8.1</v>
      </c>
      <c r="F464">
        <v>7</v>
      </c>
      <c r="G464">
        <v>0</v>
      </c>
      <c r="H464">
        <v>35</v>
      </c>
      <c r="I464">
        <v>5</v>
      </c>
      <c r="J464" t="s">
        <v>11</v>
      </c>
    </row>
    <row r="465" spans="1:10">
      <c r="A465">
        <v>464</v>
      </c>
      <c r="B465" s="1">
        <v>45060</v>
      </c>
      <c r="C465" t="s">
        <v>12</v>
      </c>
      <c r="D465">
        <v>199</v>
      </c>
      <c r="E465">
        <v>13.4</v>
      </c>
      <c r="F465">
        <v>0</v>
      </c>
      <c r="G465">
        <v>2</v>
      </c>
      <c r="H465">
        <v>2</v>
      </c>
      <c r="I465">
        <v>58</v>
      </c>
      <c r="J465" t="s">
        <v>13</v>
      </c>
    </row>
    <row r="466" spans="1:10">
      <c r="A466">
        <v>465</v>
      </c>
      <c r="B466" s="1">
        <v>45648</v>
      </c>
      <c r="C466" t="s">
        <v>14</v>
      </c>
      <c r="D466">
        <v>399</v>
      </c>
      <c r="E466">
        <v>23</v>
      </c>
      <c r="F466">
        <v>5</v>
      </c>
      <c r="G466">
        <v>0</v>
      </c>
      <c r="H466">
        <v>12</v>
      </c>
      <c r="I466">
        <v>1</v>
      </c>
      <c r="J466" t="s">
        <v>11</v>
      </c>
    </row>
    <row r="467" spans="1:10">
      <c r="A467">
        <v>466</v>
      </c>
      <c r="B467" s="1">
        <v>45605</v>
      </c>
      <c r="C467" t="s">
        <v>12</v>
      </c>
      <c r="D467">
        <v>199</v>
      </c>
      <c r="E467">
        <v>21.2</v>
      </c>
      <c r="F467">
        <v>5</v>
      </c>
      <c r="G467">
        <v>0</v>
      </c>
      <c r="H467">
        <v>8</v>
      </c>
      <c r="I467">
        <v>23</v>
      </c>
      <c r="J467" t="s">
        <v>13</v>
      </c>
    </row>
    <row r="468" spans="1:10">
      <c r="A468">
        <v>467</v>
      </c>
      <c r="B468" s="1">
        <v>45374</v>
      </c>
      <c r="C468" t="s">
        <v>14</v>
      </c>
      <c r="D468">
        <v>399</v>
      </c>
      <c r="E468">
        <v>8.6999999999999993</v>
      </c>
      <c r="F468">
        <v>5</v>
      </c>
      <c r="G468">
        <v>1</v>
      </c>
      <c r="H468">
        <v>7</v>
      </c>
      <c r="I468">
        <v>10</v>
      </c>
      <c r="J468" t="s">
        <v>13</v>
      </c>
    </row>
    <row r="469" spans="1:10">
      <c r="A469">
        <v>468</v>
      </c>
      <c r="B469" s="1">
        <v>45555</v>
      </c>
      <c r="C469" t="s">
        <v>10</v>
      </c>
      <c r="D469">
        <v>699</v>
      </c>
      <c r="E469">
        <v>16.399999999999999</v>
      </c>
      <c r="F469">
        <v>2</v>
      </c>
      <c r="G469">
        <v>5</v>
      </c>
      <c r="H469">
        <v>32</v>
      </c>
      <c r="I469">
        <v>35</v>
      </c>
      <c r="J469" t="s">
        <v>13</v>
      </c>
    </row>
    <row r="470" spans="1:10">
      <c r="A470">
        <v>469</v>
      </c>
      <c r="B470" s="1">
        <v>45228</v>
      </c>
      <c r="C470" t="s">
        <v>14</v>
      </c>
      <c r="D470">
        <v>399</v>
      </c>
      <c r="E470">
        <v>16.8</v>
      </c>
      <c r="F470">
        <v>2</v>
      </c>
      <c r="G470">
        <v>3</v>
      </c>
      <c r="H470">
        <v>15</v>
      </c>
      <c r="I470">
        <v>19</v>
      </c>
      <c r="J470" t="s">
        <v>13</v>
      </c>
    </row>
    <row r="471" spans="1:10">
      <c r="A471">
        <v>470</v>
      </c>
      <c r="B471" s="1">
        <v>45252</v>
      </c>
      <c r="C471" t="s">
        <v>12</v>
      </c>
      <c r="D471">
        <v>199</v>
      </c>
      <c r="E471">
        <v>18.399999999999999</v>
      </c>
      <c r="F471">
        <v>6</v>
      </c>
      <c r="G471">
        <v>4</v>
      </c>
      <c r="H471">
        <v>12</v>
      </c>
      <c r="I471">
        <v>2</v>
      </c>
      <c r="J471" t="s">
        <v>11</v>
      </c>
    </row>
    <row r="472" spans="1:10">
      <c r="A472">
        <v>471</v>
      </c>
      <c r="B472" s="1">
        <v>45006</v>
      </c>
      <c r="C472" t="s">
        <v>10</v>
      </c>
      <c r="D472">
        <v>699</v>
      </c>
      <c r="E472">
        <v>16.2</v>
      </c>
      <c r="F472">
        <v>1</v>
      </c>
      <c r="G472">
        <v>3</v>
      </c>
      <c r="H472">
        <v>15</v>
      </c>
      <c r="I472">
        <v>9</v>
      </c>
      <c r="J472" t="s">
        <v>11</v>
      </c>
    </row>
    <row r="473" spans="1:10">
      <c r="A473">
        <v>472</v>
      </c>
      <c r="B473" s="1">
        <v>45652</v>
      </c>
      <c r="C473" t="s">
        <v>12</v>
      </c>
      <c r="D473">
        <v>199</v>
      </c>
      <c r="E473">
        <v>24.6</v>
      </c>
      <c r="F473">
        <v>2</v>
      </c>
      <c r="G473">
        <v>5</v>
      </c>
      <c r="H473">
        <v>23</v>
      </c>
      <c r="I473">
        <v>56</v>
      </c>
      <c r="J473" t="s">
        <v>13</v>
      </c>
    </row>
    <row r="474" spans="1:10">
      <c r="A474">
        <v>473</v>
      </c>
      <c r="B474" s="1">
        <v>45285</v>
      </c>
      <c r="C474" t="s">
        <v>10</v>
      </c>
      <c r="D474">
        <v>699</v>
      </c>
      <c r="E474">
        <v>11.4</v>
      </c>
      <c r="F474">
        <v>4</v>
      </c>
      <c r="G474">
        <v>1</v>
      </c>
      <c r="H474">
        <v>22</v>
      </c>
      <c r="I474">
        <v>15</v>
      </c>
      <c r="J474" t="s">
        <v>13</v>
      </c>
    </row>
    <row r="475" spans="1:10">
      <c r="A475">
        <v>474</v>
      </c>
      <c r="B475" s="1">
        <v>45097</v>
      </c>
      <c r="C475" t="s">
        <v>14</v>
      </c>
      <c r="D475">
        <v>399</v>
      </c>
      <c r="E475">
        <v>18.2</v>
      </c>
      <c r="F475">
        <v>0</v>
      </c>
      <c r="G475">
        <v>3</v>
      </c>
      <c r="H475">
        <v>7</v>
      </c>
      <c r="I475">
        <v>28</v>
      </c>
      <c r="J475" t="s">
        <v>13</v>
      </c>
    </row>
    <row r="476" spans="1:10">
      <c r="A476">
        <v>475</v>
      </c>
      <c r="B476" s="1">
        <v>45417</v>
      </c>
      <c r="C476" t="s">
        <v>14</v>
      </c>
      <c r="D476">
        <v>399</v>
      </c>
      <c r="E476">
        <v>22.1</v>
      </c>
      <c r="F476">
        <v>5</v>
      </c>
      <c r="G476">
        <v>4</v>
      </c>
      <c r="H476">
        <v>32</v>
      </c>
      <c r="I476">
        <v>24</v>
      </c>
      <c r="J476" t="s">
        <v>11</v>
      </c>
    </row>
    <row r="477" spans="1:10">
      <c r="A477">
        <v>476</v>
      </c>
      <c r="B477" s="1">
        <v>45194</v>
      </c>
      <c r="C477" t="s">
        <v>10</v>
      </c>
      <c r="D477">
        <v>699</v>
      </c>
      <c r="E477">
        <v>4.5</v>
      </c>
      <c r="F477">
        <v>1</v>
      </c>
      <c r="G477">
        <v>0</v>
      </c>
      <c r="H477">
        <v>15</v>
      </c>
      <c r="I477">
        <v>18</v>
      </c>
      <c r="J477" t="s">
        <v>11</v>
      </c>
    </row>
    <row r="478" spans="1:10">
      <c r="A478">
        <v>477</v>
      </c>
      <c r="B478" s="1">
        <v>45022</v>
      </c>
      <c r="C478" t="s">
        <v>12</v>
      </c>
      <c r="D478">
        <v>199</v>
      </c>
      <c r="E478">
        <v>8.9</v>
      </c>
      <c r="F478">
        <v>6</v>
      </c>
      <c r="G478">
        <v>1</v>
      </c>
      <c r="H478">
        <v>5</v>
      </c>
      <c r="I478">
        <v>46</v>
      </c>
      <c r="J478" t="s">
        <v>11</v>
      </c>
    </row>
    <row r="479" spans="1:10">
      <c r="A479">
        <v>478</v>
      </c>
      <c r="B479" s="1">
        <v>45371</v>
      </c>
      <c r="C479" t="s">
        <v>14</v>
      </c>
      <c r="D479">
        <v>399</v>
      </c>
      <c r="E479">
        <v>17.8</v>
      </c>
      <c r="F479">
        <v>6</v>
      </c>
      <c r="G479">
        <v>5</v>
      </c>
      <c r="H479">
        <v>31</v>
      </c>
      <c r="I479">
        <v>10</v>
      </c>
      <c r="J479" t="s">
        <v>13</v>
      </c>
    </row>
    <row r="480" spans="1:10">
      <c r="A480">
        <v>479</v>
      </c>
      <c r="B480" s="1">
        <v>45480</v>
      </c>
      <c r="C480" t="s">
        <v>12</v>
      </c>
      <c r="D480">
        <v>199</v>
      </c>
      <c r="E480">
        <v>3</v>
      </c>
      <c r="F480">
        <v>3</v>
      </c>
      <c r="G480">
        <v>1</v>
      </c>
      <c r="H480">
        <v>4</v>
      </c>
      <c r="I480">
        <v>26</v>
      </c>
      <c r="J480" t="s">
        <v>13</v>
      </c>
    </row>
    <row r="481" spans="1:10">
      <c r="A481">
        <v>480</v>
      </c>
      <c r="B481" s="1">
        <v>45429</v>
      </c>
      <c r="C481" t="s">
        <v>14</v>
      </c>
      <c r="D481">
        <v>399</v>
      </c>
      <c r="E481">
        <v>7.8</v>
      </c>
      <c r="F481">
        <v>1</v>
      </c>
      <c r="G481">
        <v>0</v>
      </c>
      <c r="H481">
        <v>19</v>
      </c>
      <c r="I481">
        <v>25</v>
      </c>
      <c r="J481" t="s">
        <v>13</v>
      </c>
    </row>
    <row r="482" spans="1:10">
      <c r="A482">
        <v>481</v>
      </c>
      <c r="B482" s="1">
        <v>45567</v>
      </c>
      <c r="C482" t="s">
        <v>12</v>
      </c>
      <c r="D482">
        <v>199</v>
      </c>
      <c r="E482">
        <v>9.3000000000000007</v>
      </c>
      <c r="F482">
        <v>6</v>
      </c>
      <c r="G482">
        <v>0</v>
      </c>
      <c r="H482">
        <v>4</v>
      </c>
      <c r="I482">
        <v>18</v>
      </c>
      <c r="J482" t="s">
        <v>13</v>
      </c>
    </row>
    <row r="483" spans="1:10">
      <c r="A483">
        <v>482</v>
      </c>
      <c r="B483" s="1">
        <v>45010</v>
      </c>
      <c r="C483" t="s">
        <v>10</v>
      </c>
      <c r="D483">
        <v>699</v>
      </c>
      <c r="E483">
        <v>5.4</v>
      </c>
      <c r="F483">
        <v>0</v>
      </c>
      <c r="G483">
        <v>1</v>
      </c>
      <c r="H483">
        <v>31</v>
      </c>
      <c r="I483">
        <v>10</v>
      </c>
      <c r="J483" t="s">
        <v>13</v>
      </c>
    </row>
    <row r="484" spans="1:10">
      <c r="A484">
        <v>483</v>
      </c>
      <c r="B484" s="1">
        <v>45198</v>
      </c>
      <c r="C484" t="s">
        <v>14</v>
      </c>
      <c r="D484">
        <v>399</v>
      </c>
      <c r="E484">
        <v>8.1</v>
      </c>
      <c r="F484">
        <v>6</v>
      </c>
      <c r="G484">
        <v>3</v>
      </c>
      <c r="H484">
        <v>8</v>
      </c>
      <c r="I484">
        <v>31</v>
      </c>
      <c r="J484" t="s">
        <v>13</v>
      </c>
    </row>
    <row r="485" spans="1:10">
      <c r="A485">
        <v>484</v>
      </c>
      <c r="B485" s="1">
        <v>44972</v>
      </c>
      <c r="C485" t="s">
        <v>12</v>
      </c>
      <c r="D485">
        <v>199</v>
      </c>
      <c r="E485">
        <v>10</v>
      </c>
      <c r="F485">
        <v>5</v>
      </c>
      <c r="G485">
        <v>3</v>
      </c>
      <c r="H485">
        <v>35</v>
      </c>
      <c r="I485">
        <v>23</v>
      </c>
      <c r="J485" t="s">
        <v>11</v>
      </c>
    </row>
    <row r="486" spans="1:10">
      <c r="A486">
        <v>485</v>
      </c>
      <c r="B486" s="1">
        <v>45640</v>
      </c>
      <c r="C486" t="s">
        <v>14</v>
      </c>
      <c r="D486">
        <v>399</v>
      </c>
      <c r="E486">
        <v>11.9</v>
      </c>
      <c r="F486">
        <v>3</v>
      </c>
      <c r="G486">
        <v>2</v>
      </c>
      <c r="H486">
        <v>29</v>
      </c>
      <c r="I486">
        <v>36</v>
      </c>
      <c r="J486" t="s">
        <v>11</v>
      </c>
    </row>
    <row r="487" spans="1:10">
      <c r="A487">
        <v>486</v>
      </c>
      <c r="B487" s="1">
        <v>45530</v>
      </c>
      <c r="C487" t="s">
        <v>10</v>
      </c>
      <c r="D487">
        <v>699</v>
      </c>
      <c r="E487">
        <v>2.6</v>
      </c>
      <c r="F487">
        <v>5</v>
      </c>
      <c r="G487">
        <v>4</v>
      </c>
      <c r="H487">
        <v>7</v>
      </c>
      <c r="I487">
        <v>26</v>
      </c>
      <c r="J487" t="s">
        <v>11</v>
      </c>
    </row>
    <row r="488" spans="1:10">
      <c r="A488">
        <v>487</v>
      </c>
      <c r="B488" s="1">
        <v>45630</v>
      </c>
      <c r="C488" t="s">
        <v>12</v>
      </c>
      <c r="D488">
        <v>199</v>
      </c>
      <c r="E488">
        <v>2</v>
      </c>
      <c r="F488">
        <v>6</v>
      </c>
      <c r="G488">
        <v>4</v>
      </c>
      <c r="H488">
        <v>36</v>
      </c>
      <c r="I488">
        <v>26</v>
      </c>
      <c r="J488" t="s">
        <v>11</v>
      </c>
    </row>
    <row r="489" spans="1:10">
      <c r="A489">
        <v>488</v>
      </c>
      <c r="B489" s="1">
        <v>44962</v>
      </c>
      <c r="C489" t="s">
        <v>14</v>
      </c>
      <c r="D489">
        <v>399</v>
      </c>
      <c r="E489">
        <v>12.2</v>
      </c>
      <c r="F489">
        <v>1</v>
      </c>
      <c r="G489">
        <v>3</v>
      </c>
      <c r="H489">
        <v>16</v>
      </c>
      <c r="I489">
        <v>57</v>
      </c>
      <c r="J489" t="s">
        <v>13</v>
      </c>
    </row>
    <row r="490" spans="1:10">
      <c r="A490">
        <v>489</v>
      </c>
      <c r="B490" s="1">
        <v>45104</v>
      </c>
      <c r="C490" t="s">
        <v>10</v>
      </c>
      <c r="D490">
        <v>699</v>
      </c>
      <c r="E490">
        <v>20.100000000000001</v>
      </c>
      <c r="F490">
        <v>2</v>
      </c>
      <c r="G490">
        <v>0</v>
      </c>
      <c r="H490">
        <v>34</v>
      </c>
      <c r="I490">
        <v>60</v>
      </c>
      <c r="J490" t="s">
        <v>13</v>
      </c>
    </row>
    <row r="491" spans="1:10">
      <c r="A491">
        <v>490</v>
      </c>
      <c r="B491" s="1">
        <v>45626</v>
      </c>
      <c r="C491" t="s">
        <v>12</v>
      </c>
      <c r="D491">
        <v>199</v>
      </c>
      <c r="E491">
        <v>20.3</v>
      </c>
      <c r="F491">
        <v>2</v>
      </c>
      <c r="G491">
        <v>0</v>
      </c>
      <c r="H491">
        <v>14</v>
      </c>
      <c r="I491">
        <v>27</v>
      </c>
      <c r="J491" t="s">
        <v>11</v>
      </c>
    </row>
    <row r="492" spans="1:10">
      <c r="A492">
        <v>491</v>
      </c>
      <c r="B492" s="1">
        <v>44995</v>
      </c>
      <c r="C492" t="s">
        <v>14</v>
      </c>
      <c r="D492">
        <v>399</v>
      </c>
      <c r="E492">
        <v>24.9</v>
      </c>
      <c r="F492">
        <v>2</v>
      </c>
      <c r="G492">
        <v>4</v>
      </c>
      <c r="H492">
        <v>13</v>
      </c>
      <c r="I492">
        <v>16</v>
      </c>
      <c r="J492" t="s">
        <v>11</v>
      </c>
    </row>
    <row r="493" spans="1:10">
      <c r="A493">
        <v>492</v>
      </c>
      <c r="B493" s="1">
        <v>45396</v>
      </c>
      <c r="C493" t="s">
        <v>12</v>
      </c>
      <c r="D493">
        <v>199</v>
      </c>
      <c r="E493">
        <v>14.1</v>
      </c>
      <c r="F493">
        <v>8</v>
      </c>
      <c r="G493">
        <v>2</v>
      </c>
      <c r="H493">
        <v>25</v>
      </c>
      <c r="I493">
        <v>54</v>
      </c>
      <c r="J493" t="s">
        <v>11</v>
      </c>
    </row>
    <row r="494" spans="1:10">
      <c r="A494">
        <v>493</v>
      </c>
      <c r="B494" s="1">
        <v>45529</v>
      </c>
      <c r="C494" t="s">
        <v>12</v>
      </c>
      <c r="D494">
        <v>199</v>
      </c>
      <c r="E494">
        <v>19.7</v>
      </c>
      <c r="F494">
        <v>1</v>
      </c>
      <c r="G494">
        <v>3</v>
      </c>
      <c r="H494">
        <v>34</v>
      </c>
      <c r="I494">
        <v>9</v>
      </c>
      <c r="J494" t="s">
        <v>11</v>
      </c>
    </row>
    <row r="495" spans="1:10">
      <c r="A495">
        <v>494</v>
      </c>
      <c r="B495" s="1">
        <v>45279</v>
      </c>
      <c r="C495" t="s">
        <v>10</v>
      </c>
      <c r="D495">
        <v>699</v>
      </c>
      <c r="E495">
        <v>23.2</v>
      </c>
      <c r="F495">
        <v>1</v>
      </c>
      <c r="G495">
        <v>2</v>
      </c>
      <c r="H495">
        <v>7</v>
      </c>
      <c r="I495">
        <v>55</v>
      </c>
      <c r="J495" t="s">
        <v>11</v>
      </c>
    </row>
    <row r="496" spans="1:10">
      <c r="A496">
        <v>495</v>
      </c>
      <c r="B496" s="1">
        <v>45103</v>
      </c>
      <c r="C496" t="s">
        <v>14</v>
      </c>
      <c r="D496">
        <v>399</v>
      </c>
      <c r="E496">
        <v>9.9</v>
      </c>
      <c r="F496">
        <v>7</v>
      </c>
      <c r="G496">
        <v>4</v>
      </c>
      <c r="H496">
        <v>17</v>
      </c>
      <c r="I496">
        <v>38</v>
      </c>
      <c r="J496" t="s">
        <v>11</v>
      </c>
    </row>
    <row r="497" spans="1:10">
      <c r="A497">
        <v>496</v>
      </c>
      <c r="B497" s="1">
        <v>45266</v>
      </c>
      <c r="C497" t="s">
        <v>14</v>
      </c>
      <c r="D497">
        <v>399</v>
      </c>
      <c r="E497">
        <v>4</v>
      </c>
      <c r="F497">
        <v>6</v>
      </c>
      <c r="G497">
        <v>0</v>
      </c>
      <c r="H497">
        <v>26</v>
      </c>
      <c r="I497">
        <v>25</v>
      </c>
      <c r="J497" t="s">
        <v>13</v>
      </c>
    </row>
    <row r="498" spans="1:10">
      <c r="A498">
        <v>497</v>
      </c>
      <c r="B498" s="1">
        <v>45272</v>
      </c>
      <c r="C498" t="s">
        <v>10</v>
      </c>
      <c r="D498">
        <v>699</v>
      </c>
      <c r="E498">
        <v>1.7</v>
      </c>
      <c r="F498">
        <v>7</v>
      </c>
      <c r="G498">
        <v>2</v>
      </c>
      <c r="H498">
        <v>16</v>
      </c>
      <c r="I498">
        <v>57</v>
      </c>
      <c r="J498" t="s">
        <v>11</v>
      </c>
    </row>
    <row r="499" spans="1:10">
      <c r="A499">
        <v>498</v>
      </c>
      <c r="B499" s="1">
        <v>45160</v>
      </c>
      <c r="C499" t="s">
        <v>14</v>
      </c>
      <c r="D499">
        <v>399</v>
      </c>
      <c r="E499">
        <v>7.4</v>
      </c>
      <c r="F499">
        <v>7</v>
      </c>
      <c r="G499">
        <v>5</v>
      </c>
      <c r="H499">
        <v>20</v>
      </c>
      <c r="I499">
        <v>43</v>
      </c>
      <c r="J499" t="s">
        <v>11</v>
      </c>
    </row>
    <row r="500" spans="1:10">
      <c r="A500">
        <v>499</v>
      </c>
      <c r="B500" s="1">
        <v>45546</v>
      </c>
      <c r="C500" t="s">
        <v>12</v>
      </c>
      <c r="D500">
        <v>199</v>
      </c>
      <c r="E500">
        <v>24.4</v>
      </c>
      <c r="F500">
        <v>7</v>
      </c>
      <c r="G500">
        <v>2</v>
      </c>
      <c r="H500">
        <v>20</v>
      </c>
      <c r="I500">
        <v>17</v>
      </c>
      <c r="J500" t="s">
        <v>13</v>
      </c>
    </row>
    <row r="501" spans="1:10">
      <c r="A501">
        <v>500</v>
      </c>
      <c r="B501" s="1">
        <v>45455</v>
      </c>
      <c r="C501" t="s">
        <v>10</v>
      </c>
      <c r="D501">
        <v>699</v>
      </c>
      <c r="E501">
        <v>5.0999999999999996</v>
      </c>
      <c r="F501">
        <v>3</v>
      </c>
      <c r="G501">
        <v>3</v>
      </c>
      <c r="H501">
        <v>6</v>
      </c>
      <c r="I501">
        <v>47</v>
      </c>
      <c r="J501" t="s">
        <v>11</v>
      </c>
    </row>
    <row r="502" spans="1:10">
      <c r="A502">
        <v>501</v>
      </c>
      <c r="B502" s="1">
        <v>45340</v>
      </c>
      <c r="C502" t="s">
        <v>14</v>
      </c>
      <c r="D502">
        <v>399</v>
      </c>
      <c r="E502">
        <v>13.1</v>
      </c>
      <c r="F502">
        <v>2</v>
      </c>
      <c r="G502">
        <v>0</v>
      </c>
      <c r="H502">
        <v>4</v>
      </c>
      <c r="I502">
        <v>19</v>
      </c>
      <c r="J502" t="s">
        <v>13</v>
      </c>
    </row>
    <row r="503" spans="1:10">
      <c r="A503">
        <v>502</v>
      </c>
      <c r="B503" s="1">
        <v>45132</v>
      </c>
      <c r="C503" t="s">
        <v>12</v>
      </c>
      <c r="D503">
        <v>199</v>
      </c>
      <c r="E503">
        <v>22</v>
      </c>
      <c r="F503">
        <v>0</v>
      </c>
      <c r="G503">
        <v>1</v>
      </c>
      <c r="H503">
        <v>34</v>
      </c>
      <c r="I503">
        <v>12</v>
      </c>
      <c r="J503" t="s">
        <v>13</v>
      </c>
    </row>
    <row r="504" spans="1:10">
      <c r="A504">
        <v>503</v>
      </c>
      <c r="B504" s="1">
        <v>45304</v>
      </c>
      <c r="C504" t="s">
        <v>12</v>
      </c>
      <c r="D504">
        <v>199</v>
      </c>
      <c r="E504">
        <v>1.3</v>
      </c>
      <c r="F504">
        <v>0</v>
      </c>
      <c r="G504">
        <v>2</v>
      </c>
      <c r="H504">
        <v>16</v>
      </c>
      <c r="I504">
        <v>45</v>
      </c>
      <c r="J504" t="s">
        <v>11</v>
      </c>
    </row>
    <row r="505" spans="1:10">
      <c r="A505">
        <v>504</v>
      </c>
      <c r="B505" s="1">
        <v>45427</v>
      </c>
      <c r="C505" t="s">
        <v>14</v>
      </c>
      <c r="D505">
        <v>399</v>
      </c>
      <c r="E505">
        <v>10.199999999999999</v>
      </c>
      <c r="F505">
        <v>1</v>
      </c>
      <c r="G505">
        <v>5</v>
      </c>
      <c r="H505">
        <v>33</v>
      </c>
      <c r="I505">
        <v>1</v>
      </c>
      <c r="J505" t="s">
        <v>11</v>
      </c>
    </row>
    <row r="506" spans="1:10">
      <c r="A506">
        <v>505</v>
      </c>
      <c r="B506" s="1">
        <v>45094</v>
      </c>
      <c r="C506" t="s">
        <v>10</v>
      </c>
      <c r="D506">
        <v>699</v>
      </c>
      <c r="E506">
        <v>4.9000000000000004</v>
      </c>
      <c r="F506">
        <v>7</v>
      </c>
      <c r="G506">
        <v>4</v>
      </c>
      <c r="H506">
        <v>29</v>
      </c>
      <c r="I506">
        <v>35</v>
      </c>
      <c r="J506" t="s">
        <v>11</v>
      </c>
    </row>
    <row r="507" spans="1:10">
      <c r="A507">
        <v>506</v>
      </c>
      <c r="B507" s="1">
        <v>45146</v>
      </c>
      <c r="C507" t="s">
        <v>14</v>
      </c>
      <c r="D507">
        <v>399</v>
      </c>
      <c r="E507">
        <v>7.5</v>
      </c>
      <c r="F507">
        <v>6</v>
      </c>
      <c r="G507">
        <v>0</v>
      </c>
      <c r="H507">
        <v>6</v>
      </c>
      <c r="I507">
        <v>10</v>
      </c>
      <c r="J507" t="s">
        <v>13</v>
      </c>
    </row>
    <row r="508" spans="1:10">
      <c r="A508">
        <v>507</v>
      </c>
      <c r="B508" s="1">
        <v>45625</v>
      </c>
      <c r="C508" t="s">
        <v>12</v>
      </c>
      <c r="D508">
        <v>199</v>
      </c>
      <c r="E508">
        <v>17.100000000000001</v>
      </c>
      <c r="F508">
        <v>4</v>
      </c>
      <c r="G508">
        <v>5</v>
      </c>
      <c r="H508">
        <v>15</v>
      </c>
      <c r="I508">
        <v>26</v>
      </c>
      <c r="J508" t="s">
        <v>11</v>
      </c>
    </row>
    <row r="509" spans="1:10">
      <c r="A509">
        <v>508</v>
      </c>
      <c r="B509" s="1">
        <v>45185</v>
      </c>
      <c r="C509" t="s">
        <v>12</v>
      </c>
      <c r="D509">
        <v>199</v>
      </c>
      <c r="E509">
        <v>22.8</v>
      </c>
      <c r="F509">
        <v>2</v>
      </c>
      <c r="G509">
        <v>4</v>
      </c>
      <c r="H509">
        <v>31</v>
      </c>
      <c r="I509">
        <v>51</v>
      </c>
      <c r="J509" t="s">
        <v>11</v>
      </c>
    </row>
    <row r="510" spans="1:10">
      <c r="A510">
        <v>509</v>
      </c>
      <c r="B510" s="1">
        <v>45284</v>
      </c>
      <c r="C510" t="s">
        <v>10</v>
      </c>
      <c r="D510">
        <v>699</v>
      </c>
      <c r="E510">
        <v>18</v>
      </c>
      <c r="F510">
        <v>4</v>
      </c>
      <c r="G510">
        <v>3</v>
      </c>
      <c r="H510">
        <v>20</v>
      </c>
      <c r="I510">
        <v>57</v>
      </c>
      <c r="J510" t="s">
        <v>11</v>
      </c>
    </row>
    <row r="511" spans="1:10">
      <c r="A511">
        <v>510</v>
      </c>
      <c r="B511" s="1">
        <v>45333</v>
      </c>
      <c r="C511" t="s">
        <v>14</v>
      </c>
      <c r="D511">
        <v>399</v>
      </c>
      <c r="E511">
        <v>5.8</v>
      </c>
      <c r="F511">
        <v>4</v>
      </c>
      <c r="G511">
        <v>5</v>
      </c>
      <c r="H511">
        <v>17</v>
      </c>
      <c r="I511">
        <v>33</v>
      </c>
      <c r="J511" t="s">
        <v>13</v>
      </c>
    </row>
    <row r="512" spans="1:10">
      <c r="A512">
        <v>511</v>
      </c>
      <c r="B512" s="1">
        <v>45216</v>
      </c>
      <c r="C512" t="s">
        <v>10</v>
      </c>
      <c r="D512">
        <v>699</v>
      </c>
      <c r="E512">
        <v>0.7</v>
      </c>
      <c r="F512">
        <v>5</v>
      </c>
      <c r="G512">
        <v>4</v>
      </c>
      <c r="H512">
        <v>7</v>
      </c>
      <c r="I512">
        <v>41</v>
      </c>
      <c r="J512" t="s">
        <v>11</v>
      </c>
    </row>
    <row r="513" spans="1:10">
      <c r="A513">
        <v>512</v>
      </c>
      <c r="B513" s="1">
        <v>45210</v>
      </c>
      <c r="C513" t="s">
        <v>14</v>
      </c>
      <c r="D513">
        <v>399</v>
      </c>
      <c r="E513">
        <v>12.3</v>
      </c>
      <c r="F513">
        <v>5</v>
      </c>
      <c r="G513">
        <v>2</v>
      </c>
      <c r="H513">
        <v>7</v>
      </c>
      <c r="I513">
        <v>40</v>
      </c>
      <c r="J513" t="s">
        <v>11</v>
      </c>
    </row>
    <row r="514" spans="1:10">
      <c r="A514">
        <v>513</v>
      </c>
      <c r="B514" s="1">
        <v>45541</v>
      </c>
      <c r="C514" t="s">
        <v>14</v>
      </c>
      <c r="D514">
        <v>399</v>
      </c>
      <c r="E514">
        <v>5.0999999999999996</v>
      </c>
      <c r="F514">
        <v>8</v>
      </c>
      <c r="G514">
        <v>1</v>
      </c>
      <c r="H514">
        <v>20</v>
      </c>
      <c r="I514">
        <v>57</v>
      </c>
      <c r="J514" t="s">
        <v>11</v>
      </c>
    </row>
    <row r="515" spans="1:10">
      <c r="A515">
        <v>514</v>
      </c>
      <c r="B515" s="1">
        <v>45192</v>
      </c>
      <c r="C515" t="s">
        <v>14</v>
      </c>
      <c r="D515">
        <v>399</v>
      </c>
      <c r="E515">
        <v>17.2</v>
      </c>
      <c r="F515">
        <v>0</v>
      </c>
      <c r="G515">
        <v>5</v>
      </c>
      <c r="H515">
        <v>21</v>
      </c>
      <c r="I515">
        <v>31</v>
      </c>
      <c r="J515" t="s">
        <v>13</v>
      </c>
    </row>
    <row r="516" spans="1:10">
      <c r="A516">
        <v>515</v>
      </c>
      <c r="B516" s="1">
        <v>45121</v>
      </c>
      <c r="C516" t="s">
        <v>14</v>
      </c>
      <c r="D516">
        <v>399</v>
      </c>
      <c r="E516">
        <v>10</v>
      </c>
      <c r="F516">
        <v>0</v>
      </c>
      <c r="G516">
        <v>4</v>
      </c>
      <c r="H516">
        <v>26</v>
      </c>
      <c r="I516">
        <v>45</v>
      </c>
      <c r="J516" t="s">
        <v>13</v>
      </c>
    </row>
    <row r="517" spans="1:10">
      <c r="A517">
        <v>516</v>
      </c>
      <c r="B517" s="1">
        <v>45101</v>
      </c>
      <c r="C517" t="s">
        <v>14</v>
      </c>
      <c r="D517">
        <v>399</v>
      </c>
      <c r="E517">
        <v>17.3</v>
      </c>
      <c r="F517">
        <v>7</v>
      </c>
      <c r="G517">
        <v>5</v>
      </c>
      <c r="H517">
        <v>15</v>
      </c>
      <c r="I517">
        <v>22</v>
      </c>
      <c r="J517" t="s">
        <v>11</v>
      </c>
    </row>
    <row r="518" spans="1:10">
      <c r="A518">
        <v>517</v>
      </c>
      <c r="B518" s="1">
        <v>45499</v>
      </c>
      <c r="C518" t="s">
        <v>10</v>
      </c>
      <c r="D518">
        <v>699</v>
      </c>
      <c r="E518">
        <v>4.9000000000000004</v>
      </c>
      <c r="F518">
        <v>1</v>
      </c>
      <c r="G518">
        <v>3</v>
      </c>
      <c r="H518">
        <v>36</v>
      </c>
      <c r="I518">
        <v>8</v>
      </c>
      <c r="J518" t="s">
        <v>13</v>
      </c>
    </row>
    <row r="519" spans="1:10">
      <c r="A519">
        <v>518</v>
      </c>
      <c r="B519" s="1">
        <v>45241</v>
      </c>
      <c r="C519" t="s">
        <v>12</v>
      </c>
      <c r="D519">
        <v>199</v>
      </c>
      <c r="E519">
        <v>16.5</v>
      </c>
      <c r="F519">
        <v>3</v>
      </c>
      <c r="G519">
        <v>2</v>
      </c>
      <c r="H519">
        <v>22</v>
      </c>
      <c r="I519">
        <v>14</v>
      </c>
      <c r="J519" t="s">
        <v>13</v>
      </c>
    </row>
    <row r="520" spans="1:10">
      <c r="A520">
        <v>519</v>
      </c>
      <c r="B520" s="1">
        <v>44981</v>
      </c>
      <c r="C520" t="s">
        <v>14</v>
      </c>
      <c r="D520">
        <v>399</v>
      </c>
      <c r="E520">
        <v>9.6</v>
      </c>
      <c r="F520">
        <v>4</v>
      </c>
      <c r="G520">
        <v>3</v>
      </c>
      <c r="H520">
        <v>22</v>
      </c>
      <c r="I520">
        <v>54</v>
      </c>
      <c r="J520" t="s">
        <v>11</v>
      </c>
    </row>
    <row r="521" spans="1:10">
      <c r="A521">
        <v>520</v>
      </c>
      <c r="B521" s="1">
        <v>45317</v>
      </c>
      <c r="C521" t="s">
        <v>10</v>
      </c>
      <c r="D521">
        <v>699</v>
      </c>
      <c r="E521">
        <v>12.1</v>
      </c>
      <c r="F521">
        <v>3</v>
      </c>
      <c r="G521">
        <v>4</v>
      </c>
      <c r="H521">
        <v>5</v>
      </c>
      <c r="I521">
        <v>7</v>
      </c>
      <c r="J521" t="s">
        <v>13</v>
      </c>
    </row>
    <row r="522" spans="1:10">
      <c r="A522">
        <v>521</v>
      </c>
      <c r="B522" s="1">
        <v>45510</v>
      </c>
      <c r="C522" t="s">
        <v>10</v>
      </c>
      <c r="D522">
        <v>699</v>
      </c>
      <c r="E522">
        <v>10.6</v>
      </c>
      <c r="F522">
        <v>2</v>
      </c>
      <c r="G522">
        <v>1</v>
      </c>
      <c r="H522">
        <v>20</v>
      </c>
      <c r="I522">
        <v>12</v>
      </c>
      <c r="J522" t="s">
        <v>13</v>
      </c>
    </row>
    <row r="523" spans="1:10">
      <c r="A523">
        <v>522</v>
      </c>
      <c r="B523" s="1">
        <v>45108</v>
      </c>
      <c r="C523" t="s">
        <v>14</v>
      </c>
      <c r="D523">
        <v>399</v>
      </c>
      <c r="E523">
        <v>8.3000000000000007</v>
      </c>
      <c r="F523">
        <v>2</v>
      </c>
      <c r="G523">
        <v>0</v>
      </c>
      <c r="H523">
        <v>10</v>
      </c>
      <c r="I523">
        <v>31</v>
      </c>
      <c r="J523" t="s">
        <v>11</v>
      </c>
    </row>
    <row r="524" spans="1:10">
      <c r="A524">
        <v>523</v>
      </c>
      <c r="B524" s="1">
        <v>45517</v>
      </c>
      <c r="C524" t="s">
        <v>14</v>
      </c>
      <c r="D524">
        <v>399</v>
      </c>
      <c r="E524">
        <v>0.6</v>
      </c>
      <c r="F524">
        <v>4</v>
      </c>
      <c r="G524">
        <v>1</v>
      </c>
      <c r="H524">
        <v>4</v>
      </c>
      <c r="I524">
        <v>48</v>
      </c>
      <c r="J524" t="s">
        <v>13</v>
      </c>
    </row>
    <row r="525" spans="1:10">
      <c r="A525">
        <v>524</v>
      </c>
      <c r="B525" s="1">
        <v>45366</v>
      </c>
      <c r="C525" t="s">
        <v>12</v>
      </c>
      <c r="D525">
        <v>199</v>
      </c>
      <c r="E525">
        <v>19.7</v>
      </c>
      <c r="F525">
        <v>1</v>
      </c>
      <c r="G525">
        <v>1</v>
      </c>
      <c r="H525">
        <v>32</v>
      </c>
      <c r="I525">
        <v>39</v>
      </c>
      <c r="J525" t="s">
        <v>13</v>
      </c>
    </row>
    <row r="526" spans="1:10">
      <c r="A526">
        <v>525</v>
      </c>
      <c r="B526" s="1">
        <v>45309</v>
      </c>
      <c r="C526" t="s">
        <v>14</v>
      </c>
      <c r="D526">
        <v>399</v>
      </c>
      <c r="E526">
        <v>24.2</v>
      </c>
      <c r="F526">
        <v>6</v>
      </c>
      <c r="G526">
        <v>0</v>
      </c>
      <c r="H526">
        <v>28</v>
      </c>
      <c r="I526">
        <v>2</v>
      </c>
      <c r="J526" t="s">
        <v>13</v>
      </c>
    </row>
    <row r="527" spans="1:10">
      <c r="A527">
        <v>526</v>
      </c>
      <c r="B527" s="1">
        <v>45568</v>
      </c>
      <c r="C527" t="s">
        <v>12</v>
      </c>
      <c r="D527">
        <v>199</v>
      </c>
      <c r="E527">
        <v>19</v>
      </c>
      <c r="F527">
        <v>8</v>
      </c>
      <c r="G527">
        <v>1</v>
      </c>
      <c r="H527">
        <v>21</v>
      </c>
      <c r="I527">
        <v>1</v>
      </c>
      <c r="J527" t="s">
        <v>13</v>
      </c>
    </row>
    <row r="528" spans="1:10">
      <c r="A528">
        <v>527</v>
      </c>
      <c r="B528" s="1">
        <v>45442</v>
      </c>
      <c r="C528" t="s">
        <v>10</v>
      </c>
      <c r="D528">
        <v>699</v>
      </c>
      <c r="E528">
        <v>6</v>
      </c>
      <c r="F528">
        <v>5</v>
      </c>
      <c r="G528">
        <v>2</v>
      </c>
      <c r="H528">
        <v>16</v>
      </c>
      <c r="I528">
        <v>8</v>
      </c>
      <c r="J528" t="s">
        <v>11</v>
      </c>
    </row>
    <row r="529" spans="1:10">
      <c r="A529">
        <v>528</v>
      </c>
      <c r="B529" s="1">
        <v>45459</v>
      </c>
      <c r="C529" t="s">
        <v>10</v>
      </c>
      <c r="D529">
        <v>699</v>
      </c>
      <c r="E529">
        <v>4.5999999999999996</v>
      </c>
      <c r="F529">
        <v>0</v>
      </c>
      <c r="G529">
        <v>2</v>
      </c>
      <c r="H529">
        <v>20</v>
      </c>
      <c r="I529">
        <v>60</v>
      </c>
      <c r="J529" t="s">
        <v>11</v>
      </c>
    </row>
    <row r="530" spans="1:10">
      <c r="A530">
        <v>529</v>
      </c>
      <c r="B530" s="1">
        <v>45119</v>
      </c>
      <c r="C530" t="s">
        <v>10</v>
      </c>
      <c r="D530">
        <v>699</v>
      </c>
      <c r="E530">
        <v>8.8000000000000007</v>
      </c>
      <c r="F530">
        <v>2</v>
      </c>
      <c r="G530">
        <v>2</v>
      </c>
      <c r="H530">
        <v>34</v>
      </c>
      <c r="I530">
        <v>57</v>
      </c>
      <c r="J530" t="s">
        <v>11</v>
      </c>
    </row>
    <row r="531" spans="1:10">
      <c r="A531">
        <v>530</v>
      </c>
      <c r="B531" s="1">
        <v>44949</v>
      </c>
      <c r="C531" t="s">
        <v>12</v>
      </c>
      <c r="D531">
        <v>199</v>
      </c>
      <c r="E531">
        <v>1</v>
      </c>
      <c r="F531">
        <v>3</v>
      </c>
      <c r="G531">
        <v>5</v>
      </c>
      <c r="H531">
        <v>26</v>
      </c>
      <c r="I531">
        <v>8</v>
      </c>
      <c r="J531" t="s">
        <v>11</v>
      </c>
    </row>
    <row r="532" spans="1:10">
      <c r="A532">
        <v>531</v>
      </c>
      <c r="B532" s="1">
        <v>45311</v>
      </c>
      <c r="C532" t="s">
        <v>10</v>
      </c>
      <c r="D532">
        <v>699</v>
      </c>
      <c r="E532">
        <v>4.5999999999999996</v>
      </c>
      <c r="F532">
        <v>5</v>
      </c>
      <c r="G532">
        <v>5</v>
      </c>
      <c r="H532">
        <v>33</v>
      </c>
      <c r="I532">
        <v>41</v>
      </c>
      <c r="J532" t="s">
        <v>11</v>
      </c>
    </row>
    <row r="533" spans="1:10">
      <c r="A533">
        <v>532</v>
      </c>
      <c r="B533" s="1">
        <v>45596</v>
      </c>
      <c r="C533" t="s">
        <v>10</v>
      </c>
      <c r="D533">
        <v>699</v>
      </c>
      <c r="E533">
        <v>19.399999999999999</v>
      </c>
      <c r="F533">
        <v>0</v>
      </c>
      <c r="G533">
        <v>4</v>
      </c>
      <c r="H533">
        <v>17</v>
      </c>
      <c r="I533">
        <v>3</v>
      </c>
      <c r="J533" t="s">
        <v>13</v>
      </c>
    </row>
    <row r="534" spans="1:10">
      <c r="A534">
        <v>533</v>
      </c>
      <c r="B534" s="1">
        <v>45185</v>
      </c>
      <c r="C534" t="s">
        <v>12</v>
      </c>
      <c r="D534">
        <v>199</v>
      </c>
      <c r="E534">
        <v>17.399999999999999</v>
      </c>
      <c r="F534">
        <v>6</v>
      </c>
      <c r="G534">
        <v>3</v>
      </c>
      <c r="H534">
        <v>4</v>
      </c>
      <c r="I534">
        <v>24</v>
      </c>
      <c r="J534" t="s">
        <v>11</v>
      </c>
    </row>
    <row r="535" spans="1:10">
      <c r="A535">
        <v>534</v>
      </c>
      <c r="B535" s="1">
        <v>45605</v>
      </c>
      <c r="C535" t="s">
        <v>14</v>
      </c>
      <c r="D535">
        <v>399</v>
      </c>
      <c r="E535">
        <v>5.5</v>
      </c>
      <c r="F535">
        <v>0</v>
      </c>
      <c r="G535">
        <v>2</v>
      </c>
      <c r="H535">
        <v>10</v>
      </c>
      <c r="I535">
        <v>26</v>
      </c>
      <c r="J535" t="s">
        <v>13</v>
      </c>
    </row>
    <row r="536" spans="1:10">
      <c r="A536">
        <v>535</v>
      </c>
      <c r="B536" s="1">
        <v>45450</v>
      </c>
      <c r="C536" t="s">
        <v>10</v>
      </c>
      <c r="D536">
        <v>699</v>
      </c>
      <c r="E536">
        <v>15.8</v>
      </c>
      <c r="F536">
        <v>2</v>
      </c>
      <c r="G536">
        <v>3</v>
      </c>
      <c r="H536">
        <v>18</v>
      </c>
      <c r="I536">
        <v>53</v>
      </c>
      <c r="J536" t="s">
        <v>13</v>
      </c>
    </row>
    <row r="537" spans="1:10">
      <c r="A537">
        <v>536</v>
      </c>
      <c r="B537" s="1">
        <v>45196</v>
      </c>
      <c r="C537" t="s">
        <v>10</v>
      </c>
      <c r="D537">
        <v>699</v>
      </c>
      <c r="E537">
        <v>7.4</v>
      </c>
      <c r="F537">
        <v>1</v>
      </c>
      <c r="G537">
        <v>3</v>
      </c>
      <c r="H537">
        <v>8</v>
      </c>
      <c r="I537">
        <v>12</v>
      </c>
      <c r="J537" t="s">
        <v>13</v>
      </c>
    </row>
    <row r="538" spans="1:10">
      <c r="A538">
        <v>537</v>
      </c>
      <c r="B538" s="1">
        <v>45435</v>
      </c>
      <c r="C538" t="s">
        <v>10</v>
      </c>
      <c r="D538">
        <v>699</v>
      </c>
      <c r="E538">
        <v>9.3000000000000007</v>
      </c>
      <c r="F538">
        <v>6</v>
      </c>
      <c r="G538">
        <v>2</v>
      </c>
      <c r="H538">
        <v>13</v>
      </c>
      <c r="I538">
        <v>10</v>
      </c>
      <c r="J538" t="s">
        <v>11</v>
      </c>
    </row>
    <row r="539" spans="1:10">
      <c r="A539">
        <v>538</v>
      </c>
      <c r="B539" s="1">
        <v>45040</v>
      </c>
      <c r="C539" t="s">
        <v>12</v>
      </c>
      <c r="D539">
        <v>199</v>
      </c>
      <c r="E539">
        <v>8.6</v>
      </c>
      <c r="F539">
        <v>0</v>
      </c>
      <c r="G539">
        <v>0</v>
      </c>
      <c r="H539">
        <v>31</v>
      </c>
      <c r="I539">
        <v>42</v>
      </c>
      <c r="J539" t="s">
        <v>11</v>
      </c>
    </row>
    <row r="540" spans="1:10">
      <c r="A540">
        <v>539</v>
      </c>
      <c r="B540" s="1">
        <v>45030</v>
      </c>
      <c r="C540" t="s">
        <v>10</v>
      </c>
      <c r="D540">
        <v>699</v>
      </c>
      <c r="E540">
        <v>4.2</v>
      </c>
      <c r="F540">
        <v>1</v>
      </c>
      <c r="G540">
        <v>4</v>
      </c>
      <c r="H540">
        <v>32</v>
      </c>
      <c r="I540">
        <v>4</v>
      </c>
      <c r="J540" t="s">
        <v>13</v>
      </c>
    </row>
    <row r="541" spans="1:10">
      <c r="A541">
        <v>540</v>
      </c>
      <c r="B541" s="1">
        <v>45105</v>
      </c>
      <c r="C541" t="s">
        <v>14</v>
      </c>
      <c r="D541">
        <v>399</v>
      </c>
      <c r="E541">
        <v>11.7</v>
      </c>
      <c r="F541">
        <v>4</v>
      </c>
      <c r="G541">
        <v>2</v>
      </c>
      <c r="H541">
        <v>15</v>
      </c>
      <c r="I541">
        <v>29</v>
      </c>
      <c r="J541" t="s">
        <v>11</v>
      </c>
    </row>
    <row r="542" spans="1:10">
      <c r="A542">
        <v>541</v>
      </c>
      <c r="B542" s="1">
        <v>44973</v>
      </c>
      <c r="C542" t="s">
        <v>12</v>
      </c>
      <c r="D542">
        <v>199</v>
      </c>
      <c r="E542">
        <v>9.3000000000000007</v>
      </c>
      <c r="F542">
        <v>5</v>
      </c>
      <c r="G542">
        <v>3</v>
      </c>
      <c r="H542">
        <v>19</v>
      </c>
      <c r="I542">
        <v>47</v>
      </c>
      <c r="J542" t="s">
        <v>11</v>
      </c>
    </row>
    <row r="543" spans="1:10">
      <c r="A543">
        <v>542</v>
      </c>
      <c r="B543" s="1">
        <v>45563</v>
      </c>
      <c r="C543" t="s">
        <v>12</v>
      </c>
      <c r="D543">
        <v>199</v>
      </c>
      <c r="E543">
        <v>16.8</v>
      </c>
      <c r="F543">
        <v>2</v>
      </c>
      <c r="G543">
        <v>2</v>
      </c>
      <c r="H543">
        <v>9</v>
      </c>
      <c r="I543">
        <v>22</v>
      </c>
      <c r="J543" t="s">
        <v>13</v>
      </c>
    </row>
    <row r="544" spans="1:10">
      <c r="A544">
        <v>543</v>
      </c>
      <c r="B544" s="1">
        <v>45394</v>
      </c>
      <c r="C544" t="s">
        <v>14</v>
      </c>
      <c r="D544">
        <v>399</v>
      </c>
      <c r="E544">
        <v>9.6</v>
      </c>
      <c r="F544">
        <v>5</v>
      </c>
      <c r="G544">
        <v>1</v>
      </c>
      <c r="H544">
        <v>6</v>
      </c>
      <c r="I544">
        <v>7</v>
      </c>
      <c r="J544" t="s">
        <v>13</v>
      </c>
    </row>
    <row r="545" spans="1:10">
      <c r="A545">
        <v>544</v>
      </c>
      <c r="B545" s="1">
        <v>45097</v>
      </c>
      <c r="C545" t="s">
        <v>14</v>
      </c>
      <c r="D545">
        <v>399</v>
      </c>
      <c r="E545">
        <v>17.399999999999999</v>
      </c>
      <c r="F545">
        <v>7</v>
      </c>
      <c r="G545">
        <v>3</v>
      </c>
      <c r="H545">
        <v>25</v>
      </c>
      <c r="I545">
        <v>41</v>
      </c>
      <c r="J545" t="s">
        <v>13</v>
      </c>
    </row>
    <row r="546" spans="1:10">
      <c r="A546">
        <v>545</v>
      </c>
      <c r="B546" s="1">
        <v>45531</v>
      </c>
      <c r="C546" t="s">
        <v>12</v>
      </c>
      <c r="D546">
        <v>199</v>
      </c>
      <c r="E546">
        <v>17.600000000000001</v>
      </c>
      <c r="F546">
        <v>0</v>
      </c>
      <c r="G546">
        <v>1</v>
      </c>
      <c r="H546">
        <v>9</v>
      </c>
      <c r="I546">
        <v>6</v>
      </c>
      <c r="J546" t="s">
        <v>13</v>
      </c>
    </row>
    <row r="547" spans="1:10">
      <c r="A547">
        <v>546</v>
      </c>
      <c r="B547" s="1">
        <v>45627</v>
      </c>
      <c r="C547" t="s">
        <v>14</v>
      </c>
      <c r="D547">
        <v>399</v>
      </c>
      <c r="E547">
        <v>4.9000000000000004</v>
      </c>
      <c r="F547">
        <v>6</v>
      </c>
      <c r="G547">
        <v>2</v>
      </c>
      <c r="H547">
        <v>29</v>
      </c>
      <c r="I547">
        <v>39</v>
      </c>
      <c r="J547" t="s">
        <v>11</v>
      </c>
    </row>
    <row r="548" spans="1:10">
      <c r="A548">
        <v>547</v>
      </c>
      <c r="B548" s="1">
        <v>44974</v>
      </c>
      <c r="C548" t="s">
        <v>10</v>
      </c>
      <c r="D548">
        <v>699</v>
      </c>
      <c r="E548">
        <v>12.3</v>
      </c>
      <c r="F548">
        <v>7</v>
      </c>
      <c r="G548">
        <v>0</v>
      </c>
      <c r="H548">
        <v>9</v>
      </c>
      <c r="I548">
        <v>56</v>
      </c>
      <c r="J548" t="s">
        <v>11</v>
      </c>
    </row>
    <row r="549" spans="1:10">
      <c r="A549">
        <v>548</v>
      </c>
      <c r="B549" s="1">
        <v>45517</v>
      </c>
      <c r="C549" t="s">
        <v>12</v>
      </c>
      <c r="D549">
        <v>199</v>
      </c>
      <c r="E549">
        <v>16.5</v>
      </c>
      <c r="F549">
        <v>0</v>
      </c>
      <c r="G549">
        <v>5</v>
      </c>
      <c r="H549">
        <v>17</v>
      </c>
      <c r="I549">
        <v>55</v>
      </c>
      <c r="J549" t="s">
        <v>13</v>
      </c>
    </row>
    <row r="550" spans="1:10">
      <c r="A550">
        <v>549</v>
      </c>
      <c r="B550" s="1">
        <v>45560</v>
      </c>
      <c r="C550" t="s">
        <v>10</v>
      </c>
      <c r="D550">
        <v>699</v>
      </c>
      <c r="E550">
        <v>24.5</v>
      </c>
      <c r="F550">
        <v>5</v>
      </c>
      <c r="G550">
        <v>4</v>
      </c>
      <c r="H550">
        <v>15</v>
      </c>
      <c r="I550">
        <v>33</v>
      </c>
      <c r="J550" t="s">
        <v>11</v>
      </c>
    </row>
    <row r="551" spans="1:10">
      <c r="A551">
        <v>550</v>
      </c>
      <c r="B551" s="1">
        <v>45583</v>
      </c>
      <c r="C551" t="s">
        <v>12</v>
      </c>
      <c r="D551">
        <v>199</v>
      </c>
      <c r="E551">
        <v>16.7</v>
      </c>
      <c r="F551">
        <v>3</v>
      </c>
      <c r="G551">
        <v>3</v>
      </c>
      <c r="H551">
        <v>28</v>
      </c>
      <c r="I551">
        <v>22</v>
      </c>
      <c r="J551" t="s">
        <v>13</v>
      </c>
    </row>
    <row r="552" spans="1:10">
      <c r="A552">
        <v>551</v>
      </c>
      <c r="B552" s="1">
        <v>45087</v>
      </c>
      <c r="C552" t="s">
        <v>14</v>
      </c>
      <c r="D552">
        <v>399</v>
      </c>
      <c r="E552">
        <v>21.1</v>
      </c>
      <c r="F552">
        <v>8</v>
      </c>
      <c r="G552">
        <v>4</v>
      </c>
      <c r="H552">
        <v>10</v>
      </c>
      <c r="I552">
        <v>3</v>
      </c>
      <c r="J552" t="s">
        <v>11</v>
      </c>
    </row>
    <row r="553" spans="1:10">
      <c r="A553">
        <v>552</v>
      </c>
      <c r="B553" s="1">
        <v>45173</v>
      </c>
      <c r="C553" t="s">
        <v>10</v>
      </c>
      <c r="D553">
        <v>699</v>
      </c>
      <c r="E553">
        <v>21.4</v>
      </c>
      <c r="F553">
        <v>2</v>
      </c>
      <c r="G553">
        <v>0</v>
      </c>
      <c r="H553">
        <v>31</v>
      </c>
      <c r="I553">
        <v>48</v>
      </c>
      <c r="J553" t="s">
        <v>13</v>
      </c>
    </row>
    <row r="554" spans="1:10">
      <c r="A554">
        <v>553</v>
      </c>
      <c r="B554" s="1">
        <v>45167</v>
      </c>
      <c r="C554" t="s">
        <v>14</v>
      </c>
      <c r="D554">
        <v>399</v>
      </c>
      <c r="E554">
        <v>1.7</v>
      </c>
      <c r="F554">
        <v>3</v>
      </c>
      <c r="G554">
        <v>4</v>
      </c>
      <c r="H554">
        <v>18</v>
      </c>
      <c r="I554">
        <v>41</v>
      </c>
      <c r="J554" t="s">
        <v>11</v>
      </c>
    </row>
    <row r="555" spans="1:10">
      <c r="A555">
        <v>554</v>
      </c>
      <c r="B555" s="1">
        <v>45250</v>
      </c>
      <c r="C555" t="s">
        <v>12</v>
      </c>
      <c r="D555">
        <v>199</v>
      </c>
      <c r="E555">
        <v>11.4</v>
      </c>
      <c r="F555">
        <v>7</v>
      </c>
      <c r="G555">
        <v>0</v>
      </c>
      <c r="H555">
        <v>30</v>
      </c>
      <c r="I555">
        <v>54</v>
      </c>
      <c r="J555" t="s">
        <v>11</v>
      </c>
    </row>
    <row r="556" spans="1:10">
      <c r="A556">
        <v>555</v>
      </c>
      <c r="B556" s="1">
        <v>45497</v>
      </c>
      <c r="C556" t="s">
        <v>12</v>
      </c>
      <c r="D556">
        <v>199</v>
      </c>
      <c r="E556">
        <v>18.8</v>
      </c>
      <c r="F556">
        <v>0</v>
      </c>
      <c r="G556">
        <v>0</v>
      </c>
      <c r="H556">
        <v>32</v>
      </c>
      <c r="I556">
        <v>25</v>
      </c>
      <c r="J556" t="s">
        <v>13</v>
      </c>
    </row>
    <row r="557" spans="1:10">
      <c r="A557">
        <v>556</v>
      </c>
      <c r="B557" s="1">
        <v>45614</v>
      </c>
      <c r="C557" t="s">
        <v>10</v>
      </c>
      <c r="D557">
        <v>699</v>
      </c>
      <c r="E557">
        <v>20.7</v>
      </c>
      <c r="F557">
        <v>4</v>
      </c>
      <c r="G557">
        <v>4</v>
      </c>
      <c r="H557">
        <v>1</v>
      </c>
      <c r="I557">
        <v>35</v>
      </c>
      <c r="J557" t="s">
        <v>11</v>
      </c>
    </row>
    <row r="558" spans="1:10">
      <c r="A558">
        <v>557</v>
      </c>
      <c r="B558" s="1">
        <v>45500</v>
      </c>
      <c r="C558" t="s">
        <v>14</v>
      </c>
      <c r="D558">
        <v>399</v>
      </c>
      <c r="E558">
        <v>9.4</v>
      </c>
      <c r="F558">
        <v>0</v>
      </c>
      <c r="G558">
        <v>1</v>
      </c>
      <c r="H558">
        <v>22</v>
      </c>
      <c r="I558">
        <v>54</v>
      </c>
      <c r="J558" t="s">
        <v>13</v>
      </c>
    </row>
    <row r="559" spans="1:10">
      <c r="A559">
        <v>558</v>
      </c>
      <c r="B559" s="1">
        <v>45601</v>
      </c>
      <c r="C559" t="s">
        <v>10</v>
      </c>
      <c r="D559">
        <v>699</v>
      </c>
      <c r="E559">
        <v>18.100000000000001</v>
      </c>
      <c r="F559">
        <v>5</v>
      </c>
      <c r="G559">
        <v>5</v>
      </c>
      <c r="H559">
        <v>31</v>
      </c>
      <c r="I559">
        <v>28</v>
      </c>
      <c r="J559" t="s">
        <v>11</v>
      </c>
    </row>
    <row r="560" spans="1:10">
      <c r="A560">
        <v>559</v>
      </c>
      <c r="B560" s="1">
        <v>45035</v>
      </c>
      <c r="C560" t="s">
        <v>12</v>
      </c>
      <c r="D560">
        <v>199</v>
      </c>
      <c r="E560">
        <v>8.9</v>
      </c>
      <c r="F560">
        <v>4</v>
      </c>
      <c r="G560">
        <v>4</v>
      </c>
      <c r="H560">
        <v>1</v>
      </c>
      <c r="I560">
        <v>33</v>
      </c>
      <c r="J560" t="s">
        <v>11</v>
      </c>
    </row>
    <row r="561" spans="1:10">
      <c r="A561">
        <v>560</v>
      </c>
      <c r="B561" s="1">
        <v>45119</v>
      </c>
      <c r="C561" t="s">
        <v>12</v>
      </c>
      <c r="D561">
        <v>199</v>
      </c>
      <c r="E561">
        <v>12.6</v>
      </c>
      <c r="F561">
        <v>6</v>
      </c>
      <c r="G561">
        <v>0</v>
      </c>
      <c r="H561">
        <v>11</v>
      </c>
      <c r="I561">
        <v>16</v>
      </c>
      <c r="J561" t="s">
        <v>13</v>
      </c>
    </row>
    <row r="562" spans="1:10">
      <c r="A562">
        <v>561</v>
      </c>
      <c r="B562" s="1">
        <v>45351</v>
      </c>
      <c r="C562" t="s">
        <v>12</v>
      </c>
      <c r="D562">
        <v>199</v>
      </c>
      <c r="E562">
        <v>5.8</v>
      </c>
      <c r="F562">
        <v>3</v>
      </c>
      <c r="G562">
        <v>5</v>
      </c>
      <c r="H562">
        <v>26</v>
      </c>
      <c r="I562">
        <v>21</v>
      </c>
      <c r="J562" t="s">
        <v>11</v>
      </c>
    </row>
    <row r="563" spans="1:10">
      <c r="A563">
        <v>562</v>
      </c>
      <c r="B563" s="1">
        <v>45443</v>
      </c>
      <c r="C563" t="s">
        <v>12</v>
      </c>
      <c r="D563">
        <v>199</v>
      </c>
      <c r="E563">
        <v>19.399999999999999</v>
      </c>
      <c r="F563">
        <v>7</v>
      </c>
      <c r="G563">
        <v>3</v>
      </c>
      <c r="H563">
        <v>8</v>
      </c>
      <c r="I563">
        <v>42</v>
      </c>
      <c r="J563" t="s">
        <v>11</v>
      </c>
    </row>
    <row r="564" spans="1:10">
      <c r="A564">
        <v>563</v>
      </c>
      <c r="B564" s="1">
        <v>45526</v>
      </c>
      <c r="C564" t="s">
        <v>12</v>
      </c>
      <c r="D564">
        <v>199</v>
      </c>
      <c r="E564">
        <v>0.6</v>
      </c>
      <c r="F564">
        <v>0</v>
      </c>
      <c r="G564">
        <v>4</v>
      </c>
      <c r="H564">
        <v>32</v>
      </c>
      <c r="I564">
        <v>59</v>
      </c>
      <c r="J564" t="s">
        <v>11</v>
      </c>
    </row>
    <row r="565" spans="1:10">
      <c r="A565">
        <v>564</v>
      </c>
      <c r="B565" s="1">
        <v>45058</v>
      </c>
      <c r="C565" t="s">
        <v>14</v>
      </c>
      <c r="D565">
        <v>399</v>
      </c>
      <c r="E565">
        <v>19.600000000000001</v>
      </c>
      <c r="F565">
        <v>2</v>
      </c>
      <c r="G565">
        <v>5</v>
      </c>
      <c r="H565">
        <v>33</v>
      </c>
      <c r="I565">
        <v>37</v>
      </c>
      <c r="J565" t="s">
        <v>11</v>
      </c>
    </row>
    <row r="566" spans="1:10">
      <c r="A566">
        <v>565</v>
      </c>
      <c r="B566" s="1">
        <v>45550</v>
      </c>
      <c r="C566" t="s">
        <v>12</v>
      </c>
      <c r="D566">
        <v>199</v>
      </c>
      <c r="E566">
        <v>16.600000000000001</v>
      </c>
      <c r="F566">
        <v>5</v>
      </c>
      <c r="G566">
        <v>4</v>
      </c>
      <c r="H566">
        <v>25</v>
      </c>
      <c r="I566">
        <v>56</v>
      </c>
      <c r="J566" t="s">
        <v>11</v>
      </c>
    </row>
    <row r="567" spans="1:10">
      <c r="A567">
        <v>566</v>
      </c>
      <c r="B567" s="1">
        <v>45068</v>
      </c>
      <c r="C567" t="s">
        <v>10</v>
      </c>
      <c r="D567">
        <v>699</v>
      </c>
      <c r="E567">
        <v>7.2</v>
      </c>
      <c r="F567">
        <v>5</v>
      </c>
      <c r="G567">
        <v>2</v>
      </c>
      <c r="H567">
        <v>16</v>
      </c>
      <c r="I567">
        <v>28</v>
      </c>
      <c r="J567" t="s">
        <v>13</v>
      </c>
    </row>
    <row r="568" spans="1:10">
      <c r="A568">
        <v>567</v>
      </c>
      <c r="B568" s="1">
        <v>45493</v>
      </c>
      <c r="C568" t="s">
        <v>14</v>
      </c>
      <c r="D568">
        <v>399</v>
      </c>
      <c r="E568">
        <v>7.8</v>
      </c>
      <c r="F568">
        <v>8</v>
      </c>
      <c r="G568">
        <v>2</v>
      </c>
      <c r="H568">
        <v>33</v>
      </c>
      <c r="I568">
        <v>45</v>
      </c>
      <c r="J568" t="s">
        <v>11</v>
      </c>
    </row>
    <row r="569" spans="1:10">
      <c r="A569">
        <v>568</v>
      </c>
      <c r="B569" s="1">
        <v>45062</v>
      </c>
      <c r="C569" t="s">
        <v>10</v>
      </c>
      <c r="D569">
        <v>699</v>
      </c>
      <c r="E569">
        <v>5.4</v>
      </c>
      <c r="F569">
        <v>4</v>
      </c>
      <c r="G569">
        <v>5</v>
      </c>
      <c r="H569">
        <v>14</v>
      </c>
      <c r="I569">
        <v>22</v>
      </c>
      <c r="J569" t="s">
        <v>13</v>
      </c>
    </row>
    <row r="570" spans="1:10">
      <c r="A570">
        <v>569</v>
      </c>
      <c r="B570" s="1">
        <v>45502</v>
      </c>
      <c r="C570" t="s">
        <v>10</v>
      </c>
      <c r="D570">
        <v>699</v>
      </c>
      <c r="E570">
        <v>12.8</v>
      </c>
      <c r="F570">
        <v>5</v>
      </c>
      <c r="G570">
        <v>5</v>
      </c>
      <c r="H570">
        <v>12</v>
      </c>
      <c r="I570">
        <v>7</v>
      </c>
      <c r="J570" t="s">
        <v>13</v>
      </c>
    </row>
    <row r="571" spans="1:10">
      <c r="A571">
        <v>570</v>
      </c>
      <c r="B571" s="1">
        <v>44940</v>
      </c>
      <c r="C571" t="s">
        <v>14</v>
      </c>
      <c r="D571">
        <v>399</v>
      </c>
      <c r="E571">
        <v>17</v>
      </c>
      <c r="F571">
        <v>8</v>
      </c>
      <c r="G571">
        <v>2</v>
      </c>
      <c r="H571">
        <v>27</v>
      </c>
      <c r="I571">
        <v>56</v>
      </c>
      <c r="J571" t="s">
        <v>13</v>
      </c>
    </row>
    <row r="572" spans="1:10">
      <c r="A572">
        <v>571</v>
      </c>
      <c r="B572" s="1">
        <v>45200</v>
      </c>
      <c r="C572" t="s">
        <v>10</v>
      </c>
      <c r="D572">
        <v>699</v>
      </c>
      <c r="E572">
        <v>1.1000000000000001</v>
      </c>
      <c r="F572">
        <v>2</v>
      </c>
      <c r="G572">
        <v>0</v>
      </c>
      <c r="H572">
        <v>7</v>
      </c>
      <c r="I572">
        <v>42</v>
      </c>
      <c r="J572" t="s">
        <v>11</v>
      </c>
    </row>
    <row r="573" spans="1:10">
      <c r="A573">
        <v>572</v>
      </c>
      <c r="B573" s="1">
        <v>45135</v>
      </c>
      <c r="C573" t="s">
        <v>12</v>
      </c>
      <c r="D573">
        <v>199</v>
      </c>
      <c r="E573">
        <v>17.2</v>
      </c>
      <c r="F573">
        <v>2</v>
      </c>
      <c r="G573">
        <v>0</v>
      </c>
      <c r="H573">
        <v>19</v>
      </c>
      <c r="I573">
        <v>44</v>
      </c>
      <c r="J573" t="s">
        <v>13</v>
      </c>
    </row>
    <row r="574" spans="1:10">
      <c r="A574">
        <v>573</v>
      </c>
      <c r="B574" s="1">
        <v>45502</v>
      </c>
      <c r="C574" t="s">
        <v>10</v>
      </c>
      <c r="D574">
        <v>699</v>
      </c>
      <c r="E574">
        <v>9.3000000000000007</v>
      </c>
      <c r="F574">
        <v>7</v>
      </c>
      <c r="G574">
        <v>0</v>
      </c>
      <c r="H574">
        <v>3</v>
      </c>
      <c r="I574">
        <v>39</v>
      </c>
      <c r="J574" t="s">
        <v>13</v>
      </c>
    </row>
    <row r="575" spans="1:10">
      <c r="A575">
        <v>574</v>
      </c>
      <c r="B575" s="1">
        <v>44975</v>
      </c>
      <c r="C575" t="s">
        <v>12</v>
      </c>
      <c r="D575">
        <v>199</v>
      </c>
      <c r="E575">
        <v>10</v>
      </c>
      <c r="F575">
        <v>8</v>
      </c>
      <c r="G575">
        <v>5</v>
      </c>
      <c r="H575">
        <v>36</v>
      </c>
      <c r="I575">
        <v>18</v>
      </c>
      <c r="J575" t="s">
        <v>13</v>
      </c>
    </row>
    <row r="576" spans="1:10">
      <c r="A576">
        <v>575</v>
      </c>
      <c r="B576" s="1">
        <v>45184</v>
      </c>
      <c r="C576" t="s">
        <v>14</v>
      </c>
      <c r="D576">
        <v>399</v>
      </c>
      <c r="E576">
        <v>10.7</v>
      </c>
      <c r="F576">
        <v>5</v>
      </c>
      <c r="G576">
        <v>4</v>
      </c>
      <c r="H576">
        <v>25</v>
      </c>
      <c r="I576">
        <v>3</v>
      </c>
      <c r="J576" t="s">
        <v>11</v>
      </c>
    </row>
    <row r="577" spans="1:10">
      <c r="A577">
        <v>576</v>
      </c>
      <c r="B577" s="1">
        <v>45128</v>
      </c>
      <c r="C577" t="s">
        <v>12</v>
      </c>
      <c r="D577">
        <v>199</v>
      </c>
      <c r="E577">
        <v>20.8</v>
      </c>
      <c r="F577">
        <v>5</v>
      </c>
      <c r="G577">
        <v>4</v>
      </c>
      <c r="H577">
        <v>29</v>
      </c>
      <c r="I577">
        <v>34</v>
      </c>
      <c r="J577" t="s">
        <v>11</v>
      </c>
    </row>
    <row r="578" spans="1:10">
      <c r="A578">
        <v>577</v>
      </c>
      <c r="B578" s="1">
        <v>45104</v>
      </c>
      <c r="C578" t="s">
        <v>10</v>
      </c>
      <c r="D578">
        <v>699</v>
      </c>
      <c r="E578">
        <v>7.7</v>
      </c>
      <c r="F578">
        <v>2</v>
      </c>
      <c r="G578">
        <v>5</v>
      </c>
      <c r="H578">
        <v>13</v>
      </c>
      <c r="I578">
        <v>4</v>
      </c>
      <c r="J578" t="s">
        <v>11</v>
      </c>
    </row>
    <row r="579" spans="1:10">
      <c r="A579">
        <v>578</v>
      </c>
      <c r="B579" s="1">
        <v>45060</v>
      </c>
      <c r="C579" t="s">
        <v>10</v>
      </c>
      <c r="D579">
        <v>699</v>
      </c>
      <c r="E579">
        <v>3.4</v>
      </c>
      <c r="F579">
        <v>0</v>
      </c>
      <c r="G579">
        <v>3</v>
      </c>
      <c r="H579">
        <v>33</v>
      </c>
      <c r="I579">
        <v>17</v>
      </c>
      <c r="J579" t="s">
        <v>11</v>
      </c>
    </row>
    <row r="580" spans="1:10">
      <c r="A580">
        <v>579</v>
      </c>
      <c r="B580" s="1">
        <v>45084</v>
      </c>
      <c r="C580" t="s">
        <v>12</v>
      </c>
      <c r="D580">
        <v>199</v>
      </c>
      <c r="E580">
        <v>0.6</v>
      </c>
      <c r="F580">
        <v>7</v>
      </c>
      <c r="G580">
        <v>5</v>
      </c>
      <c r="H580">
        <v>17</v>
      </c>
      <c r="I580">
        <v>59</v>
      </c>
      <c r="J580" t="s">
        <v>11</v>
      </c>
    </row>
    <row r="581" spans="1:10">
      <c r="A581">
        <v>580</v>
      </c>
      <c r="B581" s="1">
        <v>45293</v>
      </c>
      <c r="C581" t="s">
        <v>14</v>
      </c>
      <c r="D581">
        <v>399</v>
      </c>
      <c r="E581">
        <v>19.5</v>
      </c>
      <c r="F581">
        <v>4</v>
      </c>
      <c r="G581">
        <v>3</v>
      </c>
      <c r="H581">
        <v>4</v>
      </c>
      <c r="I581">
        <v>50</v>
      </c>
      <c r="J581" t="s">
        <v>11</v>
      </c>
    </row>
    <row r="582" spans="1:10">
      <c r="A582">
        <v>581</v>
      </c>
      <c r="B582" s="1">
        <v>45090</v>
      </c>
      <c r="C582" t="s">
        <v>12</v>
      </c>
      <c r="D582">
        <v>199</v>
      </c>
      <c r="E582">
        <v>13.4</v>
      </c>
      <c r="F582">
        <v>2</v>
      </c>
      <c r="G582">
        <v>4</v>
      </c>
      <c r="H582">
        <v>21</v>
      </c>
      <c r="I582">
        <v>4</v>
      </c>
      <c r="J582" t="s">
        <v>13</v>
      </c>
    </row>
    <row r="583" spans="1:10">
      <c r="A583">
        <v>582</v>
      </c>
      <c r="B583" s="1">
        <v>45606</v>
      </c>
      <c r="C583" t="s">
        <v>14</v>
      </c>
      <c r="D583">
        <v>399</v>
      </c>
      <c r="E583">
        <v>13.7</v>
      </c>
      <c r="F583">
        <v>1</v>
      </c>
      <c r="G583">
        <v>2</v>
      </c>
      <c r="H583">
        <v>35</v>
      </c>
      <c r="I583">
        <v>14</v>
      </c>
      <c r="J583" t="s">
        <v>13</v>
      </c>
    </row>
    <row r="584" spans="1:10">
      <c r="A584">
        <v>583</v>
      </c>
      <c r="B584" s="1">
        <v>45501</v>
      </c>
      <c r="C584" t="s">
        <v>14</v>
      </c>
      <c r="D584">
        <v>399</v>
      </c>
      <c r="E584">
        <v>9.3000000000000007</v>
      </c>
      <c r="F584">
        <v>3</v>
      </c>
      <c r="G584">
        <v>4</v>
      </c>
      <c r="H584">
        <v>22</v>
      </c>
      <c r="I584">
        <v>33</v>
      </c>
      <c r="J584" t="s">
        <v>11</v>
      </c>
    </row>
    <row r="585" spans="1:10">
      <c r="A585">
        <v>584</v>
      </c>
      <c r="B585" s="1">
        <v>45555</v>
      </c>
      <c r="C585" t="s">
        <v>10</v>
      </c>
      <c r="D585">
        <v>699</v>
      </c>
      <c r="E585">
        <v>3.3</v>
      </c>
      <c r="F585">
        <v>5</v>
      </c>
      <c r="G585">
        <v>3</v>
      </c>
      <c r="H585">
        <v>1</v>
      </c>
      <c r="I585">
        <v>15</v>
      </c>
      <c r="J585" t="s">
        <v>13</v>
      </c>
    </row>
    <row r="586" spans="1:10">
      <c r="A586">
        <v>585</v>
      </c>
      <c r="B586" s="1">
        <v>45043</v>
      </c>
      <c r="C586" t="s">
        <v>10</v>
      </c>
      <c r="D586">
        <v>699</v>
      </c>
      <c r="E586">
        <v>24</v>
      </c>
      <c r="F586">
        <v>5</v>
      </c>
      <c r="G586">
        <v>3</v>
      </c>
      <c r="H586">
        <v>16</v>
      </c>
      <c r="I586">
        <v>58</v>
      </c>
      <c r="J586" t="s">
        <v>13</v>
      </c>
    </row>
    <row r="587" spans="1:10">
      <c r="A587">
        <v>586</v>
      </c>
      <c r="B587" s="1">
        <v>45310</v>
      </c>
      <c r="C587" t="s">
        <v>14</v>
      </c>
      <c r="D587">
        <v>399</v>
      </c>
      <c r="E587">
        <v>13.7</v>
      </c>
      <c r="F587">
        <v>4</v>
      </c>
      <c r="G587">
        <v>0</v>
      </c>
      <c r="H587">
        <v>17</v>
      </c>
      <c r="I587">
        <v>58</v>
      </c>
      <c r="J587" t="s">
        <v>13</v>
      </c>
    </row>
    <row r="588" spans="1:10">
      <c r="A588">
        <v>587</v>
      </c>
      <c r="B588" s="1">
        <v>45255</v>
      </c>
      <c r="C588" t="s">
        <v>10</v>
      </c>
      <c r="D588">
        <v>699</v>
      </c>
      <c r="E588">
        <v>11.4</v>
      </c>
      <c r="F588">
        <v>0</v>
      </c>
      <c r="G588">
        <v>2</v>
      </c>
      <c r="H588">
        <v>33</v>
      </c>
      <c r="I588">
        <v>57</v>
      </c>
      <c r="J588" t="s">
        <v>13</v>
      </c>
    </row>
    <row r="589" spans="1:10">
      <c r="A589">
        <v>588</v>
      </c>
      <c r="B589" s="1">
        <v>44994</v>
      </c>
      <c r="C589" t="s">
        <v>10</v>
      </c>
      <c r="D589">
        <v>699</v>
      </c>
      <c r="E589">
        <v>23.7</v>
      </c>
      <c r="F589">
        <v>2</v>
      </c>
      <c r="G589">
        <v>4</v>
      </c>
      <c r="H589">
        <v>6</v>
      </c>
      <c r="I589">
        <v>34</v>
      </c>
      <c r="J589" t="s">
        <v>11</v>
      </c>
    </row>
    <row r="590" spans="1:10">
      <c r="A590">
        <v>589</v>
      </c>
      <c r="B590" s="1">
        <v>45646</v>
      </c>
      <c r="C590" t="s">
        <v>12</v>
      </c>
      <c r="D590">
        <v>199</v>
      </c>
      <c r="E590">
        <v>21.7</v>
      </c>
      <c r="F590">
        <v>6</v>
      </c>
      <c r="G590">
        <v>0</v>
      </c>
      <c r="H590">
        <v>14</v>
      </c>
      <c r="I590">
        <v>13</v>
      </c>
      <c r="J590" t="s">
        <v>13</v>
      </c>
    </row>
    <row r="591" spans="1:10">
      <c r="A591">
        <v>590</v>
      </c>
      <c r="B591" s="1">
        <v>45397</v>
      </c>
      <c r="C591" t="s">
        <v>10</v>
      </c>
      <c r="D591">
        <v>699</v>
      </c>
      <c r="E591">
        <v>16.3</v>
      </c>
      <c r="F591">
        <v>1</v>
      </c>
      <c r="G591">
        <v>5</v>
      </c>
      <c r="H591">
        <v>28</v>
      </c>
      <c r="I591">
        <v>43</v>
      </c>
      <c r="J591" t="s">
        <v>11</v>
      </c>
    </row>
    <row r="592" spans="1:10">
      <c r="A592">
        <v>591</v>
      </c>
      <c r="B592" s="1">
        <v>45498</v>
      </c>
      <c r="C592" t="s">
        <v>10</v>
      </c>
      <c r="D592">
        <v>699</v>
      </c>
      <c r="E592">
        <v>1.4</v>
      </c>
      <c r="F592">
        <v>1</v>
      </c>
      <c r="G592">
        <v>0</v>
      </c>
      <c r="H592">
        <v>22</v>
      </c>
      <c r="I592">
        <v>11</v>
      </c>
      <c r="J592" t="s">
        <v>13</v>
      </c>
    </row>
    <row r="593" spans="1:10">
      <c r="A593">
        <v>592</v>
      </c>
      <c r="B593" s="1">
        <v>45370</v>
      </c>
      <c r="C593" t="s">
        <v>12</v>
      </c>
      <c r="D593">
        <v>199</v>
      </c>
      <c r="E593">
        <v>22.8</v>
      </c>
      <c r="F593">
        <v>6</v>
      </c>
      <c r="G593">
        <v>3</v>
      </c>
      <c r="H593">
        <v>15</v>
      </c>
      <c r="I593">
        <v>28</v>
      </c>
      <c r="J593" t="s">
        <v>11</v>
      </c>
    </row>
    <row r="594" spans="1:10">
      <c r="A594">
        <v>593</v>
      </c>
      <c r="B594" s="1">
        <v>45560</v>
      </c>
      <c r="C594" t="s">
        <v>14</v>
      </c>
      <c r="D594">
        <v>399</v>
      </c>
      <c r="E594">
        <v>10</v>
      </c>
      <c r="F594">
        <v>1</v>
      </c>
      <c r="G594">
        <v>4</v>
      </c>
      <c r="H594">
        <v>2</v>
      </c>
      <c r="I594">
        <v>0</v>
      </c>
      <c r="J594" t="s">
        <v>13</v>
      </c>
    </row>
    <row r="595" spans="1:10">
      <c r="A595">
        <v>594</v>
      </c>
      <c r="B595" s="1">
        <v>45223</v>
      </c>
      <c r="C595" t="s">
        <v>12</v>
      </c>
      <c r="D595">
        <v>199</v>
      </c>
      <c r="E595">
        <v>17.7</v>
      </c>
      <c r="F595">
        <v>1</v>
      </c>
      <c r="G595">
        <v>2</v>
      </c>
      <c r="H595">
        <v>3</v>
      </c>
      <c r="I595">
        <v>59</v>
      </c>
      <c r="J595" t="s">
        <v>11</v>
      </c>
    </row>
    <row r="596" spans="1:10">
      <c r="A596">
        <v>595</v>
      </c>
      <c r="B596" s="1">
        <v>45603</v>
      </c>
      <c r="C596" t="s">
        <v>10</v>
      </c>
      <c r="D596">
        <v>699</v>
      </c>
      <c r="E596">
        <v>15.4</v>
      </c>
      <c r="F596">
        <v>4</v>
      </c>
      <c r="G596">
        <v>3</v>
      </c>
      <c r="H596">
        <v>20</v>
      </c>
      <c r="I596">
        <v>24</v>
      </c>
      <c r="J596" t="s">
        <v>11</v>
      </c>
    </row>
    <row r="597" spans="1:10">
      <c r="A597">
        <v>596</v>
      </c>
      <c r="B597" s="1">
        <v>45485</v>
      </c>
      <c r="C597" t="s">
        <v>12</v>
      </c>
      <c r="D597">
        <v>199</v>
      </c>
      <c r="E597">
        <v>4.3</v>
      </c>
      <c r="F597">
        <v>3</v>
      </c>
      <c r="G597">
        <v>1</v>
      </c>
      <c r="H597">
        <v>31</v>
      </c>
      <c r="I597">
        <v>47</v>
      </c>
      <c r="J597" t="s">
        <v>11</v>
      </c>
    </row>
    <row r="598" spans="1:10">
      <c r="A598">
        <v>597</v>
      </c>
      <c r="B598" s="1">
        <v>45071</v>
      </c>
      <c r="C598" t="s">
        <v>14</v>
      </c>
      <c r="D598">
        <v>399</v>
      </c>
      <c r="E598">
        <v>7.8</v>
      </c>
      <c r="F598">
        <v>5</v>
      </c>
      <c r="G598">
        <v>0</v>
      </c>
      <c r="H598">
        <v>10</v>
      </c>
      <c r="I598">
        <v>35</v>
      </c>
      <c r="J598" t="s">
        <v>13</v>
      </c>
    </row>
    <row r="599" spans="1:10">
      <c r="A599">
        <v>598</v>
      </c>
      <c r="B599" s="1">
        <v>45239</v>
      </c>
      <c r="C599" t="s">
        <v>12</v>
      </c>
      <c r="D599">
        <v>199</v>
      </c>
      <c r="E599">
        <v>0.6</v>
      </c>
      <c r="F599">
        <v>6</v>
      </c>
      <c r="G599">
        <v>4</v>
      </c>
      <c r="H599">
        <v>3</v>
      </c>
      <c r="I599">
        <v>35</v>
      </c>
      <c r="J599" t="s">
        <v>11</v>
      </c>
    </row>
    <row r="600" spans="1:10">
      <c r="A600">
        <v>599</v>
      </c>
      <c r="B600" s="1">
        <v>45558</v>
      </c>
      <c r="C600" t="s">
        <v>12</v>
      </c>
      <c r="D600">
        <v>199</v>
      </c>
      <c r="E600">
        <v>5.7</v>
      </c>
      <c r="F600">
        <v>8</v>
      </c>
      <c r="G600">
        <v>1</v>
      </c>
      <c r="H600">
        <v>23</v>
      </c>
      <c r="I600">
        <v>10</v>
      </c>
      <c r="J600" t="s">
        <v>11</v>
      </c>
    </row>
    <row r="601" spans="1:10">
      <c r="A601">
        <v>600</v>
      </c>
      <c r="B601" s="1">
        <v>45001</v>
      </c>
      <c r="C601" t="s">
        <v>14</v>
      </c>
      <c r="D601">
        <v>399</v>
      </c>
      <c r="E601">
        <v>3.3</v>
      </c>
      <c r="F601">
        <v>0</v>
      </c>
      <c r="G601">
        <v>4</v>
      </c>
      <c r="H601">
        <v>13</v>
      </c>
      <c r="I601">
        <v>29</v>
      </c>
      <c r="J601" t="s">
        <v>11</v>
      </c>
    </row>
    <row r="602" spans="1:10">
      <c r="A602">
        <v>601</v>
      </c>
      <c r="B602" s="1">
        <v>45265</v>
      </c>
      <c r="C602" t="s">
        <v>14</v>
      </c>
      <c r="D602">
        <v>399</v>
      </c>
      <c r="E602">
        <v>6.6</v>
      </c>
      <c r="F602">
        <v>3</v>
      </c>
      <c r="G602">
        <v>5</v>
      </c>
      <c r="H602">
        <v>5</v>
      </c>
      <c r="I602">
        <v>37</v>
      </c>
      <c r="J602" t="s">
        <v>11</v>
      </c>
    </row>
    <row r="603" spans="1:10">
      <c r="A603">
        <v>602</v>
      </c>
      <c r="B603" s="1">
        <v>45125</v>
      </c>
      <c r="C603" t="s">
        <v>14</v>
      </c>
      <c r="D603">
        <v>399</v>
      </c>
      <c r="E603">
        <v>16.899999999999999</v>
      </c>
      <c r="F603">
        <v>3</v>
      </c>
      <c r="G603">
        <v>0</v>
      </c>
      <c r="H603">
        <v>9</v>
      </c>
      <c r="I603">
        <v>18</v>
      </c>
      <c r="J603" t="s">
        <v>13</v>
      </c>
    </row>
    <row r="604" spans="1:10">
      <c r="A604">
        <v>603</v>
      </c>
      <c r="B604" s="1">
        <v>45507</v>
      </c>
      <c r="C604" t="s">
        <v>14</v>
      </c>
      <c r="D604">
        <v>399</v>
      </c>
      <c r="E604">
        <v>11.5</v>
      </c>
      <c r="F604">
        <v>4</v>
      </c>
      <c r="G604">
        <v>5</v>
      </c>
      <c r="H604">
        <v>32</v>
      </c>
      <c r="I604">
        <v>37</v>
      </c>
      <c r="J604" t="s">
        <v>11</v>
      </c>
    </row>
    <row r="605" spans="1:10">
      <c r="A605">
        <v>604</v>
      </c>
      <c r="B605" s="1">
        <v>45153</v>
      </c>
      <c r="C605" t="s">
        <v>14</v>
      </c>
      <c r="D605">
        <v>399</v>
      </c>
      <c r="E605">
        <v>24</v>
      </c>
      <c r="F605">
        <v>2</v>
      </c>
      <c r="G605">
        <v>0</v>
      </c>
      <c r="H605">
        <v>21</v>
      </c>
      <c r="I605">
        <v>20</v>
      </c>
      <c r="J605" t="s">
        <v>13</v>
      </c>
    </row>
    <row r="606" spans="1:10">
      <c r="A606">
        <v>605</v>
      </c>
      <c r="B606" s="1">
        <v>45418</v>
      </c>
      <c r="C606" t="s">
        <v>10</v>
      </c>
      <c r="D606">
        <v>699</v>
      </c>
      <c r="E606">
        <v>7.3</v>
      </c>
      <c r="F606">
        <v>5</v>
      </c>
      <c r="G606">
        <v>1</v>
      </c>
      <c r="H606">
        <v>28</v>
      </c>
      <c r="I606">
        <v>43</v>
      </c>
      <c r="J606" t="s">
        <v>13</v>
      </c>
    </row>
    <row r="607" spans="1:10">
      <c r="A607">
        <v>606</v>
      </c>
      <c r="B607" s="1">
        <v>45588</v>
      </c>
      <c r="C607" t="s">
        <v>14</v>
      </c>
      <c r="D607">
        <v>399</v>
      </c>
      <c r="E607">
        <v>9.3000000000000007</v>
      </c>
      <c r="F607">
        <v>4</v>
      </c>
      <c r="G607">
        <v>3</v>
      </c>
      <c r="H607">
        <v>29</v>
      </c>
      <c r="I607">
        <v>35</v>
      </c>
      <c r="J607" t="s">
        <v>11</v>
      </c>
    </row>
    <row r="608" spans="1:10">
      <c r="A608">
        <v>607</v>
      </c>
      <c r="B608" s="1">
        <v>45568</v>
      </c>
      <c r="C608" t="s">
        <v>10</v>
      </c>
      <c r="D608">
        <v>699</v>
      </c>
      <c r="E608">
        <v>21.1</v>
      </c>
      <c r="F608">
        <v>2</v>
      </c>
      <c r="G608">
        <v>4</v>
      </c>
      <c r="H608">
        <v>6</v>
      </c>
      <c r="I608">
        <v>12</v>
      </c>
      <c r="J608" t="s">
        <v>11</v>
      </c>
    </row>
    <row r="609" spans="1:10">
      <c r="A609">
        <v>608</v>
      </c>
      <c r="B609" s="1">
        <v>45519</v>
      </c>
      <c r="C609" t="s">
        <v>12</v>
      </c>
      <c r="D609">
        <v>199</v>
      </c>
      <c r="E609">
        <v>22.4</v>
      </c>
      <c r="F609">
        <v>8</v>
      </c>
      <c r="G609">
        <v>5</v>
      </c>
      <c r="H609">
        <v>5</v>
      </c>
      <c r="I609">
        <v>1</v>
      </c>
      <c r="J609" t="s">
        <v>13</v>
      </c>
    </row>
    <row r="610" spans="1:10">
      <c r="A610">
        <v>609</v>
      </c>
      <c r="B610" s="1">
        <v>45479</v>
      </c>
      <c r="C610" t="s">
        <v>14</v>
      </c>
      <c r="D610">
        <v>399</v>
      </c>
      <c r="E610">
        <v>22.7</v>
      </c>
      <c r="F610">
        <v>8</v>
      </c>
      <c r="G610">
        <v>2</v>
      </c>
      <c r="H610">
        <v>14</v>
      </c>
      <c r="I610">
        <v>34</v>
      </c>
      <c r="J610" t="s">
        <v>13</v>
      </c>
    </row>
    <row r="611" spans="1:10">
      <c r="A611">
        <v>610</v>
      </c>
      <c r="B611" s="1">
        <v>45064</v>
      </c>
      <c r="C611" t="s">
        <v>14</v>
      </c>
      <c r="D611">
        <v>399</v>
      </c>
      <c r="E611">
        <v>9.5</v>
      </c>
      <c r="F611">
        <v>3</v>
      </c>
      <c r="G611">
        <v>4</v>
      </c>
      <c r="H611">
        <v>10</v>
      </c>
      <c r="I611">
        <v>46</v>
      </c>
      <c r="J611" t="s">
        <v>13</v>
      </c>
    </row>
    <row r="612" spans="1:10">
      <c r="A612">
        <v>611</v>
      </c>
      <c r="B612" s="1">
        <v>45171</v>
      </c>
      <c r="C612" t="s">
        <v>14</v>
      </c>
      <c r="D612">
        <v>399</v>
      </c>
      <c r="E612">
        <v>13</v>
      </c>
      <c r="F612">
        <v>6</v>
      </c>
      <c r="G612">
        <v>2</v>
      </c>
      <c r="H612">
        <v>33</v>
      </c>
      <c r="I612">
        <v>32</v>
      </c>
      <c r="J612" t="s">
        <v>11</v>
      </c>
    </row>
    <row r="613" spans="1:10">
      <c r="A613">
        <v>612</v>
      </c>
      <c r="B613" s="1">
        <v>45506</v>
      </c>
      <c r="C613" t="s">
        <v>10</v>
      </c>
      <c r="D613">
        <v>699</v>
      </c>
      <c r="E613">
        <v>19.100000000000001</v>
      </c>
      <c r="F613">
        <v>2</v>
      </c>
      <c r="G613">
        <v>3</v>
      </c>
      <c r="H613">
        <v>11</v>
      </c>
      <c r="I613">
        <v>10</v>
      </c>
      <c r="J613" t="s">
        <v>11</v>
      </c>
    </row>
    <row r="614" spans="1:10">
      <c r="A614">
        <v>613</v>
      </c>
      <c r="B614" s="1">
        <v>45426</v>
      </c>
      <c r="C614" t="s">
        <v>10</v>
      </c>
      <c r="D614">
        <v>699</v>
      </c>
      <c r="E614">
        <v>18.5</v>
      </c>
      <c r="F614">
        <v>7</v>
      </c>
      <c r="G614">
        <v>2</v>
      </c>
      <c r="H614">
        <v>10</v>
      </c>
      <c r="I614">
        <v>2</v>
      </c>
      <c r="J614" t="s">
        <v>11</v>
      </c>
    </row>
    <row r="615" spans="1:10">
      <c r="A615">
        <v>614</v>
      </c>
      <c r="B615" s="1">
        <v>45296</v>
      </c>
      <c r="C615" t="s">
        <v>12</v>
      </c>
      <c r="D615">
        <v>199</v>
      </c>
      <c r="E615">
        <v>7</v>
      </c>
      <c r="F615">
        <v>3</v>
      </c>
      <c r="G615">
        <v>0</v>
      </c>
      <c r="H615">
        <v>5</v>
      </c>
      <c r="I615">
        <v>42</v>
      </c>
      <c r="J615" t="s">
        <v>11</v>
      </c>
    </row>
    <row r="616" spans="1:10">
      <c r="A616">
        <v>615</v>
      </c>
      <c r="B616" s="1">
        <v>45647</v>
      </c>
      <c r="C616" t="s">
        <v>14</v>
      </c>
      <c r="D616">
        <v>399</v>
      </c>
      <c r="E616">
        <v>23</v>
      </c>
      <c r="F616">
        <v>0</v>
      </c>
      <c r="G616">
        <v>0</v>
      </c>
      <c r="H616">
        <v>31</v>
      </c>
      <c r="I616">
        <v>41</v>
      </c>
      <c r="J616" t="s">
        <v>11</v>
      </c>
    </row>
    <row r="617" spans="1:10">
      <c r="A617">
        <v>616</v>
      </c>
      <c r="B617" s="1">
        <v>45312</v>
      </c>
      <c r="C617" t="s">
        <v>10</v>
      </c>
      <c r="D617">
        <v>699</v>
      </c>
      <c r="E617">
        <v>21</v>
      </c>
      <c r="F617">
        <v>4</v>
      </c>
      <c r="G617">
        <v>4</v>
      </c>
      <c r="H617">
        <v>18</v>
      </c>
      <c r="I617">
        <v>34</v>
      </c>
      <c r="J617" t="s">
        <v>11</v>
      </c>
    </row>
    <row r="618" spans="1:10">
      <c r="A618">
        <v>617</v>
      </c>
      <c r="B618" s="1">
        <v>45155</v>
      </c>
      <c r="C618" t="s">
        <v>10</v>
      </c>
      <c r="D618">
        <v>699</v>
      </c>
      <c r="E618">
        <v>9.4</v>
      </c>
      <c r="F618">
        <v>1</v>
      </c>
      <c r="G618">
        <v>4</v>
      </c>
      <c r="H618">
        <v>25</v>
      </c>
      <c r="I618">
        <v>16</v>
      </c>
      <c r="J618" t="s">
        <v>13</v>
      </c>
    </row>
    <row r="619" spans="1:10">
      <c r="A619">
        <v>618</v>
      </c>
      <c r="B619" s="1">
        <v>45545</v>
      </c>
      <c r="C619" t="s">
        <v>10</v>
      </c>
      <c r="D619">
        <v>699</v>
      </c>
      <c r="E619">
        <v>9.1</v>
      </c>
      <c r="F619">
        <v>5</v>
      </c>
      <c r="G619">
        <v>3</v>
      </c>
      <c r="H619">
        <v>26</v>
      </c>
      <c r="I619">
        <v>50</v>
      </c>
      <c r="J619" t="s">
        <v>11</v>
      </c>
    </row>
    <row r="620" spans="1:10">
      <c r="A620">
        <v>619</v>
      </c>
      <c r="B620" s="1">
        <v>45585</v>
      </c>
      <c r="C620" t="s">
        <v>12</v>
      </c>
      <c r="D620">
        <v>199</v>
      </c>
      <c r="E620">
        <v>22.1</v>
      </c>
      <c r="F620">
        <v>7</v>
      </c>
      <c r="G620">
        <v>1</v>
      </c>
      <c r="H620">
        <v>33</v>
      </c>
      <c r="I620">
        <v>14</v>
      </c>
      <c r="J620" t="s">
        <v>11</v>
      </c>
    </row>
    <row r="621" spans="1:10">
      <c r="A621">
        <v>620</v>
      </c>
      <c r="B621" s="1">
        <v>45048</v>
      </c>
      <c r="C621" t="s">
        <v>14</v>
      </c>
      <c r="D621">
        <v>399</v>
      </c>
      <c r="E621">
        <v>4.2</v>
      </c>
      <c r="F621">
        <v>2</v>
      </c>
      <c r="G621">
        <v>2</v>
      </c>
      <c r="H621">
        <v>14</v>
      </c>
      <c r="I621">
        <v>38</v>
      </c>
      <c r="J621" t="s">
        <v>11</v>
      </c>
    </row>
    <row r="622" spans="1:10">
      <c r="A622">
        <v>621</v>
      </c>
      <c r="B622" s="1">
        <v>45417</v>
      </c>
      <c r="C622" t="s">
        <v>10</v>
      </c>
      <c r="D622">
        <v>699</v>
      </c>
      <c r="E622">
        <v>10.7</v>
      </c>
      <c r="F622">
        <v>5</v>
      </c>
      <c r="G622">
        <v>5</v>
      </c>
      <c r="H622">
        <v>15</v>
      </c>
      <c r="I622">
        <v>7</v>
      </c>
      <c r="J622" t="s">
        <v>11</v>
      </c>
    </row>
    <row r="623" spans="1:10">
      <c r="A623">
        <v>622</v>
      </c>
      <c r="B623" s="1">
        <v>45514</v>
      </c>
      <c r="C623" t="s">
        <v>14</v>
      </c>
      <c r="D623">
        <v>399</v>
      </c>
      <c r="E623">
        <v>15</v>
      </c>
      <c r="F623">
        <v>6</v>
      </c>
      <c r="G623">
        <v>0</v>
      </c>
      <c r="H623">
        <v>14</v>
      </c>
      <c r="I623">
        <v>15</v>
      </c>
      <c r="J623" t="s">
        <v>11</v>
      </c>
    </row>
    <row r="624" spans="1:10">
      <c r="A624">
        <v>623</v>
      </c>
      <c r="B624" s="1">
        <v>44984</v>
      </c>
      <c r="C624" t="s">
        <v>10</v>
      </c>
      <c r="D624">
        <v>699</v>
      </c>
      <c r="E624">
        <v>3.8</v>
      </c>
      <c r="F624">
        <v>8</v>
      </c>
      <c r="G624">
        <v>0</v>
      </c>
      <c r="H624">
        <v>11</v>
      </c>
      <c r="I624">
        <v>57</v>
      </c>
      <c r="J624" t="s">
        <v>11</v>
      </c>
    </row>
    <row r="625" spans="1:10">
      <c r="A625">
        <v>624</v>
      </c>
      <c r="B625" s="1">
        <v>45579</v>
      </c>
      <c r="C625" t="s">
        <v>12</v>
      </c>
      <c r="D625">
        <v>199</v>
      </c>
      <c r="E625">
        <v>23.1</v>
      </c>
      <c r="F625">
        <v>8</v>
      </c>
      <c r="G625">
        <v>3</v>
      </c>
      <c r="H625">
        <v>17</v>
      </c>
      <c r="I625">
        <v>38</v>
      </c>
      <c r="J625" t="s">
        <v>13</v>
      </c>
    </row>
    <row r="626" spans="1:10">
      <c r="A626">
        <v>625</v>
      </c>
      <c r="B626" s="1">
        <v>45420</v>
      </c>
      <c r="C626" t="s">
        <v>12</v>
      </c>
      <c r="D626">
        <v>199</v>
      </c>
      <c r="E626">
        <v>23.7</v>
      </c>
      <c r="F626">
        <v>3</v>
      </c>
      <c r="G626">
        <v>3</v>
      </c>
      <c r="H626">
        <v>19</v>
      </c>
      <c r="I626">
        <v>38</v>
      </c>
      <c r="J626" t="s">
        <v>13</v>
      </c>
    </row>
    <row r="627" spans="1:10">
      <c r="A627">
        <v>626</v>
      </c>
      <c r="B627" s="1">
        <v>45565</v>
      </c>
      <c r="C627" t="s">
        <v>12</v>
      </c>
      <c r="D627">
        <v>199</v>
      </c>
      <c r="E627">
        <v>20.8</v>
      </c>
      <c r="F627">
        <v>2</v>
      </c>
      <c r="G627">
        <v>4</v>
      </c>
      <c r="H627">
        <v>15</v>
      </c>
      <c r="I627">
        <v>52</v>
      </c>
      <c r="J627" t="s">
        <v>13</v>
      </c>
    </row>
    <row r="628" spans="1:10">
      <c r="A628">
        <v>627</v>
      </c>
      <c r="B628" s="1">
        <v>45162</v>
      </c>
      <c r="C628" t="s">
        <v>10</v>
      </c>
      <c r="D628">
        <v>699</v>
      </c>
      <c r="E628">
        <v>7</v>
      </c>
      <c r="F628">
        <v>5</v>
      </c>
      <c r="G628">
        <v>3</v>
      </c>
      <c r="H628">
        <v>33</v>
      </c>
      <c r="I628">
        <v>38</v>
      </c>
      <c r="J628" t="s">
        <v>11</v>
      </c>
    </row>
    <row r="629" spans="1:10">
      <c r="A629">
        <v>628</v>
      </c>
      <c r="B629" s="1">
        <v>45443</v>
      </c>
      <c r="C629" t="s">
        <v>14</v>
      </c>
      <c r="D629">
        <v>399</v>
      </c>
      <c r="E629">
        <v>3.7</v>
      </c>
      <c r="F629">
        <v>0</v>
      </c>
      <c r="G629">
        <v>1</v>
      </c>
      <c r="H629">
        <v>25</v>
      </c>
      <c r="I629">
        <v>33</v>
      </c>
      <c r="J629" t="s">
        <v>13</v>
      </c>
    </row>
    <row r="630" spans="1:10">
      <c r="A630">
        <v>629</v>
      </c>
      <c r="B630" s="1">
        <v>45541</v>
      </c>
      <c r="C630" t="s">
        <v>10</v>
      </c>
      <c r="D630">
        <v>699</v>
      </c>
      <c r="E630">
        <v>20.7</v>
      </c>
      <c r="F630">
        <v>1</v>
      </c>
      <c r="G630">
        <v>1</v>
      </c>
      <c r="H630">
        <v>27</v>
      </c>
      <c r="I630">
        <v>30</v>
      </c>
      <c r="J630" t="s">
        <v>13</v>
      </c>
    </row>
    <row r="631" spans="1:10">
      <c r="A631">
        <v>630</v>
      </c>
      <c r="B631" s="1">
        <v>45544</v>
      </c>
      <c r="C631" t="s">
        <v>12</v>
      </c>
      <c r="D631">
        <v>199</v>
      </c>
      <c r="E631">
        <v>12.8</v>
      </c>
      <c r="F631">
        <v>1</v>
      </c>
      <c r="G631">
        <v>0</v>
      </c>
      <c r="H631">
        <v>35</v>
      </c>
      <c r="I631">
        <v>30</v>
      </c>
      <c r="J631" t="s">
        <v>13</v>
      </c>
    </row>
    <row r="632" spans="1:10">
      <c r="A632">
        <v>631</v>
      </c>
      <c r="B632" s="1">
        <v>44971</v>
      </c>
      <c r="C632" t="s">
        <v>10</v>
      </c>
      <c r="D632">
        <v>699</v>
      </c>
      <c r="E632">
        <v>22.5</v>
      </c>
      <c r="F632">
        <v>6</v>
      </c>
      <c r="G632">
        <v>4</v>
      </c>
      <c r="H632">
        <v>1</v>
      </c>
      <c r="I632">
        <v>26</v>
      </c>
      <c r="J632" t="s">
        <v>11</v>
      </c>
    </row>
    <row r="633" spans="1:10">
      <c r="A633">
        <v>632</v>
      </c>
      <c r="B633" s="1">
        <v>45640</v>
      </c>
      <c r="C633" t="s">
        <v>10</v>
      </c>
      <c r="D633">
        <v>699</v>
      </c>
      <c r="E633">
        <v>11</v>
      </c>
      <c r="F633">
        <v>7</v>
      </c>
      <c r="G633">
        <v>3</v>
      </c>
      <c r="H633">
        <v>34</v>
      </c>
      <c r="I633">
        <v>22</v>
      </c>
      <c r="J633" t="s">
        <v>11</v>
      </c>
    </row>
    <row r="634" spans="1:10">
      <c r="A634">
        <v>633</v>
      </c>
      <c r="B634" s="1">
        <v>45012</v>
      </c>
      <c r="C634" t="s">
        <v>10</v>
      </c>
      <c r="D634">
        <v>699</v>
      </c>
      <c r="E634">
        <v>10.9</v>
      </c>
      <c r="F634">
        <v>4</v>
      </c>
      <c r="G634">
        <v>3</v>
      </c>
      <c r="H634">
        <v>7</v>
      </c>
      <c r="I634">
        <v>49</v>
      </c>
      <c r="J634" t="s">
        <v>11</v>
      </c>
    </row>
    <row r="635" spans="1:10">
      <c r="A635">
        <v>634</v>
      </c>
      <c r="B635" s="1">
        <v>44934</v>
      </c>
      <c r="C635" t="s">
        <v>14</v>
      </c>
      <c r="D635">
        <v>399</v>
      </c>
      <c r="E635">
        <v>10.5</v>
      </c>
      <c r="F635">
        <v>3</v>
      </c>
      <c r="G635">
        <v>0</v>
      </c>
      <c r="H635">
        <v>35</v>
      </c>
      <c r="I635">
        <v>45</v>
      </c>
      <c r="J635" t="s">
        <v>13</v>
      </c>
    </row>
    <row r="636" spans="1:10">
      <c r="A636">
        <v>635</v>
      </c>
      <c r="B636" s="1">
        <v>45250</v>
      </c>
      <c r="C636" t="s">
        <v>10</v>
      </c>
      <c r="D636">
        <v>699</v>
      </c>
      <c r="E636">
        <v>3.4</v>
      </c>
      <c r="F636">
        <v>0</v>
      </c>
      <c r="G636">
        <v>3</v>
      </c>
      <c r="H636">
        <v>34</v>
      </c>
      <c r="I636">
        <v>41</v>
      </c>
      <c r="J636" t="s">
        <v>11</v>
      </c>
    </row>
    <row r="637" spans="1:10">
      <c r="A637">
        <v>636</v>
      </c>
      <c r="B637" s="1">
        <v>45475</v>
      </c>
      <c r="C637" t="s">
        <v>14</v>
      </c>
      <c r="D637">
        <v>399</v>
      </c>
      <c r="E637">
        <v>3.1</v>
      </c>
      <c r="F637">
        <v>6</v>
      </c>
      <c r="G637">
        <v>5</v>
      </c>
      <c r="H637">
        <v>24</v>
      </c>
      <c r="I637">
        <v>37</v>
      </c>
      <c r="J637" t="s">
        <v>11</v>
      </c>
    </row>
    <row r="638" spans="1:10">
      <c r="A638">
        <v>637</v>
      </c>
      <c r="B638" s="1">
        <v>45497</v>
      </c>
      <c r="C638" t="s">
        <v>14</v>
      </c>
      <c r="D638">
        <v>399</v>
      </c>
      <c r="E638">
        <v>15.5</v>
      </c>
      <c r="F638">
        <v>6</v>
      </c>
      <c r="G638">
        <v>1</v>
      </c>
      <c r="H638">
        <v>24</v>
      </c>
      <c r="I638">
        <v>26</v>
      </c>
      <c r="J638" t="s">
        <v>13</v>
      </c>
    </row>
    <row r="639" spans="1:10">
      <c r="A639">
        <v>638</v>
      </c>
      <c r="B639" s="1">
        <v>45518</v>
      </c>
      <c r="C639" t="s">
        <v>14</v>
      </c>
      <c r="D639">
        <v>399</v>
      </c>
      <c r="E639">
        <v>9.6</v>
      </c>
      <c r="F639">
        <v>8</v>
      </c>
      <c r="G639">
        <v>3</v>
      </c>
      <c r="H639">
        <v>12</v>
      </c>
      <c r="I639">
        <v>16</v>
      </c>
      <c r="J639" t="s">
        <v>13</v>
      </c>
    </row>
    <row r="640" spans="1:10">
      <c r="A640">
        <v>639</v>
      </c>
      <c r="B640" s="1">
        <v>45643</v>
      </c>
      <c r="C640" t="s">
        <v>14</v>
      </c>
      <c r="D640">
        <v>399</v>
      </c>
      <c r="E640">
        <v>18.5</v>
      </c>
      <c r="F640">
        <v>1</v>
      </c>
      <c r="G640">
        <v>5</v>
      </c>
      <c r="H640">
        <v>26</v>
      </c>
      <c r="I640">
        <v>14</v>
      </c>
      <c r="J640" t="s">
        <v>13</v>
      </c>
    </row>
    <row r="641" spans="1:10">
      <c r="A641">
        <v>640</v>
      </c>
      <c r="B641" s="1">
        <v>45640</v>
      </c>
      <c r="C641" t="s">
        <v>12</v>
      </c>
      <c r="D641">
        <v>199</v>
      </c>
      <c r="E641">
        <v>5.8</v>
      </c>
      <c r="F641">
        <v>6</v>
      </c>
      <c r="G641">
        <v>2</v>
      </c>
      <c r="H641">
        <v>7</v>
      </c>
      <c r="I641">
        <v>51</v>
      </c>
      <c r="J641" t="s">
        <v>11</v>
      </c>
    </row>
    <row r="642" spans="1:10">
      <c r="A642">
        <v>641</v>
      </c>
      <c r="B642" s="1">
        <v>45541</v>
      </c>
      <c r="C642" t="s">
        <v>10</v>
      </c>
      <c r="D642">
        <v>699</v>
      </c>
      <c r="E642">
        <v>4.4000000000000004</v>
      </c>
      <c r="F642">
        <v>0</v>
      </c>
      <c r="G642">
        <v>0</v>
      </c>
      <c r="H642">
        <v>4</v>
      </c>
      <c r="I642">
        <v>52</v>
      </c>
      <c r="J642" t="s">
        <v>11</v>
      </c>
    </row>
    <row r="643" spans="1:10">
      <c r="A643">
        <v>642</v>
      </c>
      <c r="B643" s="1">
        <v>45320</v>
      </c>
      <c r="C643" t="s">
        <v>14</v>
      </c>
      <c r="D643">
        <v>399</v>
      </c>
      <c r="E643">
        <v>2.1</v>
      </c>
      <c r="F643">
        <v>3</v>
      </c>
      <c r="G643">
        <v>2</v>
      </c>
      <c r="H643">
        <v>6</v>
      </c>
      <c r="I643">
        <v>5</v>
      </c>
      <c r="J643" t="s">
        <v>13</v>
      </c>
    </row>
    <row r="644" spans="1:10">
      <c r="A644">
        <v>643</v>
      </c>
      <c r="B644" s="1">
        <v>44937</v>
      </c>
      <c r="C644" t="s">
        <v>14</v>
      </c>
      <c r="D644">
        <v>399</v>
      </c>
      <c r="E644">
        <v>7.5</v>
      </c>
      <c r="F644">
        <v>0</v>
      </c>
      <c r="G644">
        <v>1</v>
      </c>
      <c r="H644">
        <v>34</v>
      </c>
      <c r="I644">
        <v>40</v>
      </c>
      <c r="J644" t="s">
        <v>13</v>
      </c>
    </row>
    <row r="645" spans="1:10">
      <c r="A645">
        <v>644</v>
      </c>
      <c r="B645" s="1">
        <v>45164</v>
      </c>
      <c r="C645" t="s">
        <v>12</v>
      </c>
      <c r="D645">
        <v>199</v>
      </c>
      <c r="E645">
        <v>7.5</v>
      </c>
      <c r="F645">
        <v>0</v>
      </c>
      <c r="G645">
        <v>4</v>
      </c>
      <c r="H645">
        <v>34</v>
      </c>
      <c r="I645">
        <v>32</v>
      </c>
      <c r="J645" t="s">
        <v>11</v>
      </c>
    </row>
    <row r="646" spans="1:10">
      <c r="A646">
        <v>645</v>
      </c>
      <c r="B646" s="1">
        <v>45088</v>
      </c>
      <c r="C646" t="s">
        <v>10</v>
      </c>
      <c r="D646">
        <v>699</v>
      </c>
      <c r="E646">
        <v>17</v>
      </c>
      <c r="F646">
        <v>5</v>
      </c>
      <c r="G646">
        <v>1</v>
      </c>
      <c r="H646">
        <v>11</v>
      </c>
      <c r="I646">
        <v>41</v>
      </c>
      <c r="J646" t="s">
        <v>11</v>
      </c>
    </row>
    <row r="647" spans="1:10">
      <c r="A647">
        <v>646</v>
      </c>
      <c r="B647" s="1">
        <v>45132</v>
      </c>
      <c r="C647" t="s">
        <v>12</v>
      </c>
      <c r="D647">
        <v>199</v>
      </c>
      <c r="E647">
        <v>19.600000000000001</v>
      </c>
      <c r="F647">
        <v>5</v>
      </c>
      <c r="G647">
        <v>5</v>
      </c>
      <c r="H647">
        <v>18</v>
      </c>
      <c r="I647">
        <v>25</v>
      </c>
      <c r="J647" t="s">
        <v>11</v>
      </c>
    </row>
    <row r="648" spans="1:10">
      <c r="A648">
        <v>647</v>
      </c>
      <c r="B648" s="1">
        <v>45499</v>
      </c>
      <c r="C648" t="s">
        <v>10</v>
      </c>
      <c r="D648">
        <v>699</v>
      </c>
      <c r="E648">
        <v>18.600000000000001</v>
      </c>
      <c r="F648">
        <v>1</v>
      </c>
      <c r="G648">
        <v>0</v>
      </c>
      <c r="H648">
        <v>1</v>
      </c>
      <c r="I648">
        <v>35</v>
      </c>
      <c r="J648" t="s">
        <v>11</v>
      </c>
    </row>
    <row r="649" spans="1:10">
      <c r="A649">
        <v>648</v>
      </c>
      <c r="B649" s="1">
        <v>45392</v>
      </c>
      <c r="C649" t="s">
        <v>10</v>
      </c>
      <c r="D649">
        <v>699</v>
      </c>
      <c r="E649">
        <v>9</v>
      </c>
      <c r="F649">
        <v>4</v>
      </c>
      <c r="G649">
        <v>1</v>
      </c>
      <c r="H649">
        <v>23</v>
      </c>
      <c r="I649">
        <v>38</v>
      </c>
      <c r="J649" t="s">
        <v>13</v>
      </c>
    </row>
    <row r="650" spans="1:10">
      <c r="A650">
        <v>649</v>
      </c>
      <c r="B650" s="1">
        <v>45442</v>
      </c>
      <c r="C650" t="s">
        <v>14</v>
      </c>
      <c r="D650">
        <v>399</v>
      </c>
      <c r="E650">
        <v>6.9</v>
      </c>
      <c r="F650">
        <v>6</v>
      </c>
      <c r="G650">
        <v>4</v>
      </c>
      <c r="H650">
        <v>1</v>
      </c>
      <c r="I650">
        <v>6</v>
      </c>
      <c r="J650" t="s">
        <v>13</v>
      </c>
    </row>
    <row r="651" spans="1:10">
      <c r="A651">
        <v>650</v>
      </c>
      <c r="B651" s="1">
        <v>45515</v>
      </c>
      <c r="C651" t="s">
        <v>14</v>
      </c>
      <c r="D651">
        <v>399</v>
      </c>
      <c r="E651">
        <v>23.7</v>
      </c>
      <c r="F651">
        <v>8</v>
      </c>
      <c r="G651">
        <v>2</v>
      </c>
      <c r="H651">
        <v>22</v>
      </c>
      <c r="I651">
        <v>56</v>
      </c>
      <c r="J651" t="s">
        <v>11</v>
      </c>
    </row>
    <row r="652" spans="1:10">
      <c r="A652">
        <v>651</v>
      </c>
      <c r="B652" s="1">
        <v>45396</v>
      </c>
      <c r="C652" t="s">
        <v>14</v>
      </c>
      <c r="D652">
        <v>399</v>
      </c>
      <c r="E652">
        <v>24.2</v>
      </c>
      <c r="F652">
        <v>7</v>
      </c>
      <c r="G652">
        <v>1</v>
      </c>
      <c r="H652">
        <v>29</v>
      </c>
      <c r="I652">
        <v>48</v>
      </c>
      <c r="J652" t="s">
        <v>11</v>
      </c>
    </row>
    <row r="653" spans="1:10">
      <c r="A653">
        <v>652</v>
      </c>
      <c r="B653" s="1">
        <v>45318</v>
      </c>
      <c r="C653" t="s">
        <v>10</v>
      </c>
      <c r="D653">
        <v>699</v>
      </c>
      <c r="E653">
        <v>22.5</v>
      </c>
      <c r="F653">
        <v>0</v>
      </c>
      <c r="G653">
        <v>3</v>
      </c>
      <c r="H653">
        <v>30</v>
      </c>
      <c r="I653">
        <v>7</v>
      </c>
      <c r="J653" t="s">
        <v>11</v>
      </c>
    </row>
    <row r="654" spans="1:10">
      <c r="A654">
        <v>653</v>
      </c>
      <c r="B654" s="1">
        <v>45455</v>
      </c>
      <c r="C654" t="s">
        <v>10</v>
      </c>
      <c r="D654">
        <v>699</v>
      </c>
      <c r="E654">
        <v>17.100000000000001</v>
      </c>
      <c r="F654">
        <v>3</v>
      </c>
      <c r="G654">
        <v>2</v>
      </c>
      <c r="H654">
        <v>15</v>
      </c>
      <c r="I654">
        <v>26</v>
      </c>
      <c r="J654" t="s">
        <v>13</v>
      </c>
    </row>
    <row r="655" spans="1:10">
      <c r="A655">
        <v>654</v>
      </c>
      <c r="B655" s="1">
        <v>45616</v>
      </c>
      <c r="C655" t="s">
        <v>10</v>
      </c>
      <c r="D655">
        <v>699</v>
      </c>
      <c r="E655">
        <v>17.7</v>
      </c>
      <c r="F655">
        <v>4</v>
      </c>
      <c r="G655">
        <v>1</v>
      </c>
      <c r="H655">
        <v>1</v>
      </c>
      <c r="I655">
        <v>18</v>
      </c>
      <c r="J655" t="s">
        <v>11</v>
      </c>
    </row>
    <row r="656" spans="1:10">
      <c r="A656">
        <v>655</v>
      </c>
      <c r="B656" s="1">
        <v>45514</v>
      </c>
      <c r="C656" t="s">
        <v>10</v>
      </c>
      <c r="D656">
        <v>699</v>
      </c>
      <c r="E656">
        <v>2.4</v>
      </c>
      <c r="F656">
        <v>2</v>
      </c>
      <c r="G656">
        <v>3</v>
      </c>
      <c r="H656">
        <v>22</v>
      </c>
      <c r="I656">
        <v>20</v>
      </c>
      <c r="J656" t="s">
        <v>11</v>
      </c>
    </row>
    <row r="657" spans="1:10">
      <c r="A657">
        <v>656</v>
      </c>
      <c r="B657" s="1">
        <v>45174</v>
      </c>
      <c r="C657" t="s">
        <v>14</v>
      </c>
      <c r="D657">
        <v>399</v>
      </c>
      <c r="E657">
        <v>23.7</v>
      </c>
      <c r="F657">
        <v>3</v>
      </c>
      <c r="G657">
        <v>3</v>
      </c>
      <c r="H657">
        <v>12</v>
      </c>
      <c r="I657">
        <v>47</v>
      </c>
      <c r="J657" t="s">
        <v>11</v>
      </c>
    </row>
    <row r="658" spans="1:10">
      <c r="A658">
        <v>657</v>
      </c>
      <c r="B658" s="1">
        <v>45036</v>
      </c>
      <c r="C658" t="s">
        <v>14</v>
      </c>
      <c r="D658">
        <v>399</v>
      </c>
      <c r="E658">
        <v>6.1</v>
      </c>
      <c r="F658">
        <v>3</v>
      </c>
      <c r="G658">
        <v>4</v>
      </c>
      <c r="H658">
        <v>14</v>
      </c>
      <c r="I658">
        <v>22</v>
      </c>
      <c r="J658" t="s">
        <v>11</v>
      </c>
    </row>
    <row r="659" spans="1:10">
      <c r="A659">
        <v>658</v>
      </c>
      <c r="B659" s="1">
        <v>45481</v>
      </c>
      <c r="C659" t="s">
        <v>12</v>
      </c>
      <c r="D659">
        <v>199</v>
      </c>
      <c r="E659">
        <v>17.100000000000001</v>
      </c>
      <c r="F659">
        <v>7</v>
      </c>
      <c r="G659">
        <v>4</v>
      </c>
      <c r="H659">
        <v>6</v>
      </c>
      <c r="I659">
        <v>0</v>
      </c>
      <c r="J659" t="s">
        <v>13</v>
      </c>
    </row>
    <row r="660" spans="1:10">
      <c r="A660">
        <v>659</v>
      </c>
      <c r="B660" s="1">
        <v>45515</v>
      </c>
      <c r="C660" t="s">
        <v>12</v>
      </c>
      <c r="D660">
        <v>199</v>
      </c>
      <c r="E660">
        <v>9.6</v>
      </c>
      <c r="F660">
        <v>5</v>
      </c>
      <c r="G660">
        <v>3</v>
      </c>
      <c r="H660">
        <v>31</v>
      </c>
      <c r="I660">
        <v>57</v>
      </c>
      <c r="J660" t="s">
        <v>13</v>
      </c>
    </row>
    <row r="661" spans="1:10">
      <c r="A661">
        <v>660</v>
      </c>
      <c r="B661" s="1">
        <v>45517</v>
      </c>
      <c r="C661" t="s">
        <v>14</v>
      </c>
      <c r="D661">
        <v>399</v>
      </c>
      <c r="E661">
        <v>5</v>
      </c>
      <c r="F661">
        <v>8</v>
      </c>
      <c r="G661">
        <v>2</v>
      </c>
      <c r="H661">
        <v>32</v>
      </c>
      <c r="I661">
        <v>25</v>
      </c>
      <c r="J661" t="s">
        <v>11</v>
      </c>
    </row>
    <row r="662" spans="1:10">
      <c r="A662">
        <v>661</v>
      </c>
      <c r="B662" s="1">
        <v>45441</v>
      </c>
      <c r="C662" t="s">
        <v>12</v>
      </c>
      <c r="D662">
        <v>199</v>
      </c>
      <c r="E662">
        <v>13.4</v>
      </c>
      <c r="F662">
        <v>6</v>
      </c>
      <c r="G662">
        <v>3</v>
      </c>
      <c r="H662">
        <v>4</v>
      </c>
      <c r="I662">
        <v>60</v>
      </c>
      <c r="J662" t="s">
        <v>11</v>
      </c>
    </row>
    <row r="663" spans="1:10">
      <c r="A663">
        <v>662</v>
      </c>
      <c r="B663" s="1">
        <v>45398</v>
      </c>
      <c r="C663" t="s">
        <v>14</v>
      </c>
      <c r="D663">
        <v>399</v>
      </c>
      <c r="E663">
        <v>21.6</v>
      </c>
      <c r="F663">
        <v>2</v>
      </c>
      <c r="G663">
        <v>3</v>
      </c>
      <c r="H663">
        <v>26</v>
      </c>
      <c r="I663">
        <v>7</v>
      </c>
      <c r="J663" t="s">
        <v>13</v>
      </c>
    </row>
    <row r="664" spans="1:10">
      <c r="A664">
        <v>663</v>
      </c>
      <c r="B664" s="1">
        <v>45297</v>
      </c>
      <c r="C664" t="s">
        <v>14</v>
      </c>
      <c r="D664">
        <v>399</v>
      </c>
      <c r="E664">
        <v>0.8</v>
      </c>
      <c r="F664">
        <v>3</v>
      </c>
      <c r="G664">
        <v>3</v>
      </c>
      <c r="H664">
        <v>1</v>
      </c>
      <c r="I664">
        <v>37</v>
      </c>
      <c r="J664" t="s">
        <v>11</v>
      </c>
    </row>
    <row r="665" spans="1:10">
      <c r="A665">
        <v>664</v>
      </c>
      <c r="B665" s="1">
        <v>45554</v>
      </c>
      <c r="C665" t="s">
        <v>10</v>
      </c>
      <c r="D665">
        <v>699</v>
      </c>
      <c r="E665">
        <v>5.0999999999999996</v>
      </c>
      <c r="F665">
        <v>4</v>
      </c>
      <c r="G665">
        <v>1</v>
      </c>
      <c r="H665">
        <v>17</v>
      </c>
      <c r="I665">
        <v>17</v>
      </c>
      <c r="J665" t="s">
        <v>13</v>
      </c>
    </row>
    <row r="666" spans="1:10">
      <c r="A666">
        <v>665</v>
      </c>
      <c r="B666" s="1">
        <v>45308</v>
      </c>
      <c r="C666" t="s">
        <v>14</v>
      </c>
      <c r="D666">
        <v>399</v>
      </c>
      <c r="E666">
        <v>5</v>
      </c>
      <c r="F666">
        <v>6</v>
      </c>
      <c r="G666">
        <v>1</v>
      </c>
      <c r="H666">
        <v>24</v>
      </c>
      <c r="I666">
        <v>26</v>
      </c>
      <c r="J666" t="s">
        <v>13</v>
      </c>
    </row>
    <row r="667" spans="1:10">
      <c r="A667">
        <v>666</v>
      </c>
      <c r="B667" s="1">
        <v>45629</v>
      </c>
      <c r="C667" t="s">
        <v>14</v>
      </c>
      <c r="D667">
        <v>399</v>
      </c>
      <c r="E667">
        <v>7.4</v>
      </c>
      <c r="F667">
        <v>2</v>
      </c>
      <c r="G667">
        <v>4</v>
      </c>
      <c r="H667">
        <v>26</v>
      </c>
      <c r="I667">
        <v>8</v>
      </c>
      <c r="J667" t="s">
        <v>13</v>
      </c>
    </row>
    <row r="668" spans="1:10">
      <c r="A668">
        <v>667</v>
      </c>
      <c r="B668" s="1">
        <v>45127</v>
      </c>
      <c r="C668" t="s">
        <v>12</v>
      </c>
      <c r="D668">
        <v>199</v>
      </c>
      <c r="E668">
        <v>18.2</v>
      </c>
      <c r="F668">
        <v>3</v>
      </c>
      <c r="G668">
        <v>4</v>
      </c>
      <c r="H668">
        <v>7</v>
      </c>
      <c r="I668">
        <v>27</v>
      </c>
      <c r="J668" t="s">
        <v>13</v>
      </c>
    </row>
    <row r="669" spans="1:10">
      <c r="A669">
        <v>668</v>
      </c>
      <c r="B669" s="1">
        <v>45572</v>
      </c>
      <c r="C669" t="s">
        <v>12</v>
      </c>
      <c r="D669">
        <v>199</v>
      </c>
      <c r="E669">
        <v>12.1</v>
      </c>
      <c r="F669">
        <v>0</v>
      </c>
      <c r="G669">
        <v>1</v>
      </c>
      <c r="H669">
        <v>10</v>
      </c>
      <c r="I669">
        <v>26</v>
      </c>
      <c r="J669" t="s">
        <v>13</v>
      </c>
    </row>
    <row r="670" spans="1:10">
      <c r="A670">
        <v>669</v>
      </c>
      <c r="B670" s="1">
        <v>45508</v>
      </c>
      <c r="C670" t="s">
        <v>10</v>
      </c>
      <c r="D670">
        <v>699</v>
      </c>
      <c r="E670">
        <v>18.2</v>
      </c>
      <c r="F670">
        <v>7</v>
      </c>
      <c r="G670">
        <v>2</v>
      </c>
      <c r="H670">
        <v>35</v>
      </c>
      <c r="I670">
        <v>16</v>
      </c>
      <c r="J670" t="s">
        <v>13</v>
      </c>
    </row>
    <row r="671" spans="1:10">
      <c r="A671">
        <v>670</v>
      </c>
      <c r="B671" s="1">
        <v>45414</v>
      </c>
      <c r="C671" t="s">
        <v>12</v>
      </c>
      <c r="D671">
        <v>199</v>
      </c>
      <c r="E671">
        <v>2.9</v>
      </c>
      <c r="F671">
        <v>2</v>
      </c>
      <c r="G671">
        <v>0</v>
      </c>
      <c r="H671">
        <v>26</v>
      </c>
      <c r="I671">
        <v>13</v>
      </c>
      <c r="J671" t="s">
        <v>13</v>
      </c>
    </row>
    <row r="672" spans="1:10">
      <c r="A672">
        <v>671</v>
      </c>
      <c r="B672" s="1">
        <v>45497</v>
      </c>
      <c r="C672" t="s">
        <v>10</v>
      </c>
      <c r="D672">
        <v>699</v>
      </c>
      <c r="E672">
        <v>11.5</v>
      </c>
      <c r="F672">
        <v>5</v>
      </c>
      <c r="G672">
        <v>2</v>
      </c>
      <c r="H672">
        <v>7</v>
      </c>
      <c r="I672">
        <v>23</v>
      </c>
      <c r="J672" t="s">
        <v>11</v>
      </c>
    </row>
    <row r="673" spans="1:10">
      <c r="A673">
        <v>672</v>
      </c>
      <c r="B673" s="1">
        <v>45547</v>
      </c>
      <c r="C673" t="s">
        <v>14</v>
      </c>
      <c r="D673">
        <v>399</v>
      </c>
      <c r="E673">
        <v>1</v>
      </c>
      <c r="F673">
        <v>1</v>
      </c>
      <c r="G673">
        <v>2</v>
      </c>
      <c r="H673">
        <v>23</v>
      </c>
      <c r="I673">
        <v>55</v>
      </c>
      <c r="J673" t="s">
        <v>11</v>
      </c>
    </row>
    <row r="674" spans="1:10">
      <c r="A674">
        <v>673</v>
      </c>
      <c r="B674" s="1">
        <v>45426</v>
      </c>
      <c r="C674" t="s">
        <v>12</v>
      </c>
      <c r="D674">
        <v>199</v>
      </c>
      <c r="E674">
        <v>4.8</v>
      </c>
      <c r="F674">
        <v>4</v>
      </c>
      <c r="G674">
        <v>2</v>
      </c>
      <c r="H674">
        <v>35</v>
      </c>
      <c r="I674">
        <v>20</v>
      </c>
      <c r="J674" t="s">
        <v>11</v>
      </c>
    </row>
    <row r="675" spans="1:10">
      <c r="A675">
        <v>674</v>
      </c>
      <c r="B675" s="1">
        <v>45075</v>
      </c>
      <c r="C675" t="s">
        <v>10</v>
      </c>
      <c r="D675">
        <v>699</v>
      </c>
      <c r="E675">
        <v>22.3</v>
      </c>
      <c r="F675">
        <v>6</v>
      </c>
      <c r="G675">
        <v>4</v>
      </c>
      <c r="H675">
        <v>29</v>
      </c>
      <c r="I675">
        <v>18</v>
      </c>
      <c r="J675" t="s">
        <v>11</v>
      </c>
    </row>
    <row r="676" spans="1:10">
      <c r="A676">
        <v>675</v>
      </c>
      <c r="B676" s="1">
        <v>45160</v>
      </c>
      <c r="C676" t="s">
        <v>12</v>
      </c>
      <c r="D676">
        <v>199</v>
      </c>
      <c r="E676">
        <v>10.8</v>
      </c>
      <c r="F676">
        <v>6</v>
      </c>
      <c r="G676">
        <v>0</v>
      </c>
      <c r="H676">
        <v>22</v>
      </c>
      <c r="I676">
        <v>5</v>
      </c>
      <c r="J676" t="s">
        <v>11</v>
      </c>
    </row>
    <row r="677" spans="1:10">
      <c r="A677">
        <v>676</v>
      </c>
      <c r="B677" s="1">
        <v>45382</v>
      </c>
      <c r="C677" t="s">
        <v>14</v>
      </c>
      <c r="D677">
        <v>399</v>
      </c>
      <c r="E677">
        <v>16.5</v>
      </c>
      <c r="F677">
        <v>4</v>
      </c>
      <c r="G677">
        <v>4</v>
      </c>
      <c r="H677">
        <v>21</v>
      </c>
      <c r="I677">
        <v>41</v>
      </c>
      <c r="J677" t="s">
        <v>11</v>
      </c>
    </row>
    <row r="678" spans="1:10">
      <c r="A678">
        <v>677</v>
      </c>
      <c r="B678" s="1">
        <v>45055</v>
      </c>
      <c r="C678" t="s">
        <v>14</v>
      </c>
      <c r="D678">
        <v>399</v>
      </c>
      <c r="E678">
        <v>24.2</v>
      </c>
      <c r="F678">
        <v>6</v>
      </c>
      <c r="G678">
        <v>1</v>
      </c>
      <c r="H678">
        <v>34</v>
      </c>
      <c r="I678">
        <v>11</v>
      </c>
      <c r="J678" t="s">
        <v>13</v>
      </c>
    </row>
    <row r="679" spans="1:10">
      <c r="A679">
        <v>678</v>
      </c>
      <c r="B679" s="1">
        <v>45024</v>
      </c>
      <c r="C679" t="s">
        <v>10</v>
      </c>
      <c r="D679">
        <v>699</v>
      </c>
      <c r="E679">
        <v>16.7</v>
      </c>
      <c r="F679">
        <v>1</v>
      </c>
      <c r="G679">
        <v>1</v>
      </c>
      <c r="H679">
        <v>16</v>
      </c>
      <c r="I679">
        <v>10</v>
      </c>
      <c r="J679" t="s">
        <v>13</v>
      </c>
    </row>
    <row r="680" spans="1:10">
      <c r="A680">
        <v>679</v>
      </c>
      <c r="B680" s="1">
        <v>45012</v>
      </c>
      <c r="C680" t="s">
        <v>12</v>
      </c>
      <c r="D680">
        <v>199</v>
      </c>
      <c r="E680">
        <v>13.9</v>
      </c>
      <c r="F680">
        <v>0</v>
      </c>
      <c r="G680">
        <v>3</v>
      </c>
      <c r="H680">
        <v>31</v>
      </c>
      <c r="I680">
        <v>33</v>
      </c>
      <c r="J680" t="s">
        <v>13</v>
      </c>
    </row>
    <row r="681" spans="1:10">
      <c r="A681">
        <v>680</v>
      </c>
      <c r="B681" s="1">
        <v>45243</v>
      </c>
      <c r="C681" t="s">
        <v>12</v>
      </c>
      <c r="D681">
        <v>199</v>
      </c>
      <c r="E681">
        <v>15.6</v>
      </c>
      <c r="F681">
        <v>1</v>
      </c>
      <c r="G681">
        <v>5</v>
      </c>
      <c r="H681">
        <v>17</v>
      </c>
      <c r="I681">
        <v>59</v>
      </c>
      <c r="J681" t="s">
        <v>13</v>
      </c>
    </row>
    <row r="682" spans="1:10">
      <c r="A682">
        <v>681</v>
      </c>
      <c r="B682" s="1">
        <v>45101</v>
      </c>
      <c r="C682" t="s">
        <v>12</v>
      </c>
      <c r="D682">
        <v>199</v>
      </c>
      <c r="E682">
        <v>18.600000000000001</v>
      </c>
      <c r="F682">
        <v>7</v>
      </c>
      <c r="G682">
        <v>5</v>
      </c>
      <c r="H682">
        <v>16</v>
      </c>
      <c r="I682">
        <v>8</v>
      </c>
      <c r="J682" t="s">
        <v>11</v>
      </c>
    </row>
    <row r="683" spans="1:10">
      <c r="A683">
        <v>682</v>
      </c>
      <c r="B683" s="1">
        <v>45480</v>
      </c>
      <c r="C683" t="s">
        <v>12</v>
      </c>
      <c r="D683">
        <v>199</v>
      </c>
      <c r="E683">
        <v>16.8</v>
      </c>
      <c r="F683">
        <v>5</v>
      </c>
      <c r="G683">
        <v>3</v>
      </c>
      <c r="H683">
        <v>3</v>
      </c>
      <c r="I683">
        <v>29</v>
      </c>
      <c r="J683" t="s">
        <v>13</v>
      </c>
    </row>
    <row r="684" spans="1:10">
      <c r="A684">
        <v>683</v>
      </c>
      <c r="B684" s="1">
        <v>45573</v>
      </c>
      <c r="C684" t="s">
        <v>14</v>
      </c>
      <c r="D684">
        <v>399</v>
      </c>
      <c r="E684">
        <v>11.4</v>
      </c>
      <c r="F684">
        <v>8</v>
      </c>
      <c r="G684">
        <v>1</v>
      </c>
      <c r="H684">
        <v>36</v>
      </c>
      <c r="I684">
        <v>37</v>
      </c>
      <c r="J684" t="s">
        <v>13</v>
      </c>
    </row>
    <row r="685" spans="1:10">
      <c r="A685">
        <v>684</v>
      </c>
      <c r="B685" s="1">
        <v>45479</v>
      </c>
      <c r="C685" t="s">
        <v>10</v>
      </c>
      <c r="D685">
        <v>699</v>
      </c>
      <c r="E685">
        <v>13.3</v>
      </c>
      <c r="F685">
        <v>8</v>
      </c>
      <c r="G685">
        <v>2</v>
      </c>
      <c r="H685">
        <v>28</v>
      </c>
      <c r="I685">
        <v>58</v>
      </c>
      <c r="J685" t="s">
        <v>11</v>
      </c>
    </row>
    <row r="686" spans="1:10">
      <c r="A686">
        <v>685</v>
      </c>
      <c r="B686" s="1">
        <v>44937</v>
      </c>
      <c r="C686" t="s">
        <v>12</v>
      </c>
      <c r="D686">
        <v>199</v>
      </c>
      <c r="E686">
        <v>11.3</v>
      </c>
      <c r="F686">
        <v>5</v>
      </c>
      <c r="G686">
        <v>3</v>
      </c>
      <c r="H686">
        <v>6</v>
      </c>
      <c r="I686">
        <v>16</v>
      </c>
      <c r="J686" t="s">
        <v>11</v>
      </c>
    </row>
    <row r="687" spans="1:10">
      <c r="A687">
        <v>686</v>
      </c>
      <c r="B687" s="1">
        <v>44935</v>
      </c>
      <c r="C687" t="s">
        <v>12</v>
      </c>
      <c r="D687">
        <v>199</v>
      </c>
      <c r="E687">
        <v>20.5</v>
      </c>
      <c r="F687">
        <v>2</v>
      </c>
      <c r="G687">
        <v>2</v>
      </c>
      <c r="H687">
        <v>34</v>
      </c>
      <c r="I687">
        <v>18</v>
      </c>
      <c r="J687" t="s">
        <v>13</v>
      </c>
    </row>
    <row r="688" spans="1:10">
      <c r="A688">
        <v>687</v>
      </c>
      <c r="B688" s="1">
        <v>45226</v>
      </c>
      <c r="C688" t="s">
        <v>10</v>
      </c>
      <c r="D688">
        <v>699</v>
      </c>
      <c r="E688">
        <v>23.7</v>
      </c>
      <c r="F688">
        <v>7</v>
      </c>
      <c r="G688">
        <v>2</v>
      </c>
      <c r="H688">
        <v>32</v>
      </c>
      <c r="I688">
        <v>0</v>
      </c>
      <c r="J688" t="s">
        <v>13</v>
      </c>
    </row>
    <row r="689" spans="1:10">
      <c r="A689">
        <v>688</v>
      </c>
      <c r="B689" s="1">
        <v>45501</v>
      </c>
      <c r="C689" t="s">
        <v>10</v>
      </c>
      <c r="D689">
        <v>699</v>
      </c>
      <c r="E689">
        <v>20</v>
      </c>
      <c r="F689">
        <v>8</v>
      </c>
      <c r="G689">
        <v>2</v>
      </c>
      <c r="H689">
        <v>15</v>
      </c>
      <c r="I689">
        <v>12</v>
      </c>
      <c r="J689" t="s">
        <v>11</v>
      </c>
    </row>
    <row r="690" spans="1:10">
      <c r="A690">
        <v>689</v>
      </c>
      <c r="B690" s="1">
        <v>45359</v>
      </c>
      <c r="C690" t="s">
        <v>14</v>
      </c>
      <c r="D690">
        <v>399</v>
      </c>
      <c r="E690">
        <v>6.6</v>
      </c>
      <c r="F690">
        <v>6</v>
      </c>
      <c r="G690">
        <v>3</v>
      </c>
      <c r="H690">
        <v>26</v>
      </c>
      <c r="I690">
        <v>14</v>
      </c>
      <c r="J690" t="s">
        <v>11</v>
      </c>
    </row>
    <row r="691" spans="1:10">
      <c r="A691">
        <v>690</v>
      </c>
      <c r="B691" s="1">
        <v>45202</v>
      </c>
      <c r="C691" t="s">
        <v>10</v>
      </c>
      <c r="D691">
        <v>699</v>
      </c>
      <c r="E691">
        <v>13.2</v>
      </c>
      <c r="F691">
        <v>4</v>
      </c>
      <c r="G691">
        <v>2</v>
      </c>
      <c r="H691">
        <v>16</v>
      </c>
      <c r="I691">
        <v>41</v>
      </c>
      <c r="J691" t="s">
        <v>11</v>
      </c>
    </row>
    <row r="692" spans="1:10">
      <c r="A692">
        <v>691</v>
      </c>
      <c r="B692" s="1">
        <v>45393</v>
      </c>
      <c r="C692" t="s">
        <v>14</v>
      </c>
      <c r="D692">
        <v>399</v>
      </c>
      <c r="E692">
        <v>21.4</v>
      </c>
      <c r="F692">
        <v>2</v>
      </c>
      <c r="G692">
        <v>1</v>
      </c>
      <c r="H692">
        <v>13</v>
      </c>
      <c r="I692">
        <v>18</v>
      </c>
      <c r="J692" t="s">
        <v>13</v>
      </c>
    </row>
    <row r="693" spans="1:10">
      <c r="A693">
        <v>692</v>
      </c>
      <c r="B693" s="1">
        <v>44977</v>
      </c>
      <c r="C693" t="s">
        <v>10</v>
      </c>
      <c r="D693">
        <v>699</v>
      </c>
      <c r="E693">
        <v>7.2</v>
      </c>
      <c r="F693">
        <v>7</v>
      </c>
      <c r="G693">
        <v>1</v>
      </c>
      <c r="H693">
        <v>29</v>
      </c>
      <c r="I693">
        <v>20</v>
      </c>
      <c r="J693" t="s">
        <v>11</v>
      </c>
    </row>
    <row r="694" spans="1:10">
      <c r="A694">
        <v>693</v>
      </c>
      <c r="B694" s="1">
        <v>45375</v>
      </c>
      <c r="C694" t="s">
        <v>10</v>
      </c>
      <c r="D694">
        <v>699</v>
      </c>
      <c r="E694">
        <v>5.0999999999999996</v>
      </c>
      <c r="F694">
        <v>1</v>
      </c>
      <c r="G694">
        <v>2</v>
      </c>
      <c r="H694">
        <v>2</v>
      </c>
      <c r="I694">
        <v>17</v>
      </c>
      <c r="J694" t="s">
        <v>11</v>
      </c>
    </row>
    <row r="695" spans="1:10">
      <c r="A695">
        <v>694</v>
      </c>
      <c r="B695" s="1">
        <v>45357</v>
      </c>
      <c r="C695" t="s">
        <v>10</v>
      </c>
      <c r="D695">
        <v>699</v>
      </c>
      <c r="E695">
        <v>6.2</v>
      </c>
      <c r="F695">
        <v>2</v>
      </c>
      <c r="G695">
        <v>0</v>
      </c>
      <c r="H695">
        <v>1</v>
      </c>
      <c r="I695">
        <v>31</v>
      </c>
      <c r="J695" t="s">
        <v>11</v>
      </c>
    </row>
    <row r="696" spans="1:10">
      <c r="A696">
        <v>695</v>
      </c>
      <c r="B696" s="1">
        <v>45009</v>
      </c>
      <c r="C696" t="s">
        <v>14</v>
      </c>
      <c r="D696">
        <v>399</v>
      </c>
      <c r="E696">
        <v>25</v>
      </c>
      <c r="F696">
        <v>7</v>
      </c>
      <c r="G696">
        <v>5</v>
      </c>
      <c r="H696">
        <v>32</v>
      </c>
      <c r="I696">
        <v>50</v>
      </c>
      <c r="J696" t="s">
        <v>11</v>
      </c>
    </row>
    <row r="697" spans="1:10">
      <c r="A697">
        <v>696</v>
      </c>
      <c r="B697" s="1">
        <v>45123</v>
      </c>
      <c r="C697" t="s">
        <v>12</v>
      </c>
      <c r="D697">
        <v>199</v>
      </c>
      <c r="E697">
        <v>7</v>
      </c>
      <c r="F697">
        <v>6</v>
      </c>
      <c r="G697">
        <v>0</v>
      </c>
      <c r="H697">
        <v>4</v>
      </c>
      <c r="I697">
        <v>34</v>
      </c>
      <c r="J697" t="s">
        <v>11</v>
      </c>
    </row>
    <row r="698" spans="1:10">
      <c r="A698">
        <v>697</v>
      </c>
      <c r="B698" s="1">
        <v>45380</v>
      </c>
      <c r="C698" t="s">
        <v>14</v>
      </c>
      <c r="D698">
        <v>399</v>
      </c>
      <c r="E698">
        <v>20.8</v>
      </c>
      <c r="F698">
        <v>1</v>
      </c>
      <c r="G698">
        <v>5</v>
      </c>
      <c r="H698">
        <v>25</v>
      </c>
      <c r="I698">
        <v>15</v>
      </c>
      <c r="J698" t="s">
        <v>13</v>
      </c>
    </row>
    <row r="699" spans="1:10">
      <c r="A699">
        <v>698</v>
      </c>
      <c r="B699" s="1">
        <v>45411</v>
      </c>
      <c r="C699" t="s">
        <v>12</v>
      </c>
      <c r="D699">
        <v>199</v>
      </c>
      <c r="E699">
        <v>5.4</v>
      </c>
      <c r="F699">
        <v>1</v>
      </c>
      <c r="G699">
        <v>4</v>
      </c>
      <c r="H699">
        <v>3</v>
      </c>
      <c r="I699">
        <v>42</v>
      </c>
      <c r="J699" t="s">
        <v>13</v>
      </c>
    </row>
    <row r="700" spans="1:10">
      <c r="A700">
        <v>699</v>
      </c>
      <c r="B700" s="1">
        <v>45489</v>
      </c>
      <c r="C700" t="s">
        <v>14</v>
      </c>
      <c r="D700">
        <v>399</v>
      </c>
      <c r="E700">
        <v>23.4</v>
      </c>
      <c r="F700">
        <v>2</v>
      </c>
      <c r="G700">
        <v>5</v>
      </c>
      <c r="H700">
        <v>20</v>
      </c>
      <c r="I700">
        <v>46</v>
      </c>
      <c r="J700" t="s">
        <v>11</v>
      </c>
    </row>
    <row r="701" spans="1:10">
      <c r="A701">
        <v>700</v>
      </c>
      <c r="B701" s="1">
        <v>45609</v>
      </c>
      <c r="C701" t="s">
        <v>10</v>
      </c>
      <c r="D701">
        <v>699</v>
      </c>
      <c r="E701">
        <v>6.7</v>
      </c>
      <c r="F701">
        <v>4</v>
      </c>
      <c r="G701">
        <v>1</v>
      </c>
      <c r="H701">
        <v>8</v>
      </c>
      <c r="I701">
        <v>23</v>
      </c>
      <c r="J701" t="s">
        <v>13</v>
      </c>
    </row>
    <row r="702" spans="1:10">
      <c r="A702">
        <v>701</v>
      </c>
      <c r="B702" s="1">
        <v>45209</v>
      </c>
      <c r="C702" t="s">
        <v>12</v>
      </c>
      <c r="D702">
        <v>199</v>
      </c>
      <c r="E702">
        <v>6.3</v>
      </c>
      <c r="F702">
        <v>6</v>
      </c>
      <c r="G702">
        <v>2</v>
      </c>
      <c r="H702">
        <v>8</v>
      </c>
      <c r="I702">
        <v>0</v>
      </c>
      <c r="J702" t="s">
        <v>11</v>
      </c>
    </row>
    <row r="703" spans="1:10">
      <c r="A703">
        <v>702</v>
      </c>
      <c r="B703" s="1">
        <v>45634</v>
      </c>
      <c r="C703" t="s">
        <v>10</v>
      </c>
      <c r="D703">
        <v>699</v>
      </c>
      <c r="E703">
        <v>10.199999999999999</v>
      </c>
      <c r="F703">
        <v>3</v>
      </c>
      <c r="G703">
        <v>0</v>
      </c>
      <c r="H703">
        <v>8</v>
      </c>
      <c r="I703">
        <v>2</v>
      </c>
      <c r="J703" t="s">
        <v>13</v>
      </c>
    </row>
    <row r="704" spans="1:10">
      <c r="A704">
        <v>703</v>
      </c>
      <c r="B704" s="1">
        <v>45629</v>
      </c>
      <c r="C704" t="s">
        <v>14</v>
      </c>
      <c r="D704">
        <v>399</v>
      </c>
      <c r="E704">
        <v>9.6</v>
      </c>
      <c r="F704">
        <v>1</v>
      </c>
      <c r="G704">
        <v>1</v>
      </c>
      <c r="H704">
        <v>10</v>
      </c>
      <c r="I704">
        <v>10</v>
      </c>
      <c r="J704" t="s">
        <v>13</v>
      </c>
    </row>
    <row r="705" spans="1:10">
      <c r="A705">
        <v>704</v>
      </c>
      <c r="B705" s="1">
        <v>45645</v>
      </c>
      <c r="C705" t="s">
        <v>10</v>
      </c>
      <c r="D705">
        <v>699</v>
      </c>
      <c r="E705">
        <v>23.3</v>
      </c>
      <c r="F705">
        <v>0</v>
      </c>
      <c r="G705">
        <v>0</v>
      </c>
      <c r="H705">
        <v>22</v>
      </c>
      <c r="I705">
        <v>22</v>
      </c>
      <c r="J705" t="s">
        <v>13</v>
      </c>
    </row>
    <row r="706" spans="1:10">
      <c r="A706">
        <v>705</v>
      </c>
      <c r="B706" s="1">
        <v>45282</v>
      </c>
      <c r="C706" t="s">
        <v>10</v>
      </c>
      <c r="D706">
        <v>699</v>
      </c>
      <c r="E706">
        <v>3.6</v>
      </c>
      <c r="F706">
        <v>3</v>
      </c>
      <c r="G706">
        <v>2</v>
      </c>
      <c r="H706">
        <v>7</v>
      </c>
      <c r="I706">
        <v>35</v>
      </c>
      <c r="J706" t="s">
        <v>11</v>
      </c>
    </row>
    <row r="707" spans="1:10">
      <c r="A707">
        <v>706</v>
      </c>
      <c r="B707" s="1">
        <v>44967</v>
      </c>
      <c r="C707" t="s">
        <v>14</v>
      </c>
      <c r="D707">
        <v>399</v>
      </c>
      <c r="E707">
        <v>1</v>
      </c>
      <c r="F707">
        <v>6</v>
      </c>
      <c r="G707">
        <v>2</v>
      </c>
      <c r="H707">
        <v>13</v>
      </c>
      <c r="I707">
        <v>46</v>
      </c>
      <c r="J707" t="s">
        <v>11</v>
      </c>
    </row>
    <row r="708" spans="1:10">
      <c r="A708">
        <v>707</v>
      </c>
      <c r="B708" s="1">
        <v>45118</v>
      </c>
      <c r="C708" t="s">
        <v>14</v>
      </c>
      <c r="D708">
        <v>399</v>
      </c>
      <c r="E708">
        <v>14.2</v>
      </c>
      <c r="F708">
        <v>8</v>
      </c>
      <c r="G708">
        <v>5</v>
      </c>
      <c r="H708">
        <v>29</v>
      </c>
      <c r="I708">
        <v>31</v>
      </c>
      <c r="J708" t="s">
        <v>11</v>
      </c>
    </row>
    <row r="709" spans="1:10">
      <c r="A709">
        <v>708</v>
      </c>
      <c r="B709" s="1">
        <v>45494</v>
      </c>
      <c r="C709" t="s">
        <v>10</v>
      </c>
      <c r="D709">
        <v>699</v>
      </c>
      <c r="E709">
        <v>8.4</v>
      </c>
      <c r="F709">
        <v>7</v>
      </c>
      <c r="G709">
        <v>2</v>
      </c>
      <c r="H709">
        <v>23</v>
      </c>
      <c r="I709">
        <v>55</v>
      </c>
      <c r="J709" t="s">
        <v>13</v>
      </c>
    </row>
    <row r="710" spans="1:10">
      <c r="A710">
        <v>709</v>
      </c>
      <c r="B710" s="1">
        <v>45302</v>
      </c>
      <c r="C710" t="s">
        <v>12</v>
      </c>
      <c r="D710">
        <v>199</v>
      </c>
      <c r="E710">
        <v>13.5</v>
      </c>
      <c r="F710">
        <v>7</v>
      </c>
      <c r="G710">
        <v>2</v>
      </c>
      <c r="H710">
        <v>5</v>
      </c>
      <c r="I710">
        <v>52</v>
      </c>
      <c r="J710" t="s">
        <v>11</v>
      </c>
    </row>
    <row r="711" spans="1:10">
      <c r="A711">
        <v>710</v>
      </c>
      <c r="B711" s="1">
        <v>44946</v>
      </c>
      <c r="C711" t="s">
        <v>14</v>
      </c>
      <c r="D711">
        <v>399</v>
      </c>
      <c r="E711">
        <v>19.5</v>
      </c>
      <c r="F711">
        <v>8</v>
      </c>
      <c r="G711">
        <v>3</v>
      </c>
      <c r="H711">
        <v>1</v>
      </c>
      <c r="I711">
        <v>46</v>
      </c>
      <c r="J711" t="s">
        <v>11</v>
      </c>
    </row>
    <row r="712" spans="1:10">
      <c r="A712">
        <v>711</v>
      </c>
      <c r="B712" s="1">
        <v>45478</v>
      </c>
      <c r="C712" t="s">
        <v>10</v>
      </c>
      <c r="D712">
        <v>699</v>
      </c>
      <c r="E712">
        <v>19.5</v>
      </c>
      <c r="F712">
        <v>3</v>
      </c>
      <c r="G712">
        <v>2</v>
      </c>
      <c r="H712">
        <v>24</v>
      </c>
      <c r="I712">
        <v>46</v>
      </c>
      <c r="J712" t="s">
        <v>11</v>
      </c>
    </row>
    <row r="713" spans="1:10">
      <c r="A713">
        <v>712</v>
      </c>
      <c r="B713" s="1">
        <v>45257</v>
      </c>
      <c r="C713" t="s">
        <v>14</v>
      </c>
      <c r="D713">
        <v>399</v>
      </c>
      <c r="E713">
        <v>13.3</v>
      </c>
      <c r="F713">
        <v>7</v>
      </c>
      <c r="G713">
        <v>4</v>
      </c>
      <c r="H713">
        <v>13</v>
      </c>
      <c r="I713">
        <v>9</v>
      </c>
      <c r="J713" t="s">
        <v>13</v>
      </c>
    </row>
    <row r="714" spans="1:10">
      <c r="A714">
        <v>713</v>
      </c>
      <c r="B714" s="1">
        <v>45059</v>
      </c>
      <c r="C714" t="s">
        <v>14</v>
      </c>
      <c r="D714">
        <v>399</v>
      </c>
      <c r="E714">
        <v>3.2</v>
      </c>
      <c r="F714">
        <v>8</v>
      </c>
      <c r="G714">
        <v>5</v>
      </c>
      <c r="H714">
        <v>21</v>
      </c>
      <c r="I714">
        <v>4</v>
      </c>
      <c r="J714" t="s">
        <v>11</v>
      </c>
    </row>
    <row r="715" spans="1:10">
      <c r="A715">
        <v>714</v>
      </c>
      <c r="B715" s="1">
        <v>45584</v>
      </c>
      <c r="C715" t="s">
        <v>12</v>
      </c>
      <c r="D715">
        <v>199</v>
      </c>
      <c r="E715">
        <v>5.5</v>
      </c>
      <c r="F715">
        <v>7</v>
      </c>
      <c r="G715">
        <v>1</v>
      </c>
      <c r="H715">
        <v>3</v>
      </c>
      <c r="I715">
        <v>6</v>
      </c>
      <c r="J715" t="s">
        <v>11</v>
      </c>
    </row>
    <row r="716" spans="1:10">
      <c r="A716">
        <v>715</v>
      </c>
      <c r="B716" s="1">
        <v>44999</v>
      </c>
      <c r="C716" t="s">
        <v>14</v>
      </c>
      <c r="D716">
        <v>399</v>
      </c>
      <c r="E716">
        <v>13.4</v>
      </c>
      <c r="F716">
        <v>4</v>
      </c>
      <c r="G716">
        <v>0</v>
      </c>
      <c r="H716">
        <v>32</v>
      </c>
      <c r="I716">
        <v>23</v>
      </c>
      <c r="J716" t="s">
        <v>11</v>
      </c>
    </row>
    <row r="717" spans="1:10">
      <c r="A717">
        <v>716</v>
      </c>
      <c r="B717" s="1">
        <v>45296</v>
      </c>
      <c r="C717" t="s">
        <v>12</v>
      </c>
      <c r="D717">
        <v>199</v>
      </c>
      <c r="E717">
        <v>16.600000000000001</v>
      </c>
      <c r="F717">
        <v>1</v>
      </c>
      <c r="G717">
        <v>3</v>
      </c>
      <c r="H717">
        <v>14</v>
      </c>
      <c r="I717">
        <v>51</v>
      </c>
      <c r="J717" t="s">
        <v>13</v>
      </c>
    </row>
    <row r="718" spans="1:10">
      <c r="A718">
        <v>717</v>
      </c>
      <c r="B718" s="1">
        <v>44999</v>
      </c>
      <c r="C718" t="s">
        <v>10</v>
      </c>
      <c r="D718">
        <v>699</v>
      </c>
      <c r="E718">
        <v>20.6</v>
      </c>
      <c r="F718">
        <v>0</v>
      </c>
      <c r="G718">
        <v>4</v>
      </c>
      <c r="H718">
        <v>27</v>
      </c>
      <c r="I718">
        <v>17</v>
      </c>
      <c r="J718" t="s">
        <v>13</v>
      </c>
    </row>
    <row r="719" spans="1:10">
      <c r="A719">
        <v>718</v>
      </c>
      <c r="B719" s="1">
        <v>45471</v>
      </c>
      <c r="C719" t="s">
        <v>14</v>
      </c>
      <c r="D719">
        <v>399</v>
      </c>
      <c r="E719">
        <v>23.6</v>
      </c>
      <c r="F719">
        <v>8</v>
      </c>
      <c r="G719">
        <v>0</v>
      </c>
      <c r="H719">
        <v>5</v>
      </c>
      <c r="I719">
        <v>6</v>
      </c>
      <c r="J719" t="s">
        <v>13</v>
      </c>
    </row>
    <row r="720" spans="1:10">
      <c r="A720">
        <v>719</v>
      </c>
      <c r="B720" s="1">
        <v>45498</v>
      </c>
      <c r="C720" t="s">
        <v>14</v>
      </c>
      <c r="D720">
        <v>399</v>
      </c>
      <c r="E720">
        <v>5.2</v>
      </c>
      <c r="F720">
        <v>3</v>
      </c>
      <c r="G720">
        <v>4</v>
      </c>
      <c r="H720">
        <v>13</v>
      </c>
      <c r="I720">
        <v>40</v>
      </c>
      <c r="J720" t="s">
        <v>13</v>
      </c>
    </row>
    <row r="721" spans="1:10">
      <c r="A721">
        <v>720</v>
      </c>
      <c r="B721" s="1">
        <v>45396</v>
      </c>
      <c r="C721" t="s">
        <v>10</v>
      </c>
      <c r="D721">
        <v>699</v>
      </c>
      <c r="E721">
        <v>10.7</v>
      </c>
      <c r="F721">
        <v>1</v>
      </c>
      <c r="G721">
        <v>5</v>
      </c>
      <c r="H721">
        <v>36</v>
      </c>
      <c r="I721">
        <v>36</v>
      </c>
      <c r="J721" t="s">
        <v>11</v>
      </c>
    </row>
    <row r="722" spans="1:10">
      <c r="A722">
        <v>721</v>
      </c>
      <c r="B722" s="1">
        <v>45272</v>
      </c>
      <c r="C722" t="s">
        <v>10</v>
      </c>
      <c r="D722">
        <v>699</v>
      </c>
      <c r="E722">
        <v>22.1</v>
      </c>
      <c r="F722">
        <v>2</v>
      </c>
      <c r="G722">
        <v>1</v>
      </c>
      <c r="H722">
        <v>28</v>
      </c>
      <c r="I722">
        <v>35</v>
      </c>
      <c r="J722" t="s">
        <v>13</v>
      </c>
    </row>
    <row r="723" spans="1:10">
      <c r="A723">
        <v>722</v>
      </c>
      <c r="B723" s="1">
        <v>45259</v>
      </c>
      <c r="C723" t="s">
        <v>10</v>
      </c>
      <c r="D723">
        <v>699</v>
      </c>
      <c r="E723">
        <v>13.6</v>
      </c>
      <c r="F723">
        <v>7</v>
      </c>
      <c r="G723">
        <v>2</v>
      </c>
      <c r="H723">
        <v>11</v>
      </c>
      <c r="I723">
        <v>57</v>
      </c>
      <c r="J723" t="s">
        <v>11</v>
      </c>
    </row>
    <row r="724" spans="1:10">
      <c r="A724">
        <v>723</v>
      </c>
      <c r="B724" s="1">
        <v>45503</v>
      </c>
      <c r="C724" t="s">
        <v>14</v>
      </c>
      <c r="D724">
        <v>399</v>
      </c>
      <c r="E724">
        <v>19.2</v>
      </c>
      <c r="F724">
        <v>6</v>
      </c>
      <c r="G724">
        <v>5</v>
      </c>
      <c r="H724">
        <v>27</v>
      </c>
      <c r="I724">
        <v>20</v>
      </c>
      <c r="J724" t="s">
        <v>13</v>
      </c>
    </row>
    <row r="725" spans="1:10">
      <c r="A725">
        <v>724</v>
      </c>
      <c r="B725" s="1">
        <v>45390</v>
      </c>
      <c r="C725" t="s">
        <v>10</v>
      </c>
      <c r="D725">
        <v>699</v>
      </c>
      <c r="E725">
        <v>9.6999999999999993</v>
      </c>
      <c r="F725">
        <v>8</v>
      </c>
      <c r="G725">
        <v>5</v>
      </c>
      <c r="H725">
        <v>14</v>
      </c>
      <c r="I725">
        <v>16</v>
      </c>
      <c r="J725" t="s">
        <v>11</v>
      </c>
    </row>
    <row r="726" spans="1:10">
      <c r="A726">
        <v>725</v>
      </c>
      <c r="B726" s="1">
        <v>45065</v>
      </c>
      <c r="C726" t="s">
        <v>14</v>
      </c>
      <c r="D726">
        <v>399</v>
      </c>
      <c r="E726">
        <v>0.5</v>
      </c>
      <c r="F726">
        <v>0</v>
      </c>
      <c r="G726">
        <v>2</v>
      </c>
      <c r="H726">
        <v>26</v>
      </c>
      <c r="I726">
        <v>38</v>
      </c>
      <c r="J726" t="s">
        <v>11</v>
      </c>
    </row>
    <row r="727" spans="1:10">
      <c r="A727">
        <v>726</v>
      </c>
      <c r="B727" s="1">
        <v>45633</v>
      </c>
      <c r="C727" t="s">
        <v>14</v>
      </c>
      <c r="D727">
        <v>399</v>
      </c>
      <c r="E727">
        <v>7.9</v>
      </c>
      <c r="F727">
        <v>3</v>
      </c>
      <c r="G727">
        <v>1</v>
      </c>
      <c r="H727">
        <v>1</v>
      </c>
      <c r="I727">
        <v>54</v>
      </c>
      <c r="J727" t="s">
        <v>11</v>
      </c>
    </row>
    <row r="728" spans="1:10">
      <c r="A728">
        <v>727</v>
      </c>
      <c r="B728" s="1">
        <v>45086</v>
      </c>
      <c r="C728" t="s">
        <v>14</v>
      </c>
      <c r="D728">
        <v>399</v>
      </c>
      <c r="E728">
        <v>13</v>
      </c>
      <c r="F728">
        <v>2</v>
      </c>
      <c r="G728">
        <v>0</v>
      </c>
      <c r="H728">
        <v>36</v>
      </c>
      <c r="I728">
        <v>2</v>
      </c>
      <c r="J728" t="s">
        <v>13</v>
      </c>
    </row>
    <row r="729" spans="1:10">
      <c r="A729">
        <v>728</v>
      </c>
      <c r="B729" s="1">
        <v>45021</v>
      </c>
      <c r="C729" t="s">
        <v>12</v>
      </c>
      <c r="D729">
        <v>199</v>
      </c>
      <c r="E729">
        <v>9.5</v>
      </c>
      <c r="F729">
        <v>3</v>
      </c>
      <c r="G729">
        <v>1</v>
      </c>
      <c r="H729">
        <v>17</v>
      </c>
      <c r="I729">
        <v>16</v>
      </c>
      <c r="J729" t="s">
        <v>13</v>
      </c>
    </row>
    <row r="730" spans="1:10">
      <c r="A730">
        <v>729</v>
      </c>
      <c r="B730" s="1">
        <v>45421</v>
      </c>
      <c r="C730" t="s">
        <v>10</v>
      </c>
      <c r="D730">
        <v>699</v>
      </c>
      <c r="E730">
        <v>14.4</v>
      </c>
      <c r="F730">
        <v>3</v>
      </c>
      <c r="G730">
        <v>5</v>
      </c>
      <c r="H730">
        <v>26</v>
      </c>
      <c r="I730">
        <v>4</v>
      </c>
      <c r="J730" t="s">
        <v>13</v>
      </c>
    </row>
    <row r="731" spans="1:10">
      <c r="A731">
        <v>730</v>
      </c>
      <c r="B731" s="1">
        <v>45517</v>
      </c>
      <c r="C731" t="s">
        <v>12</v>
      </c>
      <c r="D731">
        <v>199</v>
      </c>
      <c r="E731">
        <v>20.7</v>
      </c>
      <c r="F731">
        <v>1</v>
      </c>
      <c r="G731">
        <v>4</v>
      </c>
      <c r="H731">
        <v>32</v>
      </c>
      <c r="I731">
        <v>41</v>
      </c>
      <c r="J731" t="s">
        <v>11</v>
      </c>
    </row>
    <row r="732" spans="1:10">
      <c r="A732">
        <v>731</v>
      </c>
      <c r="B732" s="1">
        <v>45353</v>
      </c>
      <c r="C732" t="s">
        <v>14</v>
      </c>
      <c r="D732">
        <v>399</v>
      </c>
      <c r="E732">
        <v>19.600000000000001</v>
      </c>
      <c r="F732">
        <v>5</v>
      </c>
      <c r="G732">
        <v>2</v>
      </c>
      <c r="H732">
        <v>6</v>
      </c>
      <c r="I732">
        <v>56</v>
      </c>
      <c r="J732" t="s">
        <v>13</v>
      </c>
    </row>
    <row r="733" spans="1:10">
      <c r="A733">
        <v>732</v>
      </c>
      <c r="B733" s="1">
        <v>44982</v>
      </c>
      <c r="C733" t="s">
        <v>12</v>
      </c>
      <c r="D733">
        <v>199</v>
      </c>
      <c r="E733">
        <v>18.8</v>
      </c>
      <c r="F733">
        <v>0</v>
      </c>
      <c r="G733">
        <v>5</v>
      </c>
      <c r="H733">
        <v>15</v>
      </c>
      <c r="I733">
        <v>49</v>
      </c>
      <c r="J733" t="s">
        <v>13</v>
      </c>
    </row>
    <row r="734" spans="1:10">
      <c r="A734">
        <v>733</v>
      </c>
      <c r="B734" s="1">
        <v>45641</v>
      </c>
      <c r="C734" t="s">
        <v>14</v>
      </c>
      <c r="D734">
        <v>399</v>
      </c>
      <c r="E734">
        <v>1.5</v>
      </c>
      <c r="F734">
        <v>8</v>
      </c>
      <c r="G734">
        <v>4</v>
      </c>
      <c r="H734">
        <v>34</v>
      </c>
      <c r="I734">
        <v>9</v>
      </c>
      <c r="J734" t="s">
        <v>11</v>
      </c>
    </row>
    <row r="735" spans="1:10">
      <c r="A735">
        <v>734</v>
      </c>
      <c r="B735" s="1">
        <v>45443</v>
      </c>
      <c r="C735" t="s">
        <v>12</v>
      </c>
      <c r="D735">
        <v>199</v>
      </c>
      <c r="E735">
        <v>1.7</v>
      </c>
      <c r="F735">
        <v>6</v>
      </c>
      <c r="G735">
        <v>3</v>
      </c>
      <c r="H735">
        <v>10</v>
      </c>
      <c r="I735">
        <v>48</v>
      </c>
      <c r="J735" t="s">
        <v>11</v>
      </c>
    </row>
    <row r="736" spans="1:10">
      <c r="A736">
        <v>735</v>
      </c>
      <c r="B736" s="1">
        <v>45414</v>
      </c>
      <c r="C736" t="s">
        <v>12</v>
      </c>
      <c r="D736">
        <v>199</v>
      </c>
      <c r="E736">
        <v>11.1</v>
      </c>
      <c r="F736">
        <v>6</v>
      </c>
      <c r="G736">
        <v>1</v>
      </c>
      <c r="H736">
        <v>15</v>
      </c>
      <c r="I736">
        <v>8</v>
      </c>
      <c r="J736" t="s">
        <v>13</v>
      </c>
    </row>
    <row r="737" spans="1:10">
      <c r="A737">
        <v>736</v>
      </c>
      <c r="B737" s="1">
        <v>45641</v>
      </c>
      <c r="C737" t="s">
        <v>10</v>
      </c>
      <c r="D737">
        <v>699</v>
      </c>
      <c r="E737">
        <v>13.9</v>
      </c>
      <c r="F737">
        <v>4</v>
      </c>
      <c r="G737">
        <v>0</v>
      </c>
      <c r="H737">
        <v>4</v>
      </c>
      <c r="I737">
        <v>25</v>
      </c>
      <c r="J737" t="s">
        <v>13</v>
      </c>
    </row>
    <row r="738" spans="1:10">
      <c r="A738">
        <v>737</v>
      </c>
      <c r="B738" s="1">
        <v>45127</v>
      </c>
      <c r="C738" t="s">
        <v>12</v>
      </c>
      <c r="D738">
        <v>199</v>
      </c>
      <c r="E738">
        <v>12.3</v>
      </c>
      <c r="F738">
        <v>3</v>
      </c>
      <c r="G738">
        <v>3</v>
      </c>
      <c r="H738">
        <v>9</v>
      </c>
      <c r="I738">
        <v>25</v>
      </c>
      <c r="J738" t="s">
        <v>13</v>
      </c>
    </row>
    <row r="739" spans="1:10">
      <c r="A739">
        <v>738</v>
      </c>
      <c r="B739" s="1">
        <v>45628</v>
      </c>
      <c r="C739" t="s">
        <v>10</v>
      </c>
      <c r="D739">
        <v>699</v>
      </c>
      <c r="E739">
        <v>6.5</v>
      </c>
      <c r="F739">
        <v>1</v>
      </c>
      <c r="G739">
        <v>2</v>
      </c>
      <c r="H739">
        <v>34</v>
      </c>
      <c r="I739">
        <v>49</v>
      </c>
      <c r="J739" t="s">
        <v>11</v>
      </c>
    </row>
    <row r="740" spans="1:10">
      <c r="A740">
        <v>739</v>
      </c>
      <c r="B740" s="1">
        <v>45255</v>
      </c>
      <c r="C740" t="s">
        <v>10</v>
      </c>
      <c r="D740">
        <v>699</v>
      </c>
      <c r="E740">
        <v>3.3</v>
      </c>
      <c r="F740">
        <v>6</v>
      </c>
      <c r="G740">
        <v>3</v>
      </c>
      <c r="H740">
        <v>6</v>
      </c>
      <c r="I740">
        <v>23</v>
      </c>
      <c r="J740" t="s">
        <v>11</v>
      </c>
    </row>
    <row r="741" spans="1:10">
      <c r="A741">
        <v>740</v>
      </c>
      <c r="B741" s="1">
        <v>45379</v>
      </c>
      <c r="C741" t="s">
        <v>14</v>
      </c>
      <c r="D741">
        <v>399</v>
      </c>
      <c r="E741">
        <v>19.399999999999999</v>
      </c>
      <c r="F741">
        <v>2</v>
      </c>
      <c r="G741">
        <v>2</v>
      </c>
      <c r="H741">
        <v>2</v>
      </c>
      <c r="I741">
        <v>39</v>
      </c>
      <c r="J741" t="s">
        <v>13</v>
      </c>
    </row>
    <row r="742" spans="1:10">
      <c r="A742">
        <v>741</v>
      </c>
      <c r="B742" s="1">
        <v>45014</v>
      </c>
      <c r="C742" t="s">
        <v>10</v>
      </c>
      <c r="D742">
        <v>699</v>
      </c>
      <c r="E742">
        <v>11.3</v>
      </c>
      <c r="F742">
        <v>3</v>
      </c>
      <c r="G742">
        <v>1</v>
      </c>
      <c r="H742">
        <v>10</v>
      </c>
      <c r="I742">
        <v>43</v>
      </c>
      <c r="J742" t="s">
        <v>13</v>
      </c>
    </row>
    <row r="743" spans="1:10">
      <c r="A743">
        <v>742</v>
      </c>
      <c r="B743" s="1">
        <v>45040</v>
      </c>
      <c r="C743" t="s">
        <v>12</v>
      </c>
      <c r="D743">
        <v>199</v>
      </c>
      <c r="E743">
        <v>6.5</v>
      </c>
      <c r="F743">
        <v>2</v>
      </c>
      <c r="G743">
        <v>2</v>
      </c>
      <c r="H743">
        <v>4</v>
      </c>
      <c r="I743">
        <v>0</v>
      </c>
      <c r="J743" t="s">
        <v>11</v>
      </c>
    </row>
    <row r="744" spans="1:10">
      <c r="A744">
        <v>743</v>
      </c>
      <c r="B744" s="1">
        <v>45135</v>
      </c>
      <c r="C744" t="s">
        <v>14</v>
      </c>
      <c r="D744">
        <v>399</v>
      </c>
      <c r="E744">
        <v>12</v>
      </c>
      <c r="F744">
        <v>5</v>
      </c>
      <c r="G744">
        <v>1</v>
      </c>
      <c r="H744">
        <v>29</v>
      </c>
      <c r="I744">
        <v>47</v>
      </c>
      <c r="J744" t="s">
        <v>13</v>
      </c>
    </row>
    <row r="745" spans="1:10">
      <c r="A745">
        <v>744</v>
      </c>
      <c r="B745" s="1">
        <v>45071</v>
      </c>
      <c r="C745" t="s">
        <v>10</v>
      </c>
      <c r="D745">
        <v>699</v>
      </c>
      <c r="E745">
        <v>18.899999999999999</v>
      </c>
      <c r="F745">
        <v>8</v>
      </c>
      <c r="G745">
        <v>3</v>
      </c>
      <c r="H745">
        <v>34</v>
      </c>
      <c r="I745">
        <v>39</v>
      </c>
      <c r="J745" t="s">
        <v>11</v>
      </c>
    </row>
    <row r="746" spans="1:10">
      <c r="A746">
        <v>745</v>
      </c>
      <c r="B746" s="1">
        <v>45217</v>
      </c>
      <c r="C746" t="s">
        <v>10</v>
      </c>
      <c r="D746">
        <v>699</v>
      </c>
      <c r="E746">
        <v>9.6999999999999993</v>
      </c>
      <c r="F746">
        <v>8</v>
      </c>
      <c r="G746">
        <v>0</v>
      </c>
      <c r="H746">
        <v>2</v>
      </c>
      <c r="I746">
        <v>16</v>
      </c>
      <c r="J746" t="s">
        <v>11</v>
      </c>
    </row>
    <row r="747" spans="1:10">
      <c r="A747">
        <v>746</v>
      </c>
      <c r="B747" s="1">
        <v>45605</v>
      </c>
      <c r="C747" t="s">
        <v>12</v>
      </c>
      <c r="D747">
        <v>199</v>
      </c>
      <c r="E747">
        <v>1.8</v>
      </c>
      <c r="F747">
        <v>0</v>
      </c>
      <c r="G747">
        <v>0</v>
      </c>
      <c r="H747">
        <v>18</v>
      </c>
      <c r="I747">
        <v>24</v>
      </c>
      <c r="J747" t="s">
        <v>13</v>
      </c>
    </row>
    <row r="748" spans="1:10">
      <c r="A748">
        <v>747</v>
      </c>
      <c r="B748" s="1">
        <v>45322</v>
      </c>
      <c r="C748" t="s">
        <v>10</v>
      </c>
      <c r="D748">
        <v>699</v>
      </c>
      <c r="E748">
        <v>21.7</v>
      </c>
      <c r="F748">
        <v>0</v>
      </c>
      <c r="G748">
        <v>2</v>
      </c>
      <c r="H748">
        <v>24</v>
      </c>
      <c r="I748">
        <v>55</v>
      </c>
      <c r="J748" t="s">
        <v>13</v>
      </c>
    </row>
    <row r="749" spans="1:10">
      <c r="A749">
        <v>748</v>
      </c>
      <c r="B749" s="1">
        <v>45471</v>
      </c>
      <c r="C749" t="s">
        <v>12</v>
      </c>
      <c r="D749">
        <v>199</v>
      </c>
      <c r="E749">
        <v>13</v>
      </c>
      <c r="F749">
        <v>1</v>
      </c>
      <c r="G749">
        <v>2</v>
      </c>
      <c r="H749">
        <v>25</v>
      </c>
      <c r="I749">
        <v>31</v>
      </c>
      <c r="J749" t="s">
        <v>13</v>
      </c>
    </row>
    <row r="750" spans="1:10">
      <c r="A750">
        <v>749</v>
      </c>
      <c r="B750" s="1">
        <v>44967</v>
      </c>
      <c r="C750" t="s">
        <v>12</v>
      </c>
      <c r="D750">
        <v>199</v>
      </c>
      <c r="E750">
        <v>5.4</v>
      </c>
      <c r="F750">
        <v>7</v>
      </c>
      <c r="G750">
        <v>4</v>
      </c>
      <c r="H750">
        <v>12</v>
      </c>
      <c r="I750">
        <v>59</v>
      </c>
      <c r="J750" t="s">
        <v>11</v>
      </c>
    </row>
    <row r="751" spans="1:10">
      <c r="A751">
        <v>750</v>
      </c>
      <c r="B751" s="1">
        <v>45282</v>
      </c>
      <c r="C751" t="s">
        <v>12</v>
      </c>
      <c r="D751">
        <v>199</v>
      </c>
      <c r="E751">
        <v>8</v>
      </c>
      <c r="F751">
        <v>7</v>
      </c>
      <c r="G751">
        <v>3</v>
      </c>
      <c r="H751">
        <v>34</v>
      </c>
      <c r="I751">
        <v>47</v>
      </c>
      <c r="J751" t="s">
        <v>11</v>
      </c>
    </row>
    <row r="752" spans="1:10">
      <c r="A752">
        <v>751</v>
      </c>
      <c r="B752" s="1">
        <v>44990</v>
      </c>
      <c r="C752" t="s">
        <v>10</v>
      </c>
      <c r="D752">
        <v>699</v>
      </c>
      <c r="E752">
        <v>9.1999999999999993</v>
      </c>
      <c r="F752">
        <v>4</v>
      </c>
      <c r="G752">
        <v>1</v>
      </c>
      <c r="H752">
        <v>23</v>
      </c>
      <c r="I752">
        <v>32</v>
      </c>
      <c r="J752" t="s">
        <v>11</v>
      </c>
    </row>
    <row r="753" spans="1:10">
      <c r="A753">
        <v>752</v>
      </c>
      <c r="B753" s="1">
        <v>45082</v>
      </c>
      <c r="C753" t="s">
        <v>10</v>
      </c>
      <c r="D753">
        <v>699</v>
      </c>
      <c r="E753">
        <v>22</v>
      </c>
      <c r="F753">
        <v>0</v>
      </c>
      <c r="G753">
        <v>4</v>
      </c>
      <c r="H753">
        <v>17</v>
      </c>
      <c r="I753">
        <v>60</v>
      </c>
      <c r="J753" t="s">
        <v>11</v>
      </c>
    </row>
    <row r="754" spans="1:10">
      <c r="A754">
        <v>753</v>
      </c>
      <c r="B754" s="1">
        <v>45621</v>
      </c>
      <c r="C754" t="s">
        <v>14</v>
      </c>
      <c r="D754">
        <v>399</v>
      </c>
      <c r="E754">
        <v>16.600000000000001</v>
      </c>
      <c r="F754">
        <v>1</v>
      </c>
      <c r="G754">
        <v>5</v>
      </c>
      <c r="H754">
        <v>26</v>
      </c>
      <c r="I754">
        <v>24</v>
      </c>
      <c r="J754" t="s">
        <v>11</v>
      </c>
    </row>
    <row r="755" spans="1:10">
      <c r="A755">
        <v>754</v>
      </c>
      <c r="B755" s="1">
        <v>45264</v>
      </c>
      <c r="C755" t="s">
        <v>10</v>
      </c>
      <c r="D755">
        <v>699</v>
      </c>
      <c r="E755">
        <v>10.7</v>
      </c>
      <c r="F755">
        <v>2</v>
      </c>
      <c r="G755">
        <v>3</v>
      </c>
      <c r="H755">
        <v>15</v>
      </c>
      <c r="I755">
        <v>19</v>
      </c>
      <c r="J755" t="s">
        <v>13</v>
      </c>
    </row>
    <row r="756" spans="1:10">
      <c r="A756">
        <v>755</v>
      </c>
      <c r="B756" s="1">
        <v>45134</v>
      </c>
      <c r="C756" t="s">
        <v>14</v>
      </c>
      <c r="D756">
        <v>399</v>
      </c>
      <c r="E756">
        <v>3.7</v>
      </c>
      <c r="F756">
        <v>2</v>
      </c>
      <c r="G756">
        <v>4</v>
      </c>
      <c r="H756">
        <v>35</v>
      </c>
      <c r="I756">
        <v>34</v>
      </c>
      <c r="J756" t="s">
        <v>11</v>
      </c>
    </row>
    <row r="757" spans="1:10">
      <c r="A757">
        <v>756</v>
      </c>
      <c r="B757" s="1">
        <v>45075</v>
      </c>
      <c r="C757" t="s">
        <v>12</v>
      </c>
      <c r="D757">
        <v>199</v>
      </c>
      <c r="E757">
        <v>17.399999999999999</v>
      </c>
      <c r="F757">
        <v>8</v>
      </c>
      <c r="G757">
        <v>1</v>
      </c>
      <c r="H757">
        <v>20</v>
      </c>
      <c r="I757">
        <v>27</v>
      </c>
      <c r="J757" t="s">
        <v>13</v>
      </c>
    </row>
    <row r="758" spans="1:10">
      <c r="A758">
        <v>757</v>
      </c>
      <c r="B758" s="1">
        <v>45115</v>
      </c>
      <c r="C758" t="s">
        <v>10</v>
      </c>
      <c r="D758">
        <v>699</v>
      </c>
      <c r="E758">
        <v>8.3000000000000007</v>
      </c>
      <c r="F758">
        <v>8</v>
      </c>
      <c r="G758">
        <v>4</v>
      </c>
      <c r="H758">
        <v>11</v>
      </c>
      <c r="I758">
        <v>60</v>
      </c>
      <c r="J758" t="s">
        <v>11</v>
      </c>
    </row>
    <row r="759" spans="1:10">
      <c r="A759">
        <v>758</v>
      </c>
      <c r="B759" s="1">
        <v>45579</v>
      </c>
      <c r="C759" t="s">
        <v>14</v>
      </c>
      <c r="D759">
        <v>399</v>
      </c>
      <c r="E759">
        <v>18.3</v>
      </c>
      <c r="F759">
        <v>5</v>
      </c>
      <c r="G759">
        <v>3</v>
      </c>
      <c r="H759">
        <v>10</v>
      </c>
      <c r="I759">
        <v>26</v>
      </c>
      <c r="J759" t="s">
        <v>11</v>
      </c>
    </row>
    <row r="760" spans="1:10">
      <c r="A760">
        <v>759</v>
      </c>
      <c r="B760" s="1">
        <v>45553</v>
      </c>
      <c r="C760" t="s">
        <v>10</v>
      </c>
      <c r="D760">
        <v>699</v>
      </c>
      <c r="E760">
        <v>4.2</v>
      </c>
      <c r="F760">
        <v>3</v>
      </c>
      <c r="G760">
        <v>0</v>
      </c>
      <c r="H760">
        <v>18</v>
      </c>
      <c r="I760">
        <v>8</v>
      </c>
      <c r="J760" t="s">
        <v>11</v>
      </c>
    </row>
    <row r="761" spans="1:10">
      <c r="A761">
        <v>760</v>
      </c>
      <c r="B761" s="1">
        <v>44953</v>
      </c>
      <c r="C761" t="s">
        <v>10</v>
      </c>
      <c r="D761">
        <v>699</v>
      </c>
      <c r="E761">
        <v>15.3</v>
      </c>
      <c r="F761">
        <v>3</v>
      </c>
      <c r="G761">
        <v>4</v>
      </c>
      <c r="H761">
        <v>18</v>
      </c>
      <c r="I761">
        <v>14</v>
      </c>
      <c r="J761" t="s">
        <v>11</v>
      </c>
    </row>
    <row r="762" spans="1:10">
      <c r="A762">
        <v>761</v>
      </c>
      <c r="B762" s="1">
        <v>45407</v>
      </c>
      <c r="C762" t="s">
        <v>14</v>
      </c>
      <c r="D762">
        <v>399</v>
      </c>
      <c r="E762">
        <v>17.399999999999999</v>
      </c>
      <c r="F762">
        <v>7</v>
      </c>
      <c r="G762">
        <v>1</v>
      </c>
      <c r="H762">
        <v>6</v>
      </c>
      <c r="I762">
        <v>32</v>
      </c>
      <c r="J762" t="s">
        <v>13</v>
      </c>
    </row>
    <row r="763" spans="1:10">
      <c r="A763">
        <v>762</v>
      </c>
      <c r="B763" s="1">
        <v>45124</v>
      </c>
      <c r="C763" t="s">
        <v>10</v>
      </c>
      <c r="D763">
        <v>699</v>
      </c>
      <c r="E763">
        <v>5</v>
      </c>
      <c r="F763">
        <v>6</v>
      </c>
      <c r="G763">
        <v>3</v>
      </c>
      <c r="H763">
        <v>24</v>
      </c>
      <c r="I763">
        <v>30</v>
      </c>
      <c r="J763" t="s">
        <v>11</v>
      </c>
    </row>
    <row r="764" spans="1:10">
      <c r="A764">
        <v>763</v>
      </c>
      <c r="B764" s="1">
        <v>45614</v>
      </c>
      <c r="C764" t="s">
        <v>12</v>
      </c>
      <c r="D764">
        <v>199</v>
      </c>
      <c r="E764">
        <v>10.5</v>
      </c>
      <c r="F764">
        <v>0</v>
      </c>
      <c r="G764">
        <v>2</v>
      </c>
      <c r="H764">
        <v>3</v>
      </c>
      <c r="I764">
        <v>60</v>
      </c>
      <c r="J764" t="s">
        <v>11</v>
      </c>
    </row>
    <row r="765" spans="1:10">
      <c r="A765">
        <v>764</v>
      </c>
      <c r="B765" s="1">
        <v>45395</v>
      </c>
      <c r="C765" t="s">
        <v>12</v>
      </c>
      <c r="D765">
        <v>199</v>
      </c>
      <c r="E765">
        <v>2.1</v>
      </c>
      <c r="F765">
        <v>7</v>
      </c>
      <c r="G765">
        <v>4</v>
      </c>
      <c r="H765">
        <v>14</v>
      </c>
      <c r="I765">
        <v>31</v>
      </c>
      <c r="J765" t="s">
        <v>11</v>
      </c>
    </row>
    <row r="766" spans="1:10">
      <c r="A766">
        <v>765</v>
      </c>
      <c r="B766" s="1">
        <v>45247</v>
      </c>
      <c r="C766" t="s">
        <v>12</v>
      </c>
      <c r="D766">
        <v>199</v>
      </c>
      <c r="E766">
        <v>10.4</v>
      </c>
      <c r="F766">
        <v>0</v>
      </c>
      <c r="G766">
        <v>4</v>
      </c>
      <c r="H766">
        <v>28</v>
      </c>
      <c r="I766">
        <v>47</v>
      </c>
      <c r="J766" t="s">
        <v>13</v>
      </c>
    </row>
    <row r="767" spans="1:10">
      <c r="A767">
        <v>766</v>
      </c>
      <c r="B767" s="1">
        <v>44970</v>
      </c>
      <c r="C767" t="s">
        <v>14</v>
      </c>
      <c r="D767">
        <v>399</v>
      </c>
      <c r="E767">
        <v>13.4</v>
      </c>
      <c r="F767">
        <v>0</v>
      </c>
      <c r="G767">
        <v>4</v>
      </c>
      <c r="H767">
        <v>35</v>
      </c>
      <c r="I767">
        <v>6</v>
      </c>
      <c r="J767" t="s">
        <v>13</v>
      </c>
    </row>
    <row r="768" spans="1:10">
      <c r="A768">
        <v>767</v>
      </c>
      <c r="B768" s="1">
        <v>45572</v>
      </c>
      <c r="C768" t="s">
        <v>12</v>
      </c>
      <c r="D768">
        <v>199</v>
      </c>
      <c r="E768">
        <v>13.7</v>
      </c>
      <c r="F768">
        <v>0</v>
      </c>
      <c r="G768">
        <v>4</v>
      </c>
      <c r="H768">
        <v>34</v>
      </c>
      <c r="I768">
        <v>24</v>
      </c>
      <c r="J768" t="s">
        <v>11</v>
      </c>
    </row>
    <row r="769" spans="1:10">
      <c r="A769">
        <v>768</v>
      </c>
      <c r="B769" s="1">
        <v>45399</v>
      </c>
      <c r="C769" t="s">
        <v>12</v>
      </c>
      <c r="D769">
        <v>199</v>
      </c>
      <c r="E769">
        <v>7.6</v>
      </c>
      <c r="F769">
        <v>6</v>
      </c>
      <c r="G769">
        <v>2</v>
      </c>
      <c r="H769">
        <v>13</v>
      </c>
      <c r="I769">
        <v>49</v>
      </c>
      <c r="J769" t="s">
        <v>13</v>
      </c>
    </row>
    <row r="770" spans="1:10">
      <c r="A770">
        <v>769</v>
      </c>
      <c r="B770" s="1">
        <v>45401</v>
      </c>
      <c r="C770" t="s">
        <v>12</v>
      </c>
      <c r="D770">
        <v>199</v>
      </c>
      <c r="E770">
        <v>7.7</v>
      </c>
      <c r="F770">
        <v>0</v>
      </c>
      <c r="G770">
        <v>5</v>
      </c>
      <c r="H770">
        <v>28</v>
      </c>
      <c r="I770">
        <v>33</v>
      </c>
      <c r="J770" t="s">
        <v>13</v>
      </c>
    </row>
    <row r="771" spans="1:10">
      <c r="A771">
        <v>770</v>
      </c>
      <c r="B771" s="1">
        <v>45639</v>
      </c>
      <c r="C771" t="s">
        <v>10</v>
      </c>
      <c r="D771">
        <v>699</v>
      </c>
      <c r="E771">
        <v>2.7</v>
      </c>
      <c r="F771">
        <v>8</v>
      </c>
      <c r="G771">
        <v>0</v>
      </c>
      <c r="H771">
        <v>29</v>
      </c>
      <c r="I771">
        <v>11</v>
      </c>
      <c r="J771" t="s">
        <v>13</v>
      </c>
    </row>
    <row r="772" spans="1:10">
      <c r="A772">
        <v>771</v>
      </c>
      <c r="B772" s="1">
        <v>45531</v>
      </c>
      <c r="C772" t="s">
        <v>10</v>
      </c>
      <c r="D772">
        <v>699</v>
      </c>
      <c r="E772">
        <v>10.1</v>
      </c>
      <c r="F772">
        <v>5</v>
      </c>
      <c r="G772">
        <v>3</v>
      </c>
      <c r="H772">
        <v>9</v>
      </c>
      <c r="I772">
        <v>1</v>
      </c>
      <c r="J772" t="s">
        <v>11</v>
      </c>
    </row>
    <row r="773" spans="1:10">
      <c r="A773">
        <v>772</v>
      </c>
      <c r="B773" s="1">
        <v>45655</v>
      </c>
      <c r="C773" t="s">
        <v>10</v>
      </c>
      <c r="D773">
        <v>699</v>
      </c>
      <c r="E773">
        <v>22.1</v>
      </c>
      <c r="F773">
        <v>1</v>
      </c>
      <c r="G773">
        <v>2</v>
      </c>
      <c r="H773">
        <v>13</v>
      </c>
      <c r="I773">
        <v>20</v>
      </c>
      <c r="J773" t="s">
        <v>13</v>
      </c>
    </row>
    <row r="774" spans="1:10">
      <c r="A774">
        <v>773</v>
      </c>
      <c r="B774" s="1">
        <v>45651</v>
      </c>
      <c r="C774" t="s">
        <v>12</v>
      </c>
      <c r="D774">
        <v>199</v>
      </c>
      <c r="E774">
        <v>2.7</v>
      </c>
      <c r="F774">
        <v>7</v>
      </c>
      <c r="G774">
        <v>5</v>
      </c>
      <c r="H774">
        <v>8</v>
      </c>
      <c r="I774">
        <v>23</v>
      </c>
      <c r="J774" t="s">
        <v>11</v>
      </c>
    </row>
    <row r="775" spans="1:10">
      <c r="A775">
        <v>774</v>
      </c>
      <c r="B775" s="1">
        <v>45101</v>
      </c>
      <c r="C775" t="s">
        <v>14</v>
      </c>
      <c r="D775">
        <v>399</v>
      </c>
      <c r="E775">
        <v>15.5</v>
      </c>
      <c r="F775">
        <v>2</v>
      </c>
      <c r="G775">
        <v>3</v>
      </c>
      <c r="H775">
        <v>33</v>
      </c>
      <c r="I775">
        <v>35</v>
      </c>
      <c r="J775" t="s">
        <v>11</v>
      </c>
    </row>
    <row r="776" spans="1:10">
      <c r="A776">
        <v>775</v>
      </c>
      <c r="B776" s="1">
        <v>45356</v>
      </c>
      <c r="C776" t="s">
        <v>14</v>
      </c>
      <c r="D776">
        <v>399</v>
      </c>
      <c r="E776">
        <v>4.5</v>
      </c>
      <c r="F776">
        <v>2</v>
      </c>
      <c r="G776">
        <v>1</v>
      </c>
      <c r="H776">
        <v>10</v>
      </c>
      <c r="I776">
        <v>49</v>
      </c>
      <c r="J776" t="s">
        <v>13</v>
      </c>
    </row>
    <row r="777" spans="1:10">
      <c r="A777">
        <v>776</v>
      </c>
      <c r="B777" s="1">
        <v>45061</v>
      </c>
      <c r="C777" t="s">
        <v>14</v>
      </c>
      <c r="D777">
        <v>399</v>
      </c>
      <c r="E777">
        <v>18.399999999999999</v>
      </c>
      <c r="F777">
        <v>7</v>
      </c>
      <c r="G777">
        <v>2</v>
      </c>
      <c r="H777">
        <v>20</v>
      </c>
      <c r="I777">
        <v>40</v>
      </c>
      <c r="J777" t="s">
        <v>11</v>
      </c>
    </row>
    <row r="778" spans="1:10">
      <c r="A778">
        <v>777</v>
      </c>
      <c r="B778" s="1">
        <v>45437</v>
      </c>
      <c r="C778" t="s">
        <v>12</v>
      </c>
      <c r="D778">
        <v>199</v>
      </c>
      <c r="E778">
        <v>15.8</v>
      </c>
      <c r="F778">
        <v>4</v>
      </c>
      <c r="G778">
        <v>0</v>
      </c>
      <c r="H778">
        <v>1</v>
      </c>
      <c r="I778">
        <v>29</v>
      </c>
      <c r="J778" t="s">
        <v>11</v>
      </c>
    </row>
    <row r="779" spans="1:10">
      <c r="A779">
        <v>778</v>
      </c>
      <c r="B779" s="1">
        <v>45414</v>
      </c>
      <c r="C779" t="s">
        <v>10</v>
      </c>
      <c r="D779">
        <v>699</v>
      </c>
      <c r="E779">
        <v>15.4</v>
      </c>
      <c r="F779">
        <v>7</v>
      </c>
      <c r="G779">
        <v>1</v>
      </c>
      <c r="H779">
        <v>1</v>
      </c>
      <c r="I779">
        <v>13</v>
      </c>
      <c r="J779" t="s">
        <v>13</v>
      </c>
    </row>
    <row r="780" spans="1:10">
      <c r="A780">
        <v>779</v>
      </c>
      <c r="B780" s="1">
        <v>45561</v>
      </c>
      <c r="C780" t="s">
        <v>14</v>
      </c>
      <c r="D780">
        <v>399</v>
      </c>
      <c r="E780">
        <v>11.3</v>
      </c>
      <c r="F780">
        <v>0</v>
      </c>
      <c r="G780">
        <v>1</v>
      </c>
      <c r="H780">
        <v>27</v>
      </c>
      <c r="I780">
        <v>56</v>
      </c>
      <c r="J780" t="s">
        <v>13</v>
      </c>
    </row>
    <row r="781" spans="1:10">
      <c r="A781">
        <v>780</v>
      </c>
      <c r="B781" s="1">
        <v>45595</v>
      </c>
      <c r="C781" t="s">
        <v>10</v>
      </c>
      <c r="D781">
        <v>699</v>
      </c>
      <c r="E781">
        <v>20.6</v>
      </c>
      <c r="F781">
        <v>3</v>
      </c>
      <c r="G781">
        <v>0</v>
      </c>
      <c r="H781">
        <v>36</v>
      </c>
      <c r="I781">
        <v>11</v>
      </c>
      <c r="J781" t="s">
        <v>13</v>
      </c>
    </row>
    <row r="782" spans="1:10">
      <c r="A782">
        <v>781</v>
      </c>
      <c r="B782" s="1">
        <v>45232</v>
      </c>
      <c r="C782" t="s">
        <v>14</v>
      </c>
      <c r="D782">
        <v>399</v>
      </c>
      <c r="E782">
        <v>4.0999999999999996</v>
      </c>
      <c r="F782">
        <v>0</v>
      </c>
      <c r="G782">
        <v>5</v>
      </c>
      <c r="H782">
        <v>3</v>
      </c>
      <c r="I782">
        <v>36</v>
      </c>
      <c r="J782" t="s">
        <v>11</v>
      </c>
    </row>
    <row r="783" spans="1:10">
      <c r="A783">
        <v>782</v>
      </c>
      <c r="B783" s="1">
        <v>45552</v>
      </c>
      <c r="C783" t="s">
        <v>14</v>
      </c>
      <c r="D783">
        <v>399</v>
      </c>
      <c r="E783">
        <v>1.7</v>
      </c>
      <c r="F783">
        <v>6</v>
      </c>
      <c r="G783">
        <v>1</v>
      </c>
      <c r="H783">
        <v>6</v>
      </c>
      <c r="I783">
        <v>10</v>
      </c>
      <c r="J783" t="s">
        <v>13</v>
      </c>
    </row>
    <row r="784" spans="1:10">
      <c r="A784">
        <v>783</v>
      </c>
      <c r="B784" s="1">
        <v>44963</v>
      </c>
      <c r="C784" t="s">
        <v>10</v>
      </c>
      <c r="D784">
        <v>699</v>
      </c>
      <c r="E784">
        <v>4.8</v>
      </c>
      <c r="F784">
        <v>7</v>
      </c>
      <c r="G784">
        <v>5</v>
      </c>
      <c r="H784">
        <v>36</v>
      </c>
      <c r="I784">
        <v>37</v>
      </c>
      <c r="J784" t="s">
        <v>11</v>
      </c>
    </row>
    <row r="785" spans="1:10">
      <c r="A785">
        <v>784</v>
      </c>
      <c r="B785" s="1">
        <v>45490</v>
      </c>
      <c r="C785" t="s">
        <v>12</v>
      </c>
      <c r="D785">
        <v>199</v>
      </c>
      <c r="E785">
        <v>8.4</v>
      </c>
      <c r="F785">
        <v>6</v>
      </c>
      <c r="G785">
        <v>0</v>
      </c>
      <c r="H785">
        <v>20</v>
      </c>
      <c r="I785">
        <v>48</v>
      </c>
      <c r="J785" t="s">
        <v>11</v>
      </c>
    </row>
    <row r="786" spans="1:10">
      <c r="A786">
        <v>785</v>
      </c>
      <c r="B786" s="1">
        <v>45466</v>
      </c>
      <c r="C786" t="s">
        <v>12</v>
      </c>
      <c r="D786">
        <v>199</v>
      </c>
      <c r="E786">
        <v>12</v>
      </c>
      <c r="F786">
        <v>1</v>
      </c>
      <c r="G786">
        <v>5</v>
      </c>
      <c r="H786">
        <v>19</v>
      </c>
      <c r="I786">
        <v>55</v>
      </c>
      <c r="J786" t="s">
        <v>11</v>
      </c>
    </row>
    <row r="787" spans="1:10">
      <c r="A787">
        <v>786</v>
      </c>
      <c r="B787" s="1">
        <v>45571</v>
      </c>
      <c r="C787" t="s">
        <v>14</v>
      </c>
      <c r="D787">
        <v>399</v>
      </c>
      <c r="E787">
        <v>5.6</v>
      </c>
      <c r="F787">
        <v>3</v>
      </c>
      <c r="G787">
        <v>4</v>
      </c>
      <c r="H787">
        <v>34</v>
      </c>
      <c r="I787">
        <v>3</v>
      </c>
      <c r="J787" t="s">
        <v>11</v>
      </c>
    </row>
    <row r="788" spans="1:10">
      <c r="A788">
        <v>787</v>
      </c>
      <c r="B788" s="1">
        <v>45192</v>
      </c>
      <c r="C788" t="s">
        <v>10</v>
      </c>
      <c r="D788">
        <v>699</v>
      </c>
      <c r="E788">
        <v>12.3</v>
      </c>
      <c r="F788">
        <v>4</v>
      </c>
      <c r="G788">
        <v>3</v>
      </c>
      <c r="H788">
        <v>6</v>
      </c>
      <c r="I788">
        <v>38</v>
      </c>
      <c r="J788" t="s">
        <v>13</v>
      </c>
    </row>
    <row r="789" spans="1:10">
      <c r="A789">
        <v>788</v>
      </c>
      <c r="B789" s="1">
        <v>45431</v>
      </c>
      <c r="C789" t="s">
        <v>10</v>
      </c>
      <c r="D789">
        <v>699</v>
      </c>
      <c r="E789">
        <v>23.2</v>
      </c>
      <c r="F789">
        <v>7</v>
      </c>
      <c r="G789">
        <v>4</v>
      </c>
      <c r="H789">
        <v>23</v>
      </c>
      <c r="I789">
        <v>46</v>
      </c>
      <c r="J789" t="s">
        <v>11</v>
      </c>
    </row>
    <row r="790" spans="1:10">
      <c r="A790">
        <v>789</v>
      </c>
      <c r="B790" s="1">
        <v>45567</v>
      </c>
      <c r="C790" t="s">
        <v>12</v>
      </c>
      <c r="D790">
        <v>199</v>
      </c>
      <c r="E790">
        <v>17.899999999999999</v>
      </c>
      <c r="F790">
        <v>3</v>
      </c>
      <c r="G790">
        <v>0</v>
      </c>
      <c r="H790">
        <v>15</v>
      </c>
      <c r="I790">
        <v>7</v>
      </c>
      <c r="J790" t="s">
        <v>11</v>
      </c>
    </row>
    <row r="791" spans="1:10">
      <c r="A791">
        <v>790</v>
      </c>
      <c r="B791" s="1">
        <v>45500</v>
      </c>
      <c r="C791" t="s">
        <v>12</v>
      </c>
      <c r="D791">
        <v>199</v>
      </c>
      <c r="E791">
        <v>20.100000000000001</v>
      </c>
      <c r="F791">
        <v>6</v>
      </c>
      <c r="G791">
        <v>3</v>
      </c>
      <c r="H791">
        <v>14</v>
      </c>
      <c r="I791">
        <v>2</v>
      </c>
      <c r="J791" t="s">
        <v>11</v>
      </c>
    </row>
    <row r="792" spans="1:10">
      <c r="A792">
        <v>791</v>
      </c>
      <c r="B792" s="1">
        <v>44996</v>
      </c>
      <c r="C792" t="s">
        <v>10</v>
      </c>
      <c r="D792">
        <v>699</v>
      </c>
      <c r="E792">
        <v>0.8</v>
      </c>
      <c r="F792">
        <v>3</v>
      </c>
      <c r="G792">
        <v>5</v>
      </c>
      <c r="H792">
        <v>14</v>
      </c>
      <c r="I792">
        <v>18</v>
      </c>
      <c r="J792" t="s">
        <v>11</v>
      </c>
    </row>
    <row r="793" spans="1:10">
      <c r="A793">
        <v>792</v>
      </c>
      <c r="B793" s="1">
        <v>45276</v>
      </c>
      <c r="C793" t="s">
        <v>14</v>
      </c>
      <c r="D793">
        <v>399</v>
      </c>
      <c r="E793">
        <v>12.9</v>
      </c>
      <c r="F793">
        <v>5</v>
      </c>
      <c r="G793">
        <v>0</v>
      </c>
      <c r="H793">
        <v>20</v>
      </c>
      <c r="I793">
        <v>7</v>
      </c>
      <c r="J793" t="s">
        <v>13</v>
      </c>
    </row>
    <row r="794" spans="1:10">
      <c r="A794">
        <v>793</v>
      </c>
      <c r="B794" s="1">
        <v>45615</v>
      </c>
      <c r="C794" t="s">
        <v>14</v>
      </c>
      <c r="D794">
        <v>399</v>
      </c>
      <c r="E794">
        <v>20.9</v>
      </c>
      <c r="F794">
        <v>3</v>
      </c>
      <c r="G794">
        <v>2</v>
      </c>
      <c r="H794">
        <v>2</v>
      </c>
      <c r="I794">
        <v>53</v>
      </c>
      <c r="J794" t="s">
        <v>11</v>
      </c>
    </row>
    <row r="795" spans="1:10">
      <c r="A795">
        <v>794</v>
      </c>
      <c r="B795" s="1">
        <v>45476</v>
      </c>
      <c r="C795" t="s">
        <v>14</v>
      </c>
      <c r="D795">
        <v>399</v>
      </c>
      <c r="E795">
        <v>20</v>
      </c>
      <c r="F795">
        <v>2</v>
      </c>
      <c r="G795">
        <v>3</v>
      </c>
      <c r="H795">
        <v>31</v>
      </c>
      <c r="I795">
        <v>9</v>
      </c>
      <c r="J795" t="s">
        <v>13</v>
      </c>
    </row>
    <row r="796" spans="1:10">
      <c r="A796">
        <v>795</v>
      </c>
      <c r="B796" s="1">
        <v>45233</v>
      </c>
      <c r="C796" t="s">
        <v>14</v>
      </c>
      <c r="D796">
        <v>399</v>
      </c>
      <c r="E796">
        <v>19.7</v>
      </c>
      <c r="F796">
        <v>6</v>
      </c>
      <c r="G796">
        <v>5</v>
      </c>
      <c r="H796">
        <v>30</v>
      </c>
      <c r="I796">
        <v>3</v>
      </c>
      <c r="J796" t="s">
        <v>13</v>
      </c>
    </row>
    <row r="797" spans="1:10">
      <c r="A797">
        <v>796</v>
      </c>
      <c r="B797" s="1">
        <v>45289</v>
      </c>
      <c r="C797" t="s">
        <v>10</v>
      </c>
      <c r="D797">
        <v>699</v>
      </c>
      <c r="E797">
        <v>14.1</v>
      </c>
      <c r="F797">
        <v>0</v>
      </c>
      <c r="G797">
        <v>1</v>
      </c>
      <c r="H797">
        <v>21</v>
      </c>
      <c r="I797">
        <v>36</v>
      </c>
      <c r="J797" t="s">
        <v>13</v>
      </c>
    </row>
    <row r="798" spans="1:10">
      <c r="A798">
        <v>797</v>
      </c>
      <c r="B798" s="1">
        <v>45096</v>
      </c>
      <c r="C798" t="s">
        <v>12</v>
      </c>
      <c r="D798">
        <v>199</v>
      </c>
      <c r="E798">
        <v>7.4</v>
      </c>
      <c r="F798">
        <v>0</v>
      </c>
      <c r="G798">
        <v>2</v>
      </c>
      <c r="H798">
        <v>10</v>
      </c>
      <c r="I798">
        <v>24</v>
      </c>
      <c r="J798" t="s">
        <v>13</v>
      </c>
    </row>
    <row r="799" spans="1:10">
      <c r="A799">
        <v>798</v>
      </c>
      <c r="B799" s="1">
        <v>45653</v>
      </c>
      <c r="C799" t="s">
        <v>10</v>
      </c>
      <c r="D799">
        <v>699</v>
      </c>
      <c r="E799">
        <v>5.0999999999999996</v>
      </c>
      <c r="F799">
        <v>1</v>
      </c>
      <c r="G799">
        <v>2</v>
      </c>
      <c r="H799">
        <v>25</v>
      </c>
      <c r="I799">
        <v>45</v>
      </c>
      <c r="J799" t="s">
        <v>13</v>
      </c>
    </row>
    <row r="800" spans="1:10">
      <c r="A800">
        <v>799</v>
      </c>
      <c r="B800" s="1">
        <v>45236</v>
      </c>
      <c r="C800" t="s">
        <v>12</v>
      </c>
      <c r="D800">
        <v>199</v>
      </c>
      <c r="E800">
        <v>10.6</v>
      </c>
      <c r="F800">
        <v>7</v>
      </c>
      <c r="G800">
        <v>1</v>
      </c>
      <c r="H800">
        <v>18</v>
      </c>
      <c r="I800">
        <v>23</v>
      </c>
      <c r="J800" t="s">
        <v>11</v>
      </c>
    </row>
    <row r="801" spans="1:10">
      <c r="A801">
        <v>800</v>
      </c>
      <c r="B801" s="1">
        <v>45133</v>
      </c>
      <c r="C801" t="s">
        <v>12</v>
      </c>
      <c r="D801">
        <v>199</v>
      </c>
      <c r="E801">
        <v>7.9</v>
      </c>
      <c r="F801">
        <v>1</v>
      </c>
      <c r="G801">
        <v>2</v>
      </c>
      <c r="H801">
        <v>34</v>
      </c>
      <c r="I801">
        <v>50</v>
      </c>
      <c r="J801" t="s">
        <v>11</v>
      </c>
    </row>
    <row r="802" spans="1:10">
      <c r="A802">
        <v>801</v>
      </c>
      <c r="B802" s="1">
        <v>45422</v>
      </c>
      <c r="C802" t="s">
        <v>12</v>
      </c>
      <c r="D802">
        <v>199</v>
      </c>
      <c r="E802">
        <v>12.9</v>
      </c>
      <c r="F802">
        <v>7</v>
      </c>
      <c r="G802">
        <v>4</v>
      </c>
      <c r="H802">
        <v>29</v>
      </c>
      <c r="I802">
        <v>9</v>
      </c>
      <c r="J802" t="s">
        <v>11</v>
      </c>
    </row>
    <row r="803" spans="1:10">
      <c r="A803">
        <v>802</v>
      </c>
      <c r="B803" s="1">
        <v>45455</v>
      </c>
      <c r="C803" t="s">
        <v>10</v>
      </c>
      <c r="D803">
        <v>699</v>
      </c>
      <c r="E803">
        <v>8.1</v>
      </c>
      <c r="F803">
        <v>5</v>
      </c>
      <c r="G803">
        <v>1</v>
      </c>
      <c r="H803">
        <v>34</v>
      </c>
      <c r="I803">
        <v>49</v>
      </c>
      <c r="J803" t="s">
        <v>13</v>
      </c>
    </row>
    <row r="804" spans="1:10">
      <c r="A804">
        <v>803</v>
      </c>
      <c r="B804" s="1">
        <v>45461</v>
      </c>
      <c r="C804" t="s">
        <v>10</v>
      </c>
      <c r="D804">
        <v>699</v>
      </c>
      <c r="E804">
        <v>5.5</v>
      </c>
      <c r="F804">
        <v>0</v>
      </c>
      <c r="G804">
        <v>3</v>
      </c>
      <c r="H804">
        <v>9</v>
      </c>
      <c r="I804">
        <v>24</v>
      </c>
      <c r="J804" t="s">
        <v>13</v>
      </c>
    </row>
    <row r="805" spans="1:10">
      <c r="A805">
        <v>804</v>
      </c>
      <c r="B805" s="1">
        <v>45016</v>
      </c>
      <c r="C805" t="s">
        <v>12</v>
      </c>
      <c r="D805">
        <v>199</v>
      </c>
      <c r="E805">
        <v>8.1</v>
      </c>
      <c r="F805">
        <v>0</v>
      </c>
      <c r="G805">
        <v>5</v>
      </c>
      <c r="H805">
        <v>1</v>
      </c>
      <c r="I805">
        <v>54</v>
      </c>
      <c r="J805" t="s">
        <v>11</v>
      </c>
    </row>
    <row r="806" spans="1:10">
      <c r="A806">
        <v>805</v>
      </c>
      <c r="B806" s="1">
        <v>45246</v>
      </c>
      <c r="C806" t="s">
        <v>14</v>
      </c>
      <c r="D806">
        <v>399</v>
      </c>
      <c r="E806">
        <v>22.3</v>
      </c>
      <c r="F806">
        <v>1</v>
      </c>
      <c r="G806">
        <v>4</v>
      </c>
      <c r="H806">
        <v>30</v>
      </c>
      <c r="I806">
        <v>49</v>
      </c>
      <c r="J806" t="s">
        <v>13</v>
      </c>
    </row>
    <row r="807" spans="1:10">
      <c r="A807">
        <v>806</v>
      </c>
      <c r="B807" s="1">
        <v>45210</v>
      </c>
      <c r="C807" t="s">
        <v>12</v>
      </c>
      <c r="D807">
        <v>199</v>
      </c>
      <c r="E807">
        <v>16.2</v>
      </c>
      <c r="F807">
        <v>3</v>
      </c>
      <c r="G807">
        <v>2</v>
      </c>
      <c r="H807">
        <v>20</v>
      </c>
      <c r="I807">
        <v>12</v>
      </c>
      <c r="J807" t="s">
        <v>11</v>
      </c>
    </row>
    <row r="808" spans="1:10">
      <c r="A808">
        <v>807</v>
      </c>
      <c r="B808" s="1">
        <v>45044</v>
      </c>
      <c r="C808" t="s">
        <v>10</v>
      </c>
      <c r="D808">
        <v>699</v>
      </c>
      <c r="E808">
        <v>19.399999999999999</v>
      </c>
      <c r="F808">
        <v>1</v>
      </c>
      <c r="G808">
        <v>2</v>
      </c>
      <c r="H808">
        <v>21</v>
      </c>
      <c r="I808">
        <v>9</v>
      </c>
      <c r="J808" t="s">
        <v>11</v>
      </c>
    </row>
    <row r="809" spans="1:10">
      <c r="A809">
        <v>808</v>
      </c>
      <c r="B809" s="1">
        <v>45204</v>
      </c>
      <c r="C809" t="s">
        <v>12</v>
      </c>
      <c r="D809">
        <v>199</v>
      </c>
      <c r="E809">
        <v>13.1</v>
      </c>
      <c r="F809">
        <v>3</v>
      </c>
      <c r="G809">
        <v>4</v>
      </c>
      <c r="H809">
        <v>36</v>
      </c>
      <c r="I809">
        <v>22</v>
      </c>
      <c r="J809" t="s">
        <v>11</v>
      </c>
    </row>
    <row r="810" spans="1:10">
      <c r="A810">
        <v>809</v>
      </c>
      <c r="B810" s="1">
        <v>45273</v>
      </c>
      <c r="C810" t="s">
        <v>12</v>
      </c>
      <c r="D810">
        <v>199</v>
      </c>
      <c r="E810">
        <v>14.6</v>
      </c>
      <c r="F810">
        <v>2</v>
      </c>
      <c r="G810">
        <v>0</v>
      </c>
      <c r="H810">
        <v>19</v>
      </c>
      <c r="I810">
        <v>19</v>
      </c>
      <c r="J810" t="s">
        <v>13</v>
      </c>
    </row>
    <row r="811" spans="1:10">
      <c r="A811">
        <v>810</v>
      </c>
      <c r="B811" s="1">
        <v>45035</v>
      </c>
      <c r="C811" t="s">
        <v>10</v>
      </c>
      <c r="D811">
        <v>699</v>
      </c>
      <c r="E811">
        <v>1.7</v>
      </c>
      <c r="F811">
        <v>0</v>
      </c>
      <c r="G811">
        <v>3</v>
      </c>
      <c r="H811">
        <v>29</v>
      </c>
      <c r="I811">
        <v>57</v>
      </c>
      <c r="J811" t="s">
        <v>11</v>
      </c>
    </row>
    <row r="812" spans="1:10">
      <c r="A812">
        <v>811</v>
      </c>
      <c r="B812" s="1">
        <v>45533</v>
      </c>
      <c r="C812" t="s">
        <v>14</v>
      </c>
      <c r="D812">
        <v>399</v>
      </c>
      <c r="E812">
        <v>2.6</v>
      </c>
      <c r="F812">
        <v>6</v>
      </c>
      <c r="G812">
        <v>1</v>
      </c>
      <c r="H812">
        <v>4</v>
      </c>
      <c r="I812">
        <v>45</v>
      </c>
      <c r="J812" t="s">
        <v>11</v>
      </c>
    </row>
    <row r="813" spans="1:10">
      <c r="A813">
        <v>812</v>
      </c>
      <c r="B813" s="1">
        <v>45613</v>
      </c>
      <c r="C813" t="s">
        <v>10</v>
      </c>
      <c r="D813">
        <v>699</v>
      </c>
      <c r="E813">
        <v>15.6</v>
      </c>
      <c r="F813">
        <v>4</v>
      </c>
      <c r="G813">
        <v>2</v>
      </c>
      <c r="H813">
        <v>29</v>
      </c>
      <c r="I813">
        <v>52</v>
      </c>
      <c r="J813" t="s">
        <v>11</v>
      </c>
    </row>
    <row r="814" spans="1:10">
      <c r="A814">
        <v>813</v>
      </c>
      <c r="B814" s="1">
        <v>45642</v>
      </c>
      <c r="C814" t="s">
        <v>10</v>
      </c>
      <c r="D814">
        <v>699</v>
      </c>
      <c r="E814">
        <v>24.4</v>
      </c>
      <c r="F814">
        <v>7</v>
      </c>
      <c r="G814">
        <v>4</v>
      </c>
      <c r="H814">
        <v>6</v>
      </c>
      <c r="I814">
        <v>8</v>
      </c>
      <c r="J814" t="s">
        <v>11</v>
      </c>
    </row>
    <row r="815" spans="1:10">
      <c r="A815">
        <v>814</v>
      </c>
      <c r="B815" s="1">
        <v>45074</v>
      </c>
      <c r="C815" t="s">
        <v>14</v>
      </c>
      <c r="D815">
        <v>399</v>
      </c>
      <c r="E815">
        <v>11.7</v>
      </c>
      <c r="F815">
        <v>7</v>
      </c>
      <c r="G815">
        <v>3</v>
      </c>
      <c r="H815">
        <v>7</v>
      </c>
      <c r="I815">
        <v>14</v>
      </c>
      <c r="J815" t="s">
        <v>13</v>
      </c>
    </row>
    <row r="816" spans="1:10">
      <c r="A816">
        <v>815</v>
      </c>
      <c r="B816" s="1">
        <v>45265</v>
      </c>
      <c r="C816" t="s">
        <v>10</v>
      </c>
      <c r="D816">
        <v>699</v>
      </c>
      <c r="E816">
        <v>22.9</v>
      </c>
      <c r="F816">
        <v>6</v>
      </c>
      <c r="G816">
        <v>1</v>
      </c>
      <c r="H816">
        <v>17</v>
      </c>
      <c r="I816">
        <v>44</v>
      </c>
      <c r="J816" t="s">
        <v>13</v>
      </c>
    </row>
    <row r="817" spans="1:10">
      <c r="A817">
        <v>816</v>
      </c>
      <c r="B817" s="1">
        <v>45399</v>
      </c>
      <c r="C817" t="s">
        <v>14</v>
      </c>
      <c r="D817">
        <v>399</v>
      </c>
      <c r="E817">
        <v>12.4</v>
      </c>
      <c r="F817">
        <v>1</v>
      </c>
      <c r="G817">
        <v>3</v>
      </c>
      <c r="H817">
        <v>30</v>
      </c>
      <c r="I817">
        <v>7</v>
      </c>
      <c r="J817" t="s">
        <v>13</v>
      </c>
    </row>
    <row r="818" spans="1:10">
      <c r="A818">
        <v>817</v>
      </c>
      <c r="B818" s="1">
        <v>45036</v>
      </c>
      <c r="C818" t="s">
        <v>12</v>
      </c>
      <c r="D818">
        <v>199</v>
      </c>
      <c r="E818">
        <v>19.3</v>
      </c>
      <c r="F818">
        <v>2</v>
      </c>
      <c r="G818">
        <v>4</v>
      </c>
      <c r="H818">
        <v>19</v>
      </c>
      <c r="I818">
        <v>6</v>
      </c>
      <c r="J818" t="s">
        <v>13</v>
      </c>
    </row>
    <row r="819" spans="1:10">
      <c r="A819">
        <v>818</v>
      </c>
      <c r="B819" s="1">
        <v>45350</v>
      </c>
      <c r="C819" t="s">
        <v>14</v>
      </c>
      <c r="D819">
        <v>399</v>
      </c>
      <c r="E819">
        <v>16.399999999999999</v>
      </c>
      <c r="F819">
        <v>4</v>
      </c>
      <c r="G819">
        <v>4</v>
      </c>
      <c r="H819">
        <v>36</v>
      </c>
      <c r="I819">
        <v>29</v>
      </c>
      <c r="J819" t="s">
        <v>11</v>
      </c>
    </row>
    <row r="820" spans="1:10">
      <c r="A820">
        <v>819</v>
      </c>
      <c r="B820" s="1">
        <v>45637</v>
      </c>
      <c r="C820" t="s">
        <v>12</v>
      </c>
      <c r="D820">
        <v>199</v>
      </c>
      <c r="E820">
        <v>13.9</v>
      </c>
      <c r="F820">
        <v>7</v>
      </c>
      <c r="G820">
        <v>3</v>
      </c>
      <c r="H820">
        <v>16</v>
      </c>
      <c r="I820">
        <v>4</v>
      </c>
      <c r="J820" t="s">
        <v>11</v>
      </c>
    </row>
    <row r="821" spans="1:10">
      <c r="A821">
        <v>820</v>
      </c>
      <c r="B821" s="1">
        <v>45637</v>
      </c>
      <c r="C821" t="s">
        <v>10</v>
      </c>
      <c r="D821">
        <v>699</v>
      </c>
      <c r="E821">
        <v>19.7</v>
      </c>
      <c r="F821">
        <v>6</v>
      </c>
      <c r="G821">
        <v>4</v>
      </c>
      <c r="H821">
        <v>28</v>
      </c>
      <c r="I821">
        <v>50</v>
      </c>
      <c r="J821" t="s">
        <v>11</v>
      </c>
    </row>
    <row r="822" spans="1:10">
      <c r="A822">
        <v>821</v>
      </c>
      <c r="B822" s="1">
        <v>45425</v>
      </c>
      <c r="C822" t="s">
        <v>12</v>
      </c>
      <c r="D822">
        <v>199</v>
      </c>
      <c r="E822">
        <v>16.7</v>
      </c>
      <c r="F822">
        <v>1</v>
      </c>
      <c r="G822">
        <v>5</v>
      </c>
      <c r="H822">
        <v>12</v>
      </c>
      <c r="I822">
        <v>59</v>
      </c>
      <c r="J822" t="s">
        <v>13</v>
      </c>
    </row>
    <row r="823" spans="1:10">
      <c r="A823">
        <v>822</v>
      </c>
      <c r="B823" s="1">
        <v>45342</v>
      </c>
      <c r="C823" t="s">
        <v>12</v>
      </c>
      <c r="D823">
        <v>199</v>
      </c>
      <c r="E823">
        <v>8.5</v>
      </c>
      <c r="F823">
        <v>1</v>
      </c>
      <c r="G823">
        <v>3</v>
      </c>
      <c r="H823">
        <v>30</v>
      </c>
      <c r="I823">
        <v>11</v>
      </c>
      <c r="J823" t="s">
        <v>11</v>
      </c>
    </row>
    <row r="824" spans="1:10">
      <c r="A824">
        <v>823</v>
      </c>
      <c r="B824" s="1">
        <v>44989</v>
      </c>
      <c r="C824" t="s">
        <v>12</v>
      </c>
      <c r="D824">
        <v>199</v>
      </c>
      <c r="E824">
        <v>17.3</v>
      </c>
      <c r="F824">
        <v>6</v>
      </c>
      <c r="G824">
        <v>2</v>
      </c>
      <c r="H824">
        <v>7</v>
      </c>
      <c r="I824">
        <v>31</v>
      </c>
      <c r="J824" t="s">
        <v>11</v>
      </c>
    </row>
    <row r="825" spans="1:10">
      <c r="A825">
        <v>824</v>
      </c>
      <c r="B825" s="1">
        <v>45471</v>
      </c>
      <c r="C825" t="s">
        <v>12</v>
      </c>
      <c r="D825">
        <v>199</v>
      </c>
      <c r="E825">
        <v>20.5</v>
      </c>
      <c r="F825">
        <v>0</v>
      </c>
      <c r="G825">
        <v>1</v>
      </c>
      <c r="H825">
        <v>14</v>
      </c>
      <c r="I825">
        <v>42</v>
      </c>
      <c r="J825" t="s">
        <v>11</v>
      </c>
    </row>
    <row r="826" spans="1:10">
      <c r="A826">
        <v>825</v>
      </c>
      <c r="B826" s="1">
        <v>45251</v>
      </c>
      <c r="C826" t="s">
        <v>14</v>
      </c>
      <c r="D826">
        <v>399</v>
      </c>
      <c r="E826">
        <v>15.6</v>
      </c>
      <c r="F826">
        <v>7</v>
      </c>
      <c r="G826">
        <v>1</v>
      </c>
      <c r="H826">
        <v>25</v>
      </c>
      <c r="I826">
        <v>13</v>
      </c>
      <c r="J826" t="s">
        <v>13</v>
      </c>
    </row>
    <row r="827" spans="1:10">
      <c r="A827">
        <v>826</v>
      </c>
      <c r="B827" s="1">
        <v>45018</v>
      </c>
      <c r="C827" t="s">
        <v>14</v>
      </c>
      <c r="D827">
        <v>399</v>
      </c>
      <c r="E827">
        <v>23</v>
      </c>
      <c r="F827">
        <v>6</v>
      </c>
      <c r="G827">
        <v>5</v>
      </c>
      <c r="H827">
        <v>20</v>
      </c>
      <c r="I827">
        <v>58</v>
      </c>
      <c r="J827" t="s">
        <v>11</v>
      </c>
    </row>
    <row r="828" spans="1:10">
      <c r="A828">
        <v>827</v>
      </c>
      <c r="B828" s="1">
        <v>45228</v>
      </c>
      <c r="C828" t="s">
        <v>10</v>
      </c>
      <c r="D828">
        <v>699</v>
      </c>
      <c r="E828">
        <v>15.5</v>
      </c>
      <c r="F828">
        <v>8</v>
      </c>
      <c r="G828">
        <v>3</v>
      </c>
      <c r="H828">
        <v>1</v>
      </c>
      <c r="I828">
        <v>54</v>
      </c>
      <c r="J828" t="s">
        <v>11</v>
      </c>
    </row>
    <row r="829" spans="1:10">
      <c r="A829">
        <v>828</v>
      </c>
      <c r="B829" s="1">
        <v>45294</v>
      </c>
      <c r="C829" t="s">
        <v>12</v>
      </c>
      <c r="D829">
        <v>199</v>
      </c>
      <c r="E829">
        <v>22.6</v>
      </c>
      <c r="F829">
        <v>0</v>
      </c>
      <c r="G829">
        <v>0</v>
      </c>
      <c r="H829">
        <v>24</v>
      </c>
      <c r="I829">
        <v>45</v>
      </c>
      <c r="J829" t="s">
        <v>13</v>
      </c>
    </row>
    <row r="830" spans="1:10">
      <c r="A830">
        <v>829</v>
      </c>
      <c r="B830" s="1">
        <v>45567</v>
      </c>
      <c r="C830" t="s">
        <v>12</v>
      </c>
      <c r="D830">
        <v>199</v>
      </c>
      <c r="E830">
        <v>21.7</v>
      </c>
      <c r="F830">
        <v>3</v>
      </c>
      <c r="G830">
        <v>3</v>
      </c>
      <c r="H830">
        <v>19</v>
      </c>
      <c r="I830">
        <v>44</v>
      </c>
      <c r="J830" t="s">
        <v>11</v>
      </c>
    </row>
    <row r="831" spans="1:10">
      <c r="A831">
        <v>830</v>
      </c>
      <c r="B831" s="1">
        <v>45413</v>
      </c>
      <c r="C831" t="s">
        <v>14</v>
      </c>
      <c r="D831">
        <v>399</v>
      </c>
      <c r="E831">
        <v>10.4</v>
      </c>
      <c r="F831">
        <v>6</v>
      </c>
      <c r="G831">
        <v>4</v>
      </c>
      <c r="H831">
        <v>25</v>
      </c>
      <c r="I831">
        <v>13</v>
      </c>
      <c r="J831" t="s">
        <v>13</v>
      </c>
    </row>
    <row r="832" spans="1:10">
      <c r="A832">
        <v>831</v>
      </c>
      <c r="B832" s="1">
        <v>45613</v>
      </c>
      <c r="C832" t="s">
        <v>12</v>
      </c>
      <c r="D832">
        <v>199</v>
      </c>
      <c r="E832">
        <v>14.1</v>
      </c>
      <c r="F832">
        <v>5</v>
      </c>
      <c r="G832">
        <v>3</v>
      </c>
      <c r="H832">
        <v>13</v>
      </c>
      <c r="I832">
        <v>9</v>
      </c>
      <c r="J832" t="s">
        <v>11</v>
      </c>
    </row>
    <row r="833" spans="1:10">
      <c r="A833">
        <v>832</v>
      </c>
      <c r="B833" s="1">
        <v>45600</v>
      </c>
      <c r="C833" t="s">
        <v>12</v>
      </c>
      <c r="D833">
        <v>199</v>
      </c>
      <c r="E833">
        <v>0.8</v>
      </c>
      <c r="F833">
        <v>0</v>
      </c>
      <c r="G833">
        <v>1</v>
      </c>
      <c r="H833">
        <v>9</v>
      </c>
      <c r="I833">
        <v>46</v>
      </c>
      <c r="J833" t="s">
        <v>13</v>
      </c>
    </row>
    <row r="834" spans="1:10">
      <c r="A834">
        <v>833</v>
      </c>
      <c r="B834" s="1">
        <v>45545</v>
      </c>
      <c r="C834" t="s">
        <v>14</v>
      </c>
      <c r="D834">
        <v>399</v>
      </c>
      <c r="E834">
        <v>2.6</v>
      </c>
      <c r="F834">
        <v>6</v>
      </c>
      <c r="G834">
        <v>3</v>
      </c>
      <c r="H834">
        <v>9</v>
      </c>
      <c r="I834">
        <v>57</v>
      </c>
      <c r="J834" t="s">
        <v>11</v>
      </c>
    </row>
    <row r="835" spans="1:10">
      <c r="A835">
        <v>834</v>
      </c>
      <c r="B835" s="1">
        <v>45290</v>
      </c>
      <c r="C835" t="s">
        <v>14</v>
      </c>
      <c r="D835">
        <v>399</v>
      </c>
      <c r="E835">
        <v>11.6</v>
      </c>
      <c r="F835">
        <v>6</v>
      </c>
      <c r="G835">
        <v>4</v>
      </c>
      <c r="H835">
        <v>12</v>
      </c>
      <c r="I835">
        <v>52</v>
      </c>
      <c r="J835" t="s">
        <v>11</v>
      </c>
    </row>
    <row r="836" spans="1:10">
      <c r="A836">
        <v>835</v>
      </c>
      <c r="B836" s="1">
        <v>45169</v>
      </c>
      <c r="C836" t="s">
        <v>12</v>
      </c>
      <c r="D836">
        <v>199</v>
      </c>
      <c r="E836">
        <v>10.9</v>
      </c>
      <c r="F836">
        <v>0</v>
      </c>
      <c r="G836">
        <v>4</v>
      </c>
      <c r="H836">
        <v>12</v>
      </c>
      <c r="I836">
        <v>31</v>
      </c>
      <c r="J836" t="s">
        <v>13</v>
      </c>
    </row>
    <row r="837" spans="1:10">
      <c r="A837">
        <v>836</v>
      </c>
      <c r="B837" s="1">
        <v>44965</v>
      </c>
      <c r="C837" t="s">
        <v>10</v>
      </c>
      <c r="D837">
        <v>699</v>
      </c>
      <c r="E837">
        <v>7.1</v>
      </c>
      <c r="F837">
        <v>8</v>
      </c>
      <c r="G837">
        <v>4</v>
      </c>
      <c r="H837">
        <v>33</v>
      </c>
      <c r="I837">
        <v>23</v>
      </c>
      <c r="J837" t="s">
        <v>11</v>
      </c>
    </row>
    <row r="838" spans="1:10">
      <c r="A838">
        <v>837</v>
      </c>
      <c r="B838" s="1">
        <v>45008</v>
      </c>
      <c r="C838" t="s">
        <v>10</v>
      </c>
      <c r="D838">
        <v>699</v>
      </c>
      <c r="E838">
        <v>17.8</v>
      </c>
      <c r="F838">
        <v>1</v>
      </c>
      <c r="G838">
        <v>4</v>
      </c>
      <c r="H838">
        <v>31</v>
      </c>
      <c r="I838">
        <v>30</v>
      </c>
      <c r="J838" t="s">
        <v>13</v>
      </c>
    </row>
    <row r="839" spans="1:10">
      <c r="A839">
        <v>838</v>
      </c>
      <c r="B839" s="1">
        <v>45551</v>
      </c>
      <c r="C839" t="s">
        <v>12</v>
      </c>
      <c r="D839">
        <v>199</v>
      </c>
      <c r="E839">
        <v>24.6</v>
      </c>
      <c r="F839">
        <v>4</v>
      </c>
      <c r="G839">
        <v>3</v>
      </c>
      <c r="H839">
        <v>34</v>
      </c>
      <c r="I839">
        <v>33</v>
      </c>
      <c r="J839" t="s">
        <v>11</v>
      </c>
    </row>
    <row r="840" spans="1:10">
      <c r="A840">
        <v>839</v>
      </c>
      <c r="B840" s="1">
        <v>45520</v>
      </c>
      <c r="C840" t="s">
        <v>12</v>
      </c>
      <c r="D840">
        <v>199</v>
      </c>
      <c r="E840">
        <v>12.1</v>
      </c>
      <c r="F840">
        <v>1</v>
      </c>
      <c r="G840">
        <v>5</v>
      </c>
      <c r="H840">
        <v>16</v>
      </c>
      <c r="I840">
        <v>40</v>
      </c>
      <c r="J840" t="s">
        <v>11</v>
      </c>
    </row>
    <row r="841" spans="1:10">
      <c r="A841">
        <v>840</v>
      </c>
      <c r="B841" s="1">
        <v>45407</v>
      </c>
      <c r="C841" t="s">
        <v>14</v>
      </c>
      <c r="D841">
        <v>399</v>
      </c>
      <c r="E841">
        <v>22.6</v>
      </c>
      <c r="F841">
        <v>8</v>
      </c>
      <c r="G841">
        <v>0</v>
      </c>
      <c r="H841">
        <v>4</v>
      </c>
      <c r="I841">
        <v>30</v>
      </c>
      <c r="J841" t="s">
        <v>11</v>
      </c>
    </row>
    <row r="842" spans="1:10">
      <c r="A842">
        <v>841</v>
      </c>
      <c r="B842" s="1">
        <v>45538</v>
      </c>
      <c r="C842" t="s">
        <v>10</v>
      </c>
      <c r="D842">
        <v>699</v>
      </c>
      <c r="E842">
        <v>10.8</v>
      </c>
      <c r="F842">
        <v>4</v>
      </c>
      <c r="G842">
        <v>2</v>
      </c>
      <c r="H842">
        <v>22</v>
      </c>
      <c r="I842">
        <v>10</v>
      </c>
      <c r="J842" t="s">
        <v>11</v>
      </c>
    </row>
    <row r="843" spans="1:10">
      <c r="A843">
        <v>842</v>
      </c>
      <c r="B843" s="1">
        <v>45100</v>
      </c>
      <c r="C843" t="s">
        <v>10</v>
      </c>
      <c r="D843">
        <v>699</v>
      </c>
      <c r="E843">
        <v>18.3</v>
      </c>
      <c r="F843">
        <v>4</v>
      </c>
      <c r="G843">
        <v>0</v>
      </c>
      <c r="H843">
        <v>20</v>
      </c>
      <c r="I843">
        <v>40</v>
      </c>
      <c r="J843" t="s">
        <v>11</v>
      </c>
    </row>
    <row r="844" spans="1:10">
      <c r="A844">
        <v>843</v>
      </c>
      <c r="B844" s="1">
        <v>45423</v>
      </c>
      <c r="C844" t="s">
        <v>10</v>
      </c>
      <c r="D844">
        <v>699</v>
      </c>
      <c r="E844">
        <v>16.600000000000001</v>
      </c>
      <c r="F844">
        <v>4</v>
      </c>
      <c r="G844">
        <v>5</v>
      </c>
      <c r="H844">
        <v>4</v>
      </c>
      <c r="I844">
        <v>39</v>
      </c>
      <c r="J844" t="s">
        <v>11</v>
      </c>
    </row>
    <row r="845" spans="1:10">
      <c r="A845">
        <v>844</v>
      </c>
      <c r="B845" s="1">
        <v>45208</v>
      </c>
      <c r="C845" t="s">
        <v>12</v>
      </c>
      <c r="D845">
        <v>199</v>
      </c>
      <c r="E845">
        <v>12.9</v>
      </c>
      <c r="F845">
        <v>4</v>
      </c>
      <c r="G845">
        <v>2</v>
      </c>
      <c r="H845">
        <v>9</v>
      </c>
      <c r="I845">
        <v>8</v>
      </c>
      <c r="J845" t="s">
        <v>13</v>
      </c>
    </row>
    <row r="846" spans="1:10">
      <c r="A846">
        <v>845</v>
      </c>
      <c r="B846" s="1">
        <v>45384</v>
      </c>
      <c r="C846" t="s">
        <v>14</v>
      </c>
      <c r="D846">
        <v>399</v>
      </c>
      <c r="E846">
        <v>18.7</v>
      </c>
      <c r="F846">
        <v>2</v>
      </c>
      <c r="G846">
        <v>4</v>
      </c>
      <c r="H846">
        <v>1</v>
      </c>
      <c r="I846">
        <v>47</v>
      </c>
      <c r="J846" t="s">
        <v>11</v>
      </c>
    </row>
    <row r="847" spans="1:10">
      <c r="A847">
        <v>846</v>
      </c>
      <c r="B847" s="1">
        <v>44960</v>
      </c>
      <c r="C847" t="s">
        <v>14</v>
      </c>
      <c r="D847">
        <v>399</v>
      </c>
      <c r="E847">
        <v>6.9</v>
      </c>
      <c r="F847">
        <v>3</v>
      </c>
      <c r="G847">
        <v>3</v>
      </c>
      <c r="H847">
        <v>12</v>
      </c>
      <c r="I847">
        <v>11</v>
      </c>
      <c r="J847" t="s">
        <v>13</v>
      </c>
    </row>
    <row r="848" spans="1:10">
      <c r="A848">
        <v>847</v>
      </c>
      <c r="B848" s="1">
        <v>45319</v>
      </c>
      <c r="C848" t="s">
        <v>14</v>
      </c>
      <c r="D848">
        <v>399</v>
      </c>
      <c r="E848">
        <v>24.2</v>
      </c>
      <c r="F848">
        <v>2</v>
      </c>
      <c r="G848">
        <v>3</v>
      </c>
      <c r="H848">
        <v>6</v>
      </c>
      <c r="I848">
        <v>48</v>
      </c>
      <c r="J848" t="s">
        <v>13</v>
      </c>
    </row>
    <row r="849" spans="1:10">
      <c r="A849">
        <v>848</v>
      </c>
      <c r="B849" s="1">
        <v>45280</v>
      </c>
      <c r="C849" t="s">
        <v>12</v>
      </c>
      <c r="D849">
        <v>199</v>
      </c>
      <c r="E849">
        <v>18.3</v>
      </c>
      <c r="F849">
        <v>2</v>
      </c>
      <c r="G849">
        <v>1</v>
      </c>
      <c r="H849">
        <v>29</v>
      </c>
      <c r="I849">
        <v>36</v>
      </c>
      <c r="J849" t="s">
        <v>13</v>
      </c>
    </row>
    <row r="850" spans="1:10">
      <c r="A850">
        <v>849</v>
      </c>
      <c r="B850" s="1">
        <v>45414</v>
      </c>
      <c r="C850" t="s">
        <v>12</v>
      </c>
      <c r="D850">
        <v>199</v>
      </c>
      <c r="E850">
        <v>19</v>
      </c>
      <c r="F850">
        <v>1</v>
      </c>
      <c r="G850">
        <v>0</v>
      </c>
      <c r="H850">
        <v>17</v>
      </c>
      <c r="I850">
        <v>10</v>
      </c>
      <c r="J850" t="s">
        <v>13</v>
      </c>
    </row>
    <row r="851" spans="1:10">
      <c r="A851">
        <v>850</v>
      </c>
      <c r="B851" s="1">
        <v>45326</v>
      </c>
      <c r="C851" t="s">
        <v>14</v>
      </c>
      <c r="D851">
        <v>399</v>
      </c>
      <c r="E851">
        <v>18.8</v>
      </c>
      <c r="F851">
        <v>8</v>
      </c>
      <c r="G851">
        <v>1</v>
      </c>
      <c r="H851">
        <v>31</v>
      </c>
      <c r="I851">
        <v>24</v>
      </c>
      <c r="J851" t="s">
        <v>13</v>
      </c>
    </row>
    <row r="852" spans="1:10">
      <c r="A852">
        <v>851</v>
      </c>
      <c r="B852" s="1">
        <v>45386</v>
      </c>
      <c r="C852" t="s">
        <v>14</v>
      </c>
      <c r="D852">
        <v>399</v>
      </c>
      <c r="E852">
        <v>4.0999999999999996</v>
      </c>
      <c r="F852">
        <v>6</v>
      </c>
      <c r="G852">
        <v>0</v>
      </c>
      <c r="H852">
        <v>17</v>
      </c>
      <c r="I852">
        <v>18</v>
      </c>
      <c r="J852" t="s">
        <v>13</v>
      </c>
    </row>
    <row r="853" spans="1:10">
      <c r="A853">
        <v>852</v>
      </c>
      <c r="B853" s="1">
        <v>45289</v>
      </c>
      <c r="C853" t="s">
        <v>14</v>
      </c>
      <c r="D853">
        <v>399</v>
      </c>
      <c r="E853">
        <v>24.1</v>
      </c>
      <c r="F853">
        <v>0</v>
      </c>
      <c r="G853">
        <v>0</v>
      </c>
      <c r="H853">
        <v>21</v>
      </c>
      <c r="I853">
        <v>58</v>
      </c>
      <c r="J853" t="s">
        <v>13</v>
      </c>
    </row>
    <row r="854" spans="1:10">
      <c r="A854">
        <v>853</v>
      </c>
      <c r="B854" s="1">
        <v>45327</v>
      </c>
      <c r="C854" t="s">
        <v>14</v>
      </c>
      <c r="D854">
        <v>399</v>
      </c>
      <c r="E854">
        <v>8.6999999999999993</v>
      </c>
      <c r="F854">
        <v>4</v>
      </c>
      <c r="G854">
        <v>0</v>
      </c>
      <c r="H854">
        <v>18</v>
      </c>
      <c r="I854">
        <v>16</v>
      </c>
      <c r="J854" t="s">
        <v>13</v>
      </c>
    </row>
    <row r="855" spans="1:10">
      <c r="A855">
        <v>854</v>
      </c>
      <c r="B855" s="1">
        <v>45111</v>
      </c>
      <c r="C855" t="s">
        <v>14</v>
      </c>
      <c r="D855">
        <v>399</v>
      </c>
      <c r="E855">
        <v>18.5</v>
      </c>
      <c r="F855">
        <v>3</v>
      </c>
      <c r="G855">
        <v>4</v>
      </c>
      <c r="H855">
        <v>16</v>
      </c>
      <c r="I855">
        <v>21</v>
      </c>
      <c r="J855" t="s">
        <v>13</v>
      </c>
    </row>
    <row r="856" spans="1:10">
      <c r="A856">
        <v>855</v>
      </c>
      <c r="B856" s="1">
        <v>45464</v>
      </c>
      <c r="C856" t="s">
        <v>14</v>
      </c>
      <c r="D856">
        <v>399</v>
      </c>
      <c r="E856">
        <v>0.8</v>
      </c>
      <c r="F856">
        <v>0</v>
      </c>
      <c r="G856">
        <v>0</v>
      </c>
      <c r="H856">
        <v>36</v>
      </c>
      <c r="I856">
        <v>0</v>
      </c>
      <c r="J856" t="s">
        <v>13</v>
      </c>
    </row>
    <row r="857" spans="1:10">
      <c r="A857">
        <v>856</v>
      </c>
      <c r="B857" s="1">
        <v>45561</v>
      </c>
      <c r="C857" t="s">
        <v>12</v>
      </c>
      <c r="D857">
        <v>199</v>
      </c>
      <c r="E857">
        <v>9.1</v>
      </c>
      <c r="F857">
        <v>4</v>
      </c>
      <c r="G857">
        <v>2</v>
      </c>
      <c r="H857">
        <v>29</v>
      </c>
      <c r="I857">
        <v>12</v>
      </c>
      <c r="J857" t="s">
        <v>11</v>
      </c>
    </row>
    <row r="858" spans="1:10">
      <c r="A858">
        <v>857</v>
      </c>
      <c r="B858" s="1">
        <v>45049</v>
      </c>
      <c r="C858" t="s">
        <v>12</v>
      </c>
      <c r="D858">
        <v>199</v>
      </c>
      <c r="E858">
        <v>23.5</v>
      </c>
      <c r="F858">
        <v>3</v>
      </c>
      <c r="G858">
        <v>4</v>
      </c>
      <c r="H858">
        <v>4</v>
      </c>
      <c r="I858">
        <v>40</v>
      </c>
      <c r="J858" t="s">
        <v>11</v>
      </c>
    </row>
    <row r="859" spans="1:10">
      <c r="A859">
        <v>858</v>
      </c>
      <c r="B859" s="1">
        <v>45228</v>
      </c>
      <c r="C859" t="s">
        <v>12</v>
      </c>
      <c r="D859">
        <v>199</v>
      </c>
      <c r="E859">
        <v>9.6999999999999993</v>
      </c>
      <c r="F859">
        <v>2</v>
      </c>
      <c r="G859">
        <v>0</v>
      </c>
      <c r="H859">
        <v>9</v>
      </c>
      <c r="I859">
        <v>44</v>
      </c>
      <c r="J859" t="s">
        <v>11</v>
      </c>
    </row>
    <row r="860" spans="1:10">
      <c r="A860">
        <v>859</v>
      </c>
      <c r="B860" s="1">
        <v>45258</v>
      </c>
      <c r="C860" t="s">
        <v>14</v>
      </c>
      <c r="D860">
        <v>399</v>
      </c>
      <c r="E860">
        <v>16.2</v>
      </c>
      <c r="F860">
        <v>4</v>
      </c>
      <c r="G860">
        <v>3</v>
      </c>
      <c r="H860">
        <v>5</v>
      </c>
      <c r="I860">
        <v>44</v>
      </c>
      <c r="J860" t="s">
        <v>13</v>
      </c>
    </row>
    <row r="861" spans="1:10">
      <c r="A861">
        <v>860</v>
      </c>
      <c r="B861" s="1">
        <v>44988</v>
      </c>
      <c r="C861" t="s">
        <v>14</v>
      </c>
      <c r="D861">
        <v>399</v>
      </c>
      <c r="E861">
        <v>19.600000000000001</v>
      </c>
      <c r="F861">
        <v>4</v>
      </c>
      <c r="G861">
        <v>0</v>
      </c>
      <c r="H861">
        <v>11</v>
      </c>
      <c r="I861">
        <v>24</v>
      </c>
      <c r="J861" t="s">
        <v>11</v>
      </c>
    </row>
    <row r="862" spans="1:10">
      <c r="A862">
        <v>861</v>
      </c>
      <c r="B862" s="1">
        <v>45329</v>
      </c>
      <c r="C862" t="s">
        <v>14</v>
      </c>
      <c r="D862">
        <v>399</v>
      </c>
      <c r="E862">
        <v>4.9000000000000004</v>
      </c>
      <c r="F862">
        <v>1</v>
      </c>
      <c r="G862">
        <v>3</v>
      </c>
      <c r="H862">
        <v>17</v>
      </c>
      <c r="I862">
        <v>59</v>
      </c>
      <c r="J862" t="s">
        <v>11</v>
      </c>
    </row>
    <row r="863" spans="1:10">
      <c r="A863">
        <v>862</v>
      </c>
      <c r="B863" s="1">
        <v>45035</v>
      </c>
      <c r="C863" t="s">
        <v>12</v>
      </c>
      <c r="D863">
        <v>199</v>
      </c>
      <c r="E863">
        <v>3.2</v>
      </c>
      <c r="F863">
        <v>8</v>
      </c>
      <c r="G863">
        <v>3</v>
      </c>
      <c r="H863">
        <v>32</v>
      </c>
      <c r="I863">
        <v>13</v>
      </c>
      <c r="J863" t="s">
        <v>11</v>
      </c>
    </row>
    <row r="864" spans="1:10">
      <c r="A864">
        <v>863</v>
      </c>
      <c r="B864" s="1">
        <v>45383</v>
      </c>
      <c r="C864" t="s">
        <v>14</v>
      </c>
      <c r="D864">
        <v>399</v>
      </c>
      <c r="E864">
        <v>3</v>
      </c>
      <c r="F864">
        <v>1</v>
      </c>
      <c r="G864">
        <v>0</v>
      </c>
      <c r="H864">
        <v>17</v>
      </c>
      <c r="I864">
        <v>36</v>
      </c>
      <c r="J864" t="s">
        <v>13</v>
      </c>
    </row>
    <row r="865" spans="1:10">
      <c r="A865">
        <v>864</v>
      </c>
      <c r="B865" s="1">
        <v>45082</v>
      </c>
      <c r="C865" t="s">
        <v>12</v>
      </c>
      <c r="D865">
        <v>199</v>
      </c>
      <c r="E865">
        <v>4.0999999999999996</v>
      </c>
      <c r="F865">
        <v>0</v>
      </c>
      <c r="G865">
        <v>0</v>
      </c>
      <c r="H865">
        <v>32</v>
      </c>
      <c r="I865">
        <v>42</v>
      </c>
      <c r="J865" t="s">
        <v>11</v>
      </c>
    </row>
    <row r="866" spans="1:10">
      <c r="A866">
        <v>865</v>
      </c>
      <c r="B866" s="1">
        <v>45429</v>
      </c>
      <c r="C866" t="s">
        <v>10</v>
      </c>
      <c r="D866">
        <v>699</v>
      </c>
      <c r="E866">
        <v>22.7</v>
      </c>
      <c r="F866">
        <v>0</v>
      </c>
      <c r="G866">
        <v>4</v>
      </c>
      <c r="H866">
        <v>22</v>
      </c>
      <c r="I866">
        <v>45</v>
      </c>
      <c r="J866" t="s">
        <v>13</v>
      </c>
    </row>
    <row r="867" spans="1:10">
      <c r="A867">
        <v>866</v>
      </c>
      <c r="B867" s="1">
        <v>45632</v>
      </c>
      <c r="C867" t="s">
        <v>14</v>
      </c>
      <c r="D867">
        <v>399</v>
      </c>
      <c r="E867">
        <v>10.4</v>
      </c>
      <c r="F867">
        <v>1</v>
      </c>
      <c r="G867">
        <v>4</v>
      </c>
      <c r="H867">
        <v>28</v>
      </c>
      <c r="I867">
        <v>14</v>
      </c>
      <c r="J867" t="s">
        <v>11</v>
      </c>
    </row>
    <row r="868" spans="1:10">
      <c r="A868">
        <v>867</v>
      </c>
      <c r="B868" s="1">
        <v>44983</v>
      </c>
      <c r="C868" t="s">
        <v>14</v>
      </c>
      <c r="D868">
        <v>399</v>
      </c>
      <c r="E868">
        <v>14.4</v>
      </c>
      <c r="F868">
        <v>5</v>
      </c>
      <c r="G868">
        <v>2</v>
      </c>
      <c r="H868">
        <v>8</v>
      </c>
      <c r="I868">
        <v>43</v>
      </c>
      <c r="J868" t="s">
        <v>11</v>
      </c>
    </row>
    <row r="869" spans="1:10">
      <c r="A869">
        <v>868</v>
      </c>
      <c r="B869" s="1">
        <v>45223</v>
      </c>
      <c r="C869" t="s">
        <v>10</v>
      </c>
      <c r="D869">
        <v>699</v>
      </c>
      <c r="E869">
        <v>9.5</v>
      </c>
      <c r="F869">
        <v>5</v>
      </c>
      <c r="G869">
        <v>0</v>
      </c>
      <c r="H869">
        <v>6</v>
      </c>
      <c r="I869">
        <v>53</v>
      </c>
      <c r="J869" t="s">
        <v>11</v>
      </c>
    </row>
    <row r="870" spans="1:10">
      <c r="A870">
        <v>869</v>
      </c>
      <c r="B870" s="1">
        <v>45639</v>
      </c>
      <c r="C870" t="s">
        <v>10</v>
      </c>
      <c r="D870">
        <v>699</v>
      </c>
      <c r="E870">
        <v>4.8</v>
      </c>
      <c r="F870">
        <v>0</v>
      </c>
      <c r="G870">
        <v>3</v>
      </c>
      <c r="H870">
        <v>13</v>
      </c>
      <c r="I870">
        <v>42</v>
      </c>
      <c r="J870" t="s">
        <v>11</v>
      </c>
    </row>
    <row r="871" spans="1:10">
      <c r="A871">
        <v>870</v>
      </c>
      <c r="B871" s="1">
        <v>45375</v>
      </c>
      <c r="C871" t="s">
        <v>14</v>
      </c>
      <c r="D871">
        <v>399</v>
      </c>
      <c r="E871">
        <v>16</v>
      </c>
      <c r="F871">
        <v>5</v>
      </c>
      <c r="G871">
        <v>3</v>
      </c>
      <c r="H871">
        <v>7</v>
      </c>
      <c r="I871">
        <v>5</v>
      </c>
      <c r="J871" t="s">
        <v>13</v>
      </c>
    </row>
    <row r="872" spans="1:10">
      <c r="A872">
        <v>871</v>
      </c>
      <c r="B872" s="1">
        <v>45171</v>
      </c>
      <c r="C872" t="s">
        <v>10</v>
      </c>
      <c r="D872">
        <v>699</v>
      </c>
      <c r="E872">
        <v>3.9</v>
      </c>
      <c r="F872">
        <v>3</v>
      </c>
      <c r="G872">
        <v>0</v>
      </c>
      <c r="H872">
        <v>13</v>
      </c>
      <c r="I872">
        <v>46</v>
      </c>
      <c r="J872" t="s">
        <v>13</v>
      </c>
    </row>
    <row r="873" spans="1:10">
      <c r="A873">
        <v>872</v>
      </c>
      <c r="B873" s="1">
        <v>45387</v>
      </c>
      <c r="C873" t="s">
        <v>14</v>
      </c>
      <c r="D873">
        <v>399</v>
      </c>
      <c r="E873">
        <v>2</v>
      </c>
      <c r="F873">
        <v>8</v>
      </c>
      <c r="G873">
        <v>5</v>
      </c>
      <c r="H873">
        <v>25</v>
      </c>
      <c r="I873">
        <v>19</v>
      </c>
      <c r="J873" t="s">
        <v>11</v>
      </c>
    </row>
    <row r="874" spans="1:10">
      <c r="A874">
        <v>873</v>
      </c>
      <c r="B874" s="1">
        <v>45143</v>
      </c>
      <c r="C874" t="s">
        <v>12</v>
      </c>
      <c r="D874">
        <v>199</v>
      </c>
      <c r="E874">
        <v>8.8000000000000007</v>
      </c>
      <c r="F874">
        <v>5</v>
      </c>
      <c r="G874">
        <v>5</v>
      </c>
      <c r="H874">
        <v>3</v>
      </c>
      <c r="I874">
        <v>2</v>
      </c>
      <c r="J874" t="s">
        <v>11</v>
      </c>
    </row>
    <row r="875" spans="1:10">
      <c r="A875">
        <v>874</v>
      </c>
      <c r="B875" s="1">
        <v>45000</v>
      </c>
      <c r="C875" t="s">
        <v>10</v>
      </c>
      <c r="D875">
        <v>699</v>
      </c>
      <c r="E875">
        <v>11.7</v>
      </c>
      <c r="F875">
        <v>8</v>
      </c>
      <c r="G875">
        <v>1</v>
      </c>
      <c r="H875">
        <v>34</v>
      </c>
      <c r="I875">
        <v>47</v>
      </c>
      <c r="J875" t="s">
        <v>13</v>
      </c>
    </row>
    <row r="876" spans="1:10">
      <c r="A876">
        <v>875</v>
      </c>
      <c r="B876" s="1">
        <v>44973</v>
      </c>
      <c r="C876" t="s">
        <v>12</v>
      </c>
      <c r="D876">
        <v>199</v>
      </c>
      <c r="E876">
        <v>12.5</v>
      </c>
      <c r="F876">
        <v>0</v>
      </c>
      <c r="G876">
        <v>3</v>
      </c>
      <c r="H876">
        <v>10</v>
      </c>
      <c r="I876">
        <v>58</v>
      </c>
      <c r="J876" t="s">
        <v>13</v>
      </c>
    </row>
    <row r="877" spans="1:10">
      <c r="A877">
        <v>876</v>
      </c>
      <c r="B877" s="1">
        <v>45394</v>
      </c>
      <c r="C877" t="s">
        <v>12</v>
      </c>
      <c r="D877">
        <v>199</v>
      </c>
      <c r="E877">
        <v>0.9</v>
      </c>
      <c r="F877">
        <v>0</v>
      </c>
      <c r="G877">
        <v>2</v>
      </c>
      <c r="H877">
        <v>9</v>
      </c>
      <c r="I877">
        <v>52</v>
      </c>
      <c r="J877" t="s">
        <v>11</v>
      </c>
    </row>
    <row r="878" spans="1:10">
      <c r="A878">
        <v>877</v>
      </c>
      <c r="B878" s="1">
        <v>45557</v>
      </c>
      <c r="C878" t="s">
        <v>10</v>
      </c>
      <c r="D878">
        <v>699</v>
      </c>
      <c r="E878">
        <v>21</v>
      </c>
      <c r="F878">
        <v>1</v>
      </c>
      <c r="G878">
        <v>0</v>
      </c>
      <c r="H878">
        <v>11</v>
      </c>
      <c r="I878">
        <v>7</v>
      </c>
      <c r="J878" t="s">
        <v>13</v>
      </c>
    </row>
    <row r="879" spans="1:10">
      <c r="A879">
        <v>878</v>
      </c>
      <c r="B879" s="1">
        <v>45621</v>
      </c>
      <c r="C879" t="s">
        <v>12</v>
      </c>
      <c r="D879">
        <v>199</v>
      </c>
      <c r="E879">
        <v>20.2</v>
      </c>
      <c r="F879">
        <v>6</v>
      </c>
      <c r="G879">
        <v>2</v>
      </c>
      <c r="H879">
        <v>5</v>
      </c>
      <c r="I879">
        <v>51</v>
      </c>
      <c r="J879" t="s">
        <v>13</v>
      </c>
    </row>
    <row r="880" spans="1:10">
      <c r="A880">
        <v>879</v>
      </c>
      <c r="B880" s="1">
        <v>45145</v>
      </c>
      <c r="C880" t="s">
        <v>14</v>
      </c>
      <c r="D880">
        <v>399</v>
      </c>
      <c r="E880">
        <v>3.5</v>
      </c>
      <c r="F880">
        <v>8</v>
      </c>
      <c r="G880">
        <v>1</v>
      </c>
      <c r="H880">
        <v>21</v>
      </c>
      <c r="I880">
        <v>20</v>
      </c>
      <c r="J880" t="s">
        <v>13</v>
      </c>
    </row>
    <row r="881" spans="1:10">
      <c r="A881">
        <v>880</v>
      </c>
      <c r="B881" s="1">
        <v>45099</v>
      </c>
      <c r="C881" t="s">
        <v>12</v>
      </c>
      <c r="D881">
        <v>199</v>
      </c>
      <c r="E881">
        <v>8.6999999999999993</v>
      </c>
      <c r="F881">
        <v>1</v>
      </c>
      <c r="G881">
        <v>2</v>
      </c>
      <c r="H881">
        <v>12</v>
      </c>
      <c r="I881">
        <v>9</v>
      </c>
      <c r="J881" t="s">
        <v>13</v>
      </c>
    </row>
    <row r="882" spans="1:10">
      <c r="A882">
        <v>881</v>
      </c>
      <c r="B882" s="1">
        <v>45063</v>
      </c>
      <c r="C882" t="s">
        <v>10</v>
      </c>
      <c r="D882">
        <v>699</v>
      </c>
      <c r="E882">
        <v>14.1</v>
      </c>
      <c r="F882">
        <v>7</v>
      </c>
      <c r="G882">
        <v>1</v>
      </c>
      <c r="H882">
        <v>24</v>
      </c>
      <c r="I882">
        <v>59</v>
      </c>
      <c r="J882" t="s">
        <v>13</v>
      </c>
    </row>
    <row r="883" spans="1:10">
      <c r="A883">
        <v>882</v>
      </c>
      <c r="B883" s="1">
        <v>45110</v>
      </c>
      <c r="C883" t="s">
        <v>12</v>
      </c>
      <c r="D883">
        <v>199</v>
      </c>
      <c r="E883">
        <v>19.600000000000001</v>
      </c>
      <c r="F883">
        <v>0</v>
      </c>
      <c r="G883">
        <v>3</v>
      </c>
      <c r="H883">
        <v>25</v>
      </c>
      <c r="I883">
        <v>5</v>
      </c>
      <c r="J883" t="s">
        <v>11</v>
      </c>
    </row>
    <row r="884" spans="1:10">
      <c r="A884">
        <v>883</v>
      </c>
      <c r="B884" s="1">
        <v>45582</v>
      </c>
      <c r="C884" t="s">
        <v>12</v>
      </c>
      <c r="D884">
        <v>199</v>
      </c>
      <c r="E884">
        <v>10.7</v>
      </c>
      <c r="F884">
        <v>7</v>
      </c>
      <c r="G884">
        <v>5</v>
      </c>
      <c r="H884">
        <v>19</v>
      </c>
      <c r="I884">
        <v>8</v>
      </c>
      <c r="J884" t="s">
        <v>11</v>
      </c>
    </row>
    <row r="885" spans="1:10">
      <c r="A885">
        <v>884</v>
      </c>
      <c r="B885" s="1">
        <v>45537</v>
      </c>
      <c r="C885" t="s">
        <v>14</v>
      </c>
      <c r="D885">
        <v>399</v>
      </c>
      <c r="E885">
        <v>11.5</v>
      </c>
      <c r="F885">
        <v>3</v>
      </c>
      <c r="G885">
        <v>1</v>
      </c>
      <c r="H885">
        <v>34</v>
      </c>
      <c r="I885">
        <v>39</v>
      </c>
      <c r="J885" t="s">
        <v>13</v>
      </c>
    </row>
    <row r="886" spans="1:10">
      <c r="A886">
        <v>885</v>
      </c>
      <c r="B886" s="1">
        <v>45283</v>
      </c>
      <c r="C886" t="s">
        <v>12</v>
      </c>
      <c r="D886">
        <v>199</v>
      </c>
      <c r="E886">
        <v>15.5</v>
      </c>
      <c r="F886">
        <v>1</v>
      </c>
      <c r="G886">
        <v>5</v>
      </c>
      <c r="H886">
        <v>32</v>
      </c>
      <c r="I886">
        <v>52</v>
      </c>
      <c r="J886" t="s">
        <v>13</v>
      </c>
    </row>
    <row r="887" spans="1:10">
      <c r="A887">
        <v>886</v>
      </c>
      <c r="B887" s="1">
        <v>45560</v>
      </c>
      <c r="C887" t="s">
        <v>14</v>
      </c>
      <c r="D887">
        <v>399</v>
      </c>
      <c r="E887">
        <v>14.2</v>
      </c>
      <c r="F887">
        <v>3</v>
      </c>
      <c r="G887">
        <v>0</v>
      </c>
      <c r="H887">
        <v>1</v>
      </c>
      <c r="I887">
        <v>33</v>
      </c>
      <c r="J887" t="s">
        <v>13</v>
      </c>
    </row>
    <row r="888" spans="1:10">
      <c r="A888">
        <v>887</v>
      </c>
      <c r="B888" s="1">
        <v>44981</v>
      </c>
      <c r="C888" t="s">
        <v>14</v>
      </c>
      <c r="D888">
        <v>399</v>
      </c>
      <c r="E888">
        <v>12.9</v>
      </c>
      <c r="F888">
        <v>7</v>
      </c>
      <c r="G888">
        <v>5</v>
      </c>
      <c r="H888">
        <v>35</v>
      </c>
      <c r="I888">
        <v>42</v>
      </c>
      <c r="J888" t="s">
        <v>11</v>
      </c>
    </row>
    <row r="889" spans="1:10">
      <c r="A889">
        <v>888</v>
      </c>
      <c r="B889" s="1">
        <v>44971</v>
      </c>
      <c r="C889" t="s">
        <v>12</v>
      </c>
      <c r="D889">
        <v>199</v>
      </c>
      <c r="E889">
        <v>20</v>
      </c>
      <c r="F889">
        <v>7</v>
      </c>
      <c r="G889">
        <v>3</v>
      </c>
      <c r="H889">
        <v>8</v>
      </c>
      <c r="I889">
        <v>11</v>
      </c>
      <c r="J889" t="s">
        <v>11</v>
      </c>
    </row>
    <row r="890" spans="1:10">
      <c r="A890">
        <v>889</v>
      </c>
      <c r="B890" s="1">
        <v>45391</v>
      </c>
      <c r="C890" t="s">
        <v>12</v>
      </c>
      <c r="D890">
        <v>199</v>
      </c>
      <c r="E890">
        <v>7.5</v>
      </c>
      <c r="F890">
        <v>6</v>
      </c>
      <c r="G890">
        <v>2</v>
      </c>
      <c r="H890">
        <v>24</v>
      </c>
      <c r="I890">
        <v>21</v>
      </c>
      <c r="J890" t="s">
        <v>11</v>
      </c>
    </row>
    <row r="891" spans="1:10">
      <c r="A891">
        <v>890</v>
      </c>
      <c r="B891" s="1">
        <v>45423</v>
      </c>
      <c r="C891" t="s">
        <v>12</v>
      </c>
      <c r="D891">
        <v>199</v>
      </c>
      <c r="E891">
        <v>18.600000000000001</v>
      </c>
      <c r="F891">
        <v>8</v>
      </c>
      <c r="G891">
        <v>1</v>
      </c>
      <c r="H891">
        <v>7</v>
      </c>
      <c r="I891">
        <v>10</v>
      </c>
      <c r="J891" t="s">
        <v>13</v>
      </c>
    </row>
    <row r="892" spans="1:10">
      <c r="A892">
        <v>891</v>
      </c>
      <c r="B892" s="1">
        <v>45260</v>
      </c>
      <c r="C892" t="s">
        <v>10</v>
      </c>
      <c r="D892">
        <v>699</v>
      </c>
      <c r="E892">
        <v>2.2000000000000002</v>
      </c>
      <c r="F892">
        <v>3</v>
      </c>
      <c r="G892">
        <v>5</v>
      </c>
      <c r="H892">
        <v>8</v>
      </c>
      <c r="I892">
        <v>28</v>
      </c>
      <c r="J892" t="s">
        <v>11</v>
      </c>
    </row>
    <row r="893" spans="1:10">
      <c r="A893">
        <v>892</v>
      </c>
      <c r="B893" s="1">
        <v>45160</v>
      </c>
      <c r="C893" t="s">
        <v>14</v>
      </c>
      <c r="D893">
        <v>399</v>
      </c>
      <c r="E893">
        <v>18.8</v>
      </c>
      <c r="F893">
        <v>5</v>
      </c>
      <c r="G893">
        <v>1</v>
      </c>
      <c r="H893">
        <v>13</v>
      </c>
      <c r="I893">
        <v>49</v>
      </c>
      <c r="J893" t="s">
        <v>11</v>
      </c>
    </row>
    <row r="894" spans="1:10">
      <c r="A894">
        <v>893</v>
      </c>
      <c r="B894" s="1">
        <v>45409</v>
      </c>
      <c r="C894" t="s">
        <v>12</v>
      </c>
      <c r="D894">
        <v>199</v>
      </c>
      <c r="E894">
        <v>18.600000000000001</v>
      </c>
      <c r="F894">
        <v>3</v>
      </c>
      <c r="G894">
        <v>3</v>
      </c>
      <c r="H894">
        <v>16</v>
      </c>
      <c r="I894">
        <v>57</v>
      </c>
      <c r="J894" t="s">
        <v>11</v>
      </c>
    </row>
    <row r="895" spans="1:10">
      <c r="A895">
        <v>894</v>
      </c>
      <c r="B895" s="1">
        <v>45392</v>
      </c>
      <c r="C895" t="s">
        <v>10</v>
      </c>
      <c r="D895">
        <v>699</v>
      </c>
      <c r="E895">
        <v>1.8</v>
      </c>
      <c r="F895">
        <v>6</v>
      </c>
      <c r="G895">
        <v>1</v>
      </c>
      <c r="H895">
        <v>32</v>
      </c>
      <c r="I895">
        <v>13</v>
      </c>
      <c r="J895" t="s">
        <v>13</v>
      </c>
    </row>
    <row r="896" spans="1:10">
      <c r="A896">
        <v>895</v>
      </c>
      <c r="B896" s="1">
        <v>45203</v>
      </c>
      <c r="C896" t="s">
        <v>12</v>
      </c>
      <c r="D896">
        <v>199</v>
      </c>
      <c r="E896">
        <v>9.6999999999999993</v>
      </c>
      <c r="F896">
        <v>7</v>
      </c>
      <c r="G896">
        <v>5</v>
      </c>
      <c r="H896">
        <v>25</v>
      </c>
      <c r="I896">
        <v>12</v>
      </c>
      <c r="J896" t="s">
        <v>13</v>
      </c>
    </row>
    <row r="897" spans="1:10">
      <c r="A897">
        <v>896</v>
      </c>
      <c r="B897" s="1">
        <v>45403</v>
      </c>
      <c r="C897" t="s">
        <v>12</v>
      </c>
      <c r="D897">
        <v>199</v>
      </c>
      <c r="E897">
        <v>3.6</v>
      </c>
      <c r="F897">
        <v>0</v>
      </c>
      <c r="G897">
        <v>2</v>
      </c>
      <c r="H897">
        <v>22</v>
      </c>
      <c r="I897">
        <v>8</v>
      </c>
      <c r="J897" t="s">
        <v>11</v>
      </c>
    </row>
    <row r="898" spans="1:10">
      <c r="A898">
        <v>897</v>
      </c>
      <c r="B898" s="1">
        <v>45087</v>
      </c>
      <c r="C898" t="s">
        <v>14</v>
      </c>
      <c r="D898">
        <v>399</v>
      </c>
      <c r="E898">
        <v>4.7</v>
      </c>
      <c r="F898">
        <v>5</v>
      </c>
      <c r="G898">
        <v>1</v>
      </c>
      <c r="H898">
        <v>27</v>
      </c>
      <c r="I898">
        <v>56</v>
      </c>
      <c r="J898" t="s">
        <v>11</v>
      </c>
    </row>
    <row r="899" spans="1:10">
      <c r="A899">
        <v>898</v>
      </c>
      <c r="B899" s="1">
        <v>45461</v>
      </c>
      <c r="C899" t="s">
        <v>10</v>
      </c>
      <c r="D899">
        <v>699</v>
      </c>
      <c r="E899">
        <v>14.7</v>
      </c>
      <c r="F899">
        <v>8</v>
      </c>
      <c r="G899">
        <v>1</v>
      </c>
      <c r="H899">
        <v>11</v>
      </c>
      <c r="I899">
        <v>5</v>
      </c>
      <c r="J899" t="s">
        <v>13</v>
      </c>
    </row>
    <row r="900" spans="1:10">
      <c r="A900">
        <v>899</v>
      </c>
      <c r="B900" s="1">
        <v>45179</v>
      </c>
      <c r="C900" t="s">
        <v>14</v>
      </c>
      <c r="D900">
        <v>399</v>
      </c>
      <c r="E900">
        <v>15</v>
      </c>
      <c r="F900">
        <v>7</v>
      </c>
      <c r="G900">
        <v>2</v>
      </c>
      <c r="H900">
        <v>14</v>
      </c>
      <c r="I900">
        <v>0</v>
      </c>
      <c r="J900" t="s">
        <v>13</v>
      </c>
    </row>
    <row r="901" spans="1:10">
      <c r="A901">
        <v>900</v>
      </c>
      <c r="B901" s="1">
        <v>45514</v>
      </c>
      <c r="C901" t="s">
        <v>12</v>
      </c>
      <c r="D901">
        <v>199</v>
      </c>
      <c r="E901">
        <v>11.1</v>
      </c>
      <c r="F901">
        <v>3</v>
      </c>
      <c r="G901">
        <v>4</v>
      </c>
      <c r="H901">
        <v>21</v>
      </c>
      <c r="I901">
        <v>60</v>
      </c>
      <c r="J901" t="s">
        <v>11</v>
      </c>
    </row>
    <row r="902" spans="1:10">
      <c r="A902">
        <v>901</v>
      </c>
      <c r="B902" s="1">
        <v>44961</v>
      </c>
      <c r="C902" t="s">
        <v>12</v>
      </c>
      <c r="D902">
        <v>199</v>
      </c>
      <c r="E902">
        <v>24.5</v>
      </c>
      <c r="F902">
        <v>0</v>
      </c>
      <c r="G902">
        <v>3</v>
      </c>
      <c r="H902">
        <v>27</v>
      </c>
      <c r="I902">
        <v>46</v>
      </c>
      <c r="J902" t="s">
        <v>13</v>
      </c>
    </row>
    <row r="903" spans="1:10">
      <c r="A903">
        <v>902</v>
      </c>
      <c r="B903" s="1">
        <v>45498</v>
      </c>
      <c r="C903" t="s">
        <v>14</v>
      </c>
      <c r="D903">
        <v>399</v>
      </c>
      <c r="E903">
        <v>10.199999999999999</v>
      </c>
      <c r="F903">
        <v>1</v>
      </c>
      <c r="G903">
        <v>3</v>
      </c>
      <c r="H903">
        <v>34</v>
      </c>
      <c r="I903">
        <v>31</v>
      </c>
      <c r="J903" t="s">
        <v>11</v>
      </c>
    </row>
    <row r="904" spans="1:10">
      <c r="A904">
        <v>903</v>
      </c>
      <c r="B904" s="1">
        <v>45019</v>
      </c>
      <c r="C904" t="s">
        <v>12</v>
      </c>
      <c r="D904">
        <v>199</v>
      </c>
      <c r="E904">
        <v>23.8</v>
      </c>
      <c r="F904">
        <v>2</v>
      </c>
      <c r="G904">
        <v>2</v>
      </c>
      <c r="H904">
        <v>27</v>
      </c>
      <c r="I904">
        <v>18</v>
      </c>
      <c r="J904" t="s">
        <v>11</v>
      </c>
    </row>
    <row r="905" spans="1:10">
      <c r="A905">
        <v>904</v>
      </c>
      <c r="B905" s="1">
        <v>45524</v>
      </c>
      <c r="C905" t="s">
        <v>12</v>
      </c>
      <c r="D905">
        <v>199</v>
      </c>
      <c r="E905">
        <v>16.899999999999999</v>
      </c>
      <c r="F905">
        <v>2</v>
      </c>
      <c r="G905">
        <v>5</v>
      </c>
      <c r="H905">
        <v>31</v>
      </c>
      <c r="I905">
        <v>29</v>
      </c>
      <c r="J905" t="s">
        <v>13</v>
      </c>
    </row>
    <row r="906" spans="1:10">
      <c r="A906">
        <v>905</v>
      </c>
      <c r="B906" s="1">
        <v>45306</v>
      </c>
      <c r="C906" t="s">
        <v>12</v>
      </c>
      <c r="D906">
        <v>199</v>
      </c>
      <c r="E906">
        <v>11.9</v>
      </c>
      <c r="F906">
        <v>2</v>
      </c>
      <c r="G906">
        <v>5</v>
      </c>
      <c r="H906">
        <v>30</v>
      </c>
      <c r="I906">
        <v>25</v>
      </c>
      <c r="J906" t="s">
        <v>11</v>
      </c>
    </row>
    <row r="907" spans="1:10">
      <c r="A907">
        <v>906</v>
      </c>
      <c r="B907" s="1">
        <v>45634</v>
      </c>
      <c r="C907" t="s">
        <v>10</v>
      </c>
      <c r="D907">
        <v>699</v>
      </c>
      <c r="E907">
        <v>17.7</v>
      </c>
      <c r="F907">
        <v>0</v>
      </c>
      <c r="G907">
        <v>5</v>
      </c>
      <c r="H907">
        <v>30</v>
      </c>
      <c r="I907">
        <v>4</v>
      </c>
      <c r="J907" t="s">
        <v>13</v>
      </c>
    </row>
    <row r="908" spans="1:10">
      <c r="A908">
        <v>907</v>
      </c>
      <c r="B908" s="1">
        <v>45482</v>
      </c>
      <c r="C908" t="s">
        <v>14</v>
      </c>
      <c r="D908">
        <v>399</v>
      </c>
      <c r="E908">
        <v>1.3</v>
      </c>
      <c r="F908">
        <v>6</v>
      </c>
      <c r="G908">
        <v>2</v>
      </c>
      <c r="H908">
        <v>34</v>
      </c>
      <c r="I908">
        <v>44</v>
      </c>
      <c r="J908" t="s">
        <v>11</v>
      </c>
    </row>
    <row r="909" spans="1:10">
      <c r="A909">
        <v>908</v>
      </c>
      <c r="B909" s="1">
        <v>44983</v>
      </c>
      <c r="C909" t="s">
        <v>10</v>
      </c>
      <c r="D909">
        <v>699</v>
      </c>
      <c r="E909">
        <v>19.8</v>
      </c>
      <c r="F909">
        <v>1</v>
      </c>
      <c r="G909">
        <v>4</v>
      </c>
      <c r="H909">
        <v>14</v>
      </c>
      <c r="I909">
        <v>56</v>
      </c>
      <c r="J909" t="s">
        <v>11</v>
      </c>
    </row>
    <row r="910" spans="1:10">
      <c r="A910">
        <v>909</v>
      </c>
      <c r="B910" s="1">
        <v>44968</v>
      </c>
      <c r="C910" t="s">
        <v>10</v>
      </c>
      <c r="D910">
        <v>699</v>
      </c>
      <c r="E910">
        <v>22.3</v>
      </c>
      <c r="F910">
        <v>1</v>
      </c>
      <c r="G910">
        <v>3</v>
      </c>
      <c r="H910">
        <v>24</v>
      </c>
      <c r="I910">
        <v>23</v>
      </c>
      <c r="J910" t="s">
        <v>11</v>
      </c>
    </row>
    <row r="911" spans="1:10">
      <c r="A911">
        <v>910</v>
      </c>
      <c r="B911" s="1">
        <v>45136</v>
      </c>
      <c r="C911" t="s">
        <v>14</v>
      </c>
      <c r="D911">
        <v>399</v>
      </c>
      <c r="E911">
        <v>4.8</v>
      </c>
      <c r="F911">
        <v>8</v>
      </c>
      <c r="G911">
        <v>5</v>
      </c>
      <c r="H911">
        <v>24</v>
      </c>
      <c r="I911">
        <v>4</v>
      </c>
      <c r="J911" t="s">
        <v>11</v>
      </c>
    </row>
    <row r="912" spans="1:10">
      <c r="A912">
        <v>911</v>
      </c>
      <c r="B912" s="1">
        <v>45521</v>
      </c>
      <c r="C912" t="s">
        <v>12</v>
      </c>
      <c r="D912">
        <v>199</v>
      </c>
      <c r="E912">
        <v>6.3</v>
      </c>
      <c r="F912">
        <v>1</v>
      </c>
      <c r="G912">
        <v>5</v>
      </c>
      <c r="H912">
        <v>22</v>
      </c>
      <c r="I912">
        <v>30</v>
      </c>
      <c r="J912" t="s">
        <v>13</v>
      </c>
    </row>
    <row r="913" spans="1:10">
      <c r="A913">
        <v>912</v>
      </c>
      <c r="B913" s="1">
        <v>45442</v>
      </c>
      <c r="C913" t="s">
        <v>10</v>
      </c>
      <c r="D913">
        <v>699</v>
      </c>
      <c r="E913">
        <v>19</v>
      </c>
      <c r="F913">
        <v>3</v>
      </c>
      <c r="G913">
        <v>2</v>
      </c>
      <c r="H913">
        <v>14</v>
      </c>
      <c r="I913">
        <v>22</v>
      </c>
      <c r="J913" t="s">
        <v>13</v>
      </c>
    </row>
    <row r="914" spans="1:10">
      <c r="A914">
        <v>913</v>
      </c>
      <c r="B914" s="1">
        <v>45440</v>
      </c>
      <c r="C914" t="s">
        <v>10</v>
      </c>
      <c r="D914">
        <v>699</v>
      </c>
      <c r="E914">
        <v>7.3</v>
      </c>
      <c r="F914">
        <v>1</v>
      </c>
      <c r="G914">
        <v>2</v>
      </c>
      <c r="H914">
        <v>28</v>
      </c>
      <c r="I914">
        <v>22</v>
      </c>
      <c r="J914" t="s">
        <v>11</v>
      </c>
    </row>
    <row r="915" spans="1:10">
      <c r="A915">
        <v>914</v>
      </c>
      <c r="B915" s="1">
        <v>45226</v>
      </c>
      <c r="C915" t="s">
        <v>10</v>
      </c>
      <c r="D915">
        <v>699</v>
      </c>
      <c r="E915">
        <v>12</v>
      </c>
      <c r="F915">
        <v>8</v>
      </c>
      <c r="G915">
        <v>5</v>
      </c>
      <c r="H915">
        <v>8</v>
      </c>
      <c r="I915">
        <v>52</v>
      </c>
      <c r="J915" t="s">
        <v>11</v>
      </c>
    </row>
    <row r="916" spans="1:10">
      <c r="A916">
        <v>915</v>
      </c>
      <c r="B916" s="1">
        <v>45016</v>
      </c>
      <c r="C916" t="s">
        <v>14</v>
      </c>
      <c r="D916">
        <v>399</v>
      </c>
      <c r="E916">
        <v>20.100000000000001</v>
      </c>
      <c r="F916">
        <v>1</v>
      </c>
      <c r="G916">
        <v>1</v>
      </c>
      <c r="H916">
        <v>24</v>
      </c>
      <c r="I916">
        <v>57</v>
      </c>
      <c r="J916" t="s">
        <v>13</v>
      </c>
    </row>
    <row r="917" spans="1:10">
      <c r="A917">
        <v>916</v>
      </c>
      <c r="B917" s="1">
        <v>45041</v>
      </c>
      <c r="C917" t="s">
        <v>12</v>
      </c>
      <c r="D917">
        <v>199</v>
      </c>
      <c r="E917">
        <v>22.5</v>
      </c>
      <c r="F917">
        <v>4</v>
      </c>
      <c r="G917">
        <v>0</v>
      </c>
      <c r="H917">
        <v>26</v>
      </c>
      <c r="I917">
        <v>6</v>
      </c>
      <c r="J917" t="s">
        <v>11</v>
      </c>
    </row>
    <row r="918" spans="1:10">
      <c r="A918">
        <v>917</v>
      </c>
      <c r="B918" s="1">
        <v>45227</v>
      </c>
      <c r="C918" t="s">
        <v>10</v>
      </c>
      <c r="D918">
        <v>699</v>
      </c>
      <c r="E918">
        <v>12.7</v>
      </c>
      <c r="F918">
        <v>3</v>
      </c>
      <c r="G918">
        <v>4</v>
      </c>
      <c r="H918">
        <v>10</v>
      </c>
      <c r="I918">
        <v>60</v>
      </c>
      <c r="J918" t="s">
        <v>13</v>
      </c>
    </row>
    <row r="919" spans="1:10">
      <c r="A919">
        <v>918</v>
      </c>
      <c r="B919" s="1">
        <v>45587</v>
      </c>
      <c r="C919" t="s">
        <v>14</v>
      </c>
      <c r="D919">
        <v>399</v>
      </c>
      <c r="E919">
        <v>23.3</v>
      </c>
      <c r="F919">
        <v>7</v>
      </c>
      <c r="G919">
        <v>2</v>
      </c>
      <c r="H919">
        <v>35</v>
      </c>
      <c r="I919">
        <v>26</v>
      </c>
      <c r="J919" t="s">
        <v>11</v>
      </c>
    </row>
    <row r="920" spans="1:10">
      <c r="A920">
        <v>919</v>
      </c>
      <c r="B920" s="1">
        <v>45587</v>
      </c>
      <c r="C920" t="s">
        <v>12</v>
      </c>
      <c r="D920">
        <v>199</v>
      </c>
      <c r="E920">
        <v>5.0999999999999996</v>
      </c>
      <c r="F920">
        <v>0</v>
      </c>
      <c r="G920">
        <v>1</v>
      </c>
      <c r="H920">
        <v>19</v>
      </c>
      <c r="I920">
        <v>53</v>
      </c>
      <c r="J920" t="s">
        <v>13</v>
      </c>
    </row>
    <row r="921" spans="1:10">
      <c r="A921">
        <v>920</v>
      </c>
      <c r="B921" s="1">
        <v>45469</v>
      </c>
      <c r="C921" t="s">
        <v>14</v>
      </c>
      <c r="D921">
        <v>399</v>
      </c>
      <c r="E921">
        <v>14.7</v>
      </c>
      <c r="F921">
        <v>5</v>
      </c>
      <c r="G921">
        <v>3</v>
      </c>
      <c r="H921">
        <v>27</v>
      </c>
      <c r="I921">
        <v>37</v>
      </c>
      <c r="J921" t="s">
        <v>11</v>
      </c>
    </row>
    <row r="922" spans="1:10">
      <c r="A922">
        <v>921</v>
      </c>
      <c r="B922" s="1">
        <v>45159</v>
      </c>
      <c r="C922" t="s">
        <v>10</v>
      </c>
      <c r="D922">
        <v>699</v>
      </c>
      <c r="E922">
        <v>11.7</v>
      </c>
      <c r="F922">
        <v>2</v>
      </c>
      <c r="G922">
        <v>2</v>
      </c>
      <c r="H922">
        <v>29</v>
      </c>
      <c r="I922">
        <v>10</v>
      </c>
      <c r="J922" t="s">
        <v>13</v>
      </c>
    </row>
    <row r="923" spans="1:10">
      <c r="A923">
        <v>922</v>
      </c>
      <c r="B923" s="1">
        <v>45097</v>
      </c>
      <c r="C923" t="s">
        <v>14</v>
      </c>
      <c r="D923">
        <v>399</v>
      </c>
      <c r="E923">
        <v>24.3</v>
      </c>
      <c r="F923">
        <v>0</v>
      </c>
      <c r="G923">
        <v>1</v>
      </c>
      <c r="H923">
        <v>24</v>
      </c>
      <c r="I923">
        <v>22</v>
      </c>
      <c r="J923" t="s">
        <v>11</v>
      </c>
    </row>
    <row r="924" spans="1:10">
      <c r="A924">
        <v>923</v>
      </c>
      <c r="B924" s="1">
        <v>45636</v>
      </c>
      <c r="C924" t="s">
        <v>10</v>
      </c>
      <c r="D924">
        <v>699</v>
      </c>
      <c r="E924">
        <v>17.899999999999999</v>
      </c>
      <c r="F924">
        <v>4</v>
      </c>
      <c r="G924">
        <v>1</v>
      </c>
      <c r="H924">
        <v>11</v>
      </c>
      <c r="I924">
        <v>11</v>
      </c>
      <c r="J924" t="s">
        <v>13</v>
      </c>
    </row>
    <row r="925" spans="1:10">
      <c r="A925">
        <v>924</v>
      </c>
      <c r="B925" s="1">
        <v>45378</v>
      </c>
      <c r="C925" t="s">
        <v>10</v>
      </c>
      <c r="D925">
        <v>699</v>
      </c>
      <c r="E925">
        <v>4.5</v>
      </c>
      <c r="F925">
        <v>1</v>
      </c>
      <c r="G925">
        <v>0</v>
      </c>
      <c r="H925">
        <v>10</v>
      </c>
      <c r="I925">
        <v>20</v>
      </c>
      <c r="J925" t="s">
        <v>13</v>
      </c>
    </row>
    <row r="926" spans="1:10">
      <c r="A926">
        <v>925</v>
      </c>
      <c r="B926" s="1">
        <v>45279</v>
      </c>
      <c r="C926" t="s">
        <v>14</v>
      </c>
      <c r="D926">
        <v>399</v>
      </c>
      <c r="E926">
        <v>5</v>
      </c>
      <c r="F926">
        <v>8</v>
      </c>
      <c r="G926">
        <v>5</v>
      </c>
      <c r="H926">
        <v>24</v>
      </c>
      <c r="I926">
        <v>2</v>
      </c>
      <c r="J926" t="s">
        <v>13</v>
      </c>
    </row>
    <row r="927" spans="1:10">
      <c r="A927">
        <v>926</v>
      </c>
      <c r="B927" s="1">
        <v>44952</v>
      </c>
      <c r="C927" t="s">
        <v>12</v>
      </c>
      <c r="D927">
        <v>199</v>
      </c>
      <c r="E927">
        <v>11.5</v>
      </c>
      <c r="F927">
        <v>2</v>
      </c>
      <c r="G927">
        <v>4</v>
      </c>
      <c r="H927">
        <v>24</v>
      </c>
      <c r="I927">
        <v>19</v>
      </c>
      <c r="J927" t="s">
        <v>11</v>
      </c>
    </row>
    <row r="928" spans="1:10">
      <c r="A928">
        <v>927</v>
      </c>
      <c r="B928" s="1">
        <v>45486</v>
      </c>
      <c r="C928" t="s">
        <v>14</v>
      </c>
      <c r="D928">
        <v>399</v>
      </c>
      <c r="E928">
        <v>19.3</v>
      </c>
      <c r="F928">
        <v>7</v>
      </c>
      <c r="G928">
        <v>2</v>
      </c>
      <c r="H928">
        <v>32</v>
      </c>
      <c r="I928">
        <v>9</v>
      </c>
      <c r="J928" t="s">
        <v>11</v>
      </c>
    </row>
    <row r="929" spans="1:10">
      <c r="A929">
        <v>928</v>
      </c>
      <c r="B929" s="1">
        <v>45514</v>
      </c>
      <c r="C929" t="s">
        <v>10</v>
      </c>
      <c r="D929">
        <v>699</v>
      </c>
      <c r="E929">
        <v>16.399999999999999</v>
      </c>
      <c r="F929">
        <v>4</v>
      </c>
      <c r="G929">
        <v>3</v>
      </c>
      <c r="H929">
        <v>22</v>
      </c>
      <c r="I929">
        <v>57</v>
      </c>
      <c r="J929" t="s">
        <v>11</v>
      </c>
    </row>
    <row r="930" spans="1:10">
      <c r="A930">
        <v>929</v>
      </c>
      <c r="B930" s="1">
        <v>45417</v>
      </c>
      <c r="C930" t="s">
        <v>10</v>
      </c>
      <c r="D930">
        <v>699</v>
      </c>
      <c r="E930">
        <v>20.100000000000001</v>
      </c>
      <c r="F930">
        <v>7</v>
      </c>
      <c r="G930">
        <v>2</v>
      </c>
      <c r="H930">
        <v>10</v>
      </c>
      <c r="I930">
        <v>44</v>
      </c>
      <c r="J930" t="s">
        <v>11</v>
      </c>
    </row>
    <row r="931" spans="1:10">
      <c r="A931">
        <v>930</v>
      </c>
      <c r="B931" s="1">
        <v>45152</v>
      </c>
      <c r="C931" t="s">
        <v>12</v>
      </c>
      <c r="D931">
        <v>199</v>
      </c>
      <c r="E931">
        <v>17.100000000000001</v>
      </c>
      <c r="F931">
        <v>1</v>
      </c>
      <c r="G931">
        <v>2</v>
      </c>
      <c r="H931">
        <v>9</v>
      </c>
      <c r="I931">
        <v>1</v>
      </c>
      <c r="J931" t="s">
        <v>13</v>
      </c>
    </row>
    <row r="932" spans="1:10">
      <c r="A932">
        <v>931</v>
      </c>
      <c r="B932" s="1">
        <v>45466</v>
      </c>
      <c r="C932" t="s">
        <v>14</v>
      </c>
      <c r="D932">
        <v>399</v>
      </c>
      <c r="E932">
        <v>2.8</v>
      </c>
      <c r="F932">
        <v>0</v>
      </c>
      <c r="G932">
        <v>4</v>
      </c>
      <c r="H932">
        <v>23</v>
      </c>
      <c r="I932">
        <v>41</v>
      </c>
      <c r="J932" t="s">
        <v>11</v>
      </c>
    </row>
    <row r="933" spans="1:10">
      <c r="A933">
        <v>932</v>
      </c>
      <c r="B933" s="1">
        <v>45614</v>
      </c>
      <c r="C933" t="s">
        <v>12</v>
      </c>
      <c r="D933">
        <v>199</v>
      </c>
      <c r="E933">
        <v>5.3</v>
      </c>
      <c r="F933">
        <v>1</v>
      </c>
      <c r="G933">
        <v>4</v>
      </c>
      <c r="H933">
        <v>18</v>
      </c>
      <c r="I933">
        <v>54</v>
      </c>
      <c r="J933" t="s">
        <v>11</v>
      </c>
    </row>
    <row r="934" spans="1:10">
      <c r="A934">
        <v>933</v>
      </c>
      <c r="B934" s="1">
        <v>44984</v>
      </c>
      <c r="C934" t="s">
        <v>12</v>
      </c>
      <c r="D934">
        <v>199</v>
      </c>
      <c r="E934">
        <v>10.199999999999999</v>
      </c>
      <c r="F934">
        <v>7</v>
      </c>
      <c r="G934">
        <v>2</v>
      </c>
      <c r="H934">
        <v>33</v>
      </c>
      <c r="I934">
        <v>38</v>
      </c>
      <c r="J934" t="s">
        <v>11</v>
      </c>
    </row>
    <row r="935" spans="1:10">
      <c r="A935">
        <v>934</v>
      </c>
      <c r="B935" s="1">
        <v>45218</v>
      </c>
      <c r="C935" t="s">
        <v>10</v>
      </c>
      <c r="D935">
        <v>699</v>
      </c>
      <c r="E935">
        <v>10.199999999999999</v>
      </c>
      <c r="F935">
        <v>6</v>
      </c>
      <c r="G935">
        <v>2</v>
      </c>
      <c r="H935">
        <v>24</v>
      </c>
      <c r="I935">
        <v>24</v>
      </c>
      <c r="J935" t="s">
        <v>11</v>
      </c>
    </row>
    <row r="936" spans="1:10">
      <c r="A936">
        <v>935</v>
      </c>
      <c r="B936" s="1">
        <v>45381</v>
      </c>
      <c r="C936" t="s">
        <v>14</v>
      </c>
      <c r="D936">
        <v>399</v>
      </c>
      <c r="E936">
        <v>8</v>
      </c>
      <c r="F936">
        <v>7</v>
      </c>
      <c r="G936">
        <v>4</v>
      </c>
      <c r="H936">
        <v>23</v>
      </c>
      <c r="I936">
        <v>5</v>
      </c>
      <c r="J936" t="s">
        <v>11</v>
      </c>
    </row>
    <row r="937" spans="1:10">
      <c r="A937">
        <v>936</v>
      </c>
      <c r="B937" s="1">
        <v>45361</v>
      </c>
      <c r="C937" t="s">
        <v>10</v>
      </c>
      <c r="D937">
        <v>699</v>
      </c>
      <c r="E937">
        <v>20.2</v>
      </c>
      <c r="F937">
        <v>4</v>
      </c>
      <c r="G937">
        <v>1</v>
      </c>
      <c r="H937">
        <v>27</v>
      </c>
      <c r="I937">
        <v>51</v>
      </c>
      <c r="J937" t="s">
        <v>13</v>
      </c>
    </row>
    <row r="938" spans="1:10">
      <c r="A938">
        <v>937</v>
      </c>
      <c r="B938" s="1">
        <v>45464</v>
      </c>
      <c r="C938" t="s">
        <v>10</v>
      </c>
      <c r="D938">
        <v>699</v>
      </c>
      <c r="E938">
        <v>3.9</v>
      </c>
      <c r="F938">
        <v>1</v>
      </c>
      <c r="G938">
        <v>1</v>
      </c>
      <c r="H938">
        <v>27</v>
      </c>
      <c r="I938">
        <v>13</v>
      </c>
      <c r="J938" t="s">
        <v>11</v>
      </c>
    </row>
    <row r="939" spans="1:10">
      <c r="A939">
        <v>938</v>
      </c>
      <c r="B939" s="1">
        <v>45206</v>
      </c>
      <c r="C939" t="s">
        <v>14</v>
      </c>
      <c r="D939">
        <v>399</v>
      </c>
      <c r="E939">
        <v>23.4</v>
      </c>
      <c r="F939">
        <v>6</v>
      </c>
      <c r="G939">
        <v>0</v>
      </c>
      <c r="H939">
        <v>5</v>
      </c>
      <c r="I939">
        <v>0</v>
      </c>
      <c r="J939" t="s">
        <v>13</v>
      </c>
    </row>
    <row r="940" spans="1:10">
      <c r="A940">
        <v>939</v>
      </c>
      <c r="B940" s="1">
        <v>45223</v>
      </c>
      <c r="C940" t="s">
        <v>14</v>
      </c>
      <c r="D940">
        <v>399</v>
      </c>
      <c r="E940">
        <v>14.1</v>
      </c>
      <c r="F940">
        <v>2</v>
      </c>
      <c r="G940">
        <v>1</v>
      </c>
      <c r="H940">
        <v>12</v>
      </c>
      <c r="I940">
        <v>11</v>
      </c>
      <c r="J940" t="s">
        <v>13</v>
      </c>
    </row>
    <row r="941" spans="1:10">
      <c r="A941">
        <v>940</v>
      </c>
      <c r="B941" s="1">
        <v>45401</v>
      </c>
      <c r="C941" t="s">
        <v>10</v>
      </c>
      <c r="D941">
        <v>699</v>
      </c>
      <c r="E941">
        <v>1.5</v>
      </c>
      <c r="F941">
        <v>4</v>
      </c>
      <c r="G941">
        <v>4</v>
      </c>
      <c r="H941">
        <v>32</v>
      </c>
      <c r="I941">
        <v>19</v>
      </c>
      <c r="J941" t="s">
        <v>11</v>
      </c>
    </row>
    <row r="942" spans="1:10">
      <c r="A942">
        <v>941</v>
      </c>
      <c r="B942" s="1">
        <v>45578</v>
      </c>
      <c r="C942" t="s">
        <v>12</v>
      </c>
      <c r="D942">
        <v>199</v>
      </c>
      <c r="E942">
        <v>19.899999999999999</v>
      </c>
      <c r="F942">
        <v>2</v>
      </c>
      <c r="G942">
        <v>2</v>
      </c>
      <c r="H942">
        <v>2</v>
      </c>
      <c r="I942">
        <v>19</v>
      </c>
      <c r="J942" t="s">
        <v>13</v>
      </c>
    </row>
    <row r="943" spans="1:10">
      <c r="A943">
        <v>942</v>
      </c>
      <c r="B943" s="1">
        <v>45631</v>
      </c>
      <c r="C943" t="s">
        <v>14</v>
      </c>
      <c r="D943">
        <v>399</v>
      </c>
      <c r="E943">
        <v>16.5</v>
      </c>
      <c r="F943">
        <v>4</v>
      </c>
      <c r="G943">
        <v>3</v>
      </c>
      <c r="H943">
        <v>8</v>
      </c>
      <c r="I943">
        <v>11</v>
      </c>
      <c r="J943" t="s">
        <v>11</v>
      </c>
    </row>
    <row r="944" spans="1:10">
      <c r="A944">
        <v>943</v>
      </c>
      <c r="B944" s="1">
        <v>45297</v>
      </c>
      <c r="C944" t="s">
        <v>10</v>
      </c>
      <c r="D944">
        <v>699</v>
      </c>
      <c r="E944">
        <v>1.2</v>
      </c>
      <c r="F944">
        <v>4</v>
      </c>
      <c r="G944">
        <v>3</v>
      </c>
      <c r="H944">
        <v>16</v>
      </c>
      <c r="I944">
        <v>4</v>
      </c>
      <c r="J944" t="s">
        <v>11</v>
      </c>
    </row>
    <row r="945" spans="1:10">
      <c r="A945">
        <v>944</v>
      </c>
      <c r="B945" s="1">
        <v>45637</v>
      </c>
      <c r="C945" t="s">
        <v>10</v>
      </c>
      <c r="D945">
        <v>699</v>
      </c>
      <c r="E945">
        <v>14.4</v>
      </c>
      <c r="F945">
        <v>4</v>
      </c>
      <c r="G945">
        <v>5</v>
      </c>
      <c r="H945">
        <v>31</v>
      </c>
      <c r="I945">
        <v>43</v>
      </c>
      <c r="J945" t="s">
        <v>11</v>
      </c>
    </row>
    <row r="946" spans="1:10">
      <c r="A946">
        <v>945</v>
      </c>
      <c r="B946" s="1">
        <v>45076</v>
      </c>
      <c r="C946" t="s">
        <v>12</v>
      </c>
      <c r="D946">
        <v>199</v>
      </c>
      <c r="E946">
        <v>13.1</v>
      </c>
      <c r="F946">
        <v>0</v>
      </c>
      <c r="G946">
        <v>2</v>
      </c>
      <c r="H946">
        <v>24</v>
      </c>
      <c r="I946">
        <v>10</v>
      </c>
      <c r="J946" t="s">
        <v>13</v>
      </c>
    </row>
    <row r="947" spans="1:10">
      <c r="A947">
        <v>946</v>
      </c>
      <c r="B947" s="1">
        <v>45296</v>
      </c>
      <c r="C947" t="s">
        <v>14</v>
      </c>
      <c r="D947">
        <v>399</v>
      </c>
      <c r="E947">
        <v>22</v>
      </c>
      <c r="F947">
        <v>2</v>
      </c>
      <c r="G947">
        <v>2</v>
      </c>
      <c r="H947">
        <v>30</v>
      </c>
      <c r="I947">
        <v>10</v>
      </c>
      <c r="J947" t="s">
        <v>11</v>
      </c>
    </row>
    <row r="948" spans="1:10">
      <c r="A948">
        <v>947</v>
      </c>
      <c r="B948" s="1">
        <v>45453</v>
      </c>
      <c r="C948" t="s">
        <v>14</v>
      </c>
      <c r="D948">
        <v>399</v>
      </c>
      <c r="E948">
        <v>1.7</v>
      </c>
      <c r="F948">
        <v>4</v>
      </c>
      <c r="G948">
        <v>4</v>
      </c>
      <c r="H948">
        <v>23</v>
      </c>
      <c r="I948">
        <v>40</v>
      </c>
      <c r="J948" t="s">
        <v>11</v>
      </c>
    </row>
    <row r="949" spans="1:10">
      <c r="A949">
        <v>948</v>
      </c>
      <c r="B949" s="1">
        <v>45628</v>
      </c>
      <c r="C949" t="s">
        <v>12</v>
      </c>
      <c r="D949">
        <v>199</v>
      </c>
      <c r="E949">
        <v>19.2</v>
      </c>
      <c r="F949">
        <v>2</v>
      </c>
      <c r="G949">
        <v>4</v>
      </c>
      <c r="H949">
        <v>12</v>
      </c>
      <c r="I949">
        <v>20</v>
      </c>
      <c r="J949" t="s">
        <v>13</v>
      </c>
    </row>
    <row r="950" spans="1:10">
      <c r="A950">
        <v>949</v>
      </c>
      <c r="B950" s="1">
        <v>45074</v>
      </c>
      <c r="C950" t="s">
        <v>14</v>
      </c>
      <c r="D950">
        <v>399</v>
      </c>
      <c r="E950">
        <v>17.3</v>
      </c>
      <c r="F950">
        <v>5</v>
      </c>
      <c r="G950">
        <v>0</v>
      </c>
      <c r="H950">
        <v>18</v>
      </c>
      <c r="I950">
        <v>34</v>
      </c>
      <c r="J950" t="s">
        <v>13</v>
      </c>
    </row>
    <row r="951" spans="1:10">
      <c r="A951">
        <v>950</v>
      </c>
      <c r="B951" s="1">
        <v>45093</v>
      </c>
      <c r="C951" t="s">
        <v>12</v>
      </c>
      <c r="D951">
        <v>199</v>
      </c>
      <c r="E951">
        <v>13.2</v>
      </c>
      <c r="F951">
        <v>5</v>
      </c>
      <c r="G951">
        <v>3</v>
      </c>
      <c r="H951">
        <v>9</v>
      </c>
      <c r="I951">
        <v>26</v>
      </c>
      <c r="J951" t="s">
        <v>11</v>
      </c>
    </row>
    <row r="952" spans="1:10">
      <c r="A952">
        <v>951</v>
      </c>
      <c r="B952" s="1">
        <v>45555</v>
      </c>
      <c r="C952" t="s">
        <v>12</v>
      </c>
      <c r="D952">
        <v>199</v>
      </c>
      <c r="E952">
        <v>4.3</v>
      </c>
      <c r="F952">
        <v>3</v>
      </c>
      <c r="G952">
        <v>1</v>
      </c>
      <c r="H952">
        <v>14</v>
      </c>
      <c r="I952">
        <v>50</v>
      </c>
      <c r="J952" t="s">
        <v>13</v>
      </c>
    </row>
    <row r="953" spans="1:10">
      <c r="A953">
        <v>952</v>
      </c>
      <c r="B953" s="1">
        <v>45354</v>
      </c>
      <c r="C953" t="s">
        <v>10</v>
      </c>
      <c r="D953">
        <v>699</v>
      </c>
      <c r="E953">
        <v>21.2</v>
      </c>
      <c r="F953">
        <v>8</v>
      </c>
      <c r="G953">
        <v>5</v>
      </c>
      <c r="H953">
        <v>34</v>
      </c>
      <c r="I953">
        <v>48</v>
      </c>
      <c r="J953" t="s">
        <v>13</v>
      </c>
    </row>
    <row r="954" spans="1:10">
      <c r="A954">
        <v>953</v>
      </c>
      <c r="B954" s="1">
        <v>45634</v>
      </c>
      <c r="C954" t="s">
        <v>14</v>
      </c>
      <c r="D954">
        <v>399</v>
      </c>
      <c r="E954">
        <v>3.4</v>
      </c>
      <c r="F954">
        <v>2</v>
      </c>
      <c r="G954">
        <v>0</v>
      </c>
      <c r="H954">
        <v>5</v>
      </c>
      <c r="I954">
        <v>30</v>
      </c>
      <c r="J954" t="s">
        <v>11</v>
      </c>
    </row>
    <row r="955" spans="1:10">
      <c r="A955">
        <v>954</v>
      </c>
      <c r="B955" s="1">
        <v>44956</v>
      </c>
      <c r="C955" t="s">
        <v>14</v>
      </c>
      <c r="D955">
        <v>399</v>
      </c>
      <c r="E955">
        <v>20.5</v>
      </c>
      <c r="F955">
        <v>8</v>
      </c>
      <c r="G955">
        <v>2</v>
      </c>
      <c r="H955">
        <v>9</v>
      </c>
      <c r="I955">
        <v>11</v>
      </c>
      <c r="J955" t="s">
        <v>13</v>
      </c>
    </row>
    <row r="956" spans="1:10">
      <c r="A956">
        <v>955</v>
      </c>
      <c r="B956" s="1">
        <v>45141</v>
      </c>
      <c r="C956" t="s">
        <v>10</v>
      </c>
      <c r="D956">
        <v>699</v>
      </c>
      <c r="E956">
        <v>5.9</v>
      </c>
      <c r="F956">
        <v>2</v>
      </c>
      <c r="G956">
        <v>5</v>
      </c>
      <c r="H956">
        <v>8</v>
      </c>
      <c r="I956">
        <v>14</v>
      </c>
      <c r="J956" t="s">
        <v>11</v>
      </c>
    </row>
    <row r="957" spans="1:10">
      <c r="A957">
        <v>956</v>
      </c>
      <c r="B957" s="1">
        <v>45368</v>
      </c>
      <c r="C957" t="s">
        <v>12</v>
      </c>
      <c r="D957">
        <v>199</v>
      </c>
      <c r="E957">
        <v>10.9</v>
      </c>
      <c r="F957">
        <v>1</v>
      </c>
      <c r="G957">
        <v>0</v>
      </c>
      <c r="H957">
        <v>6</v>
      </c>
      <c r="I957">
        <v>1</v>
      </c>
      <c r="J957" t="s">
        <v>13</v>
      </c>
    </row>
    <row r="958" spans="1:10">
      <c r="A958">
        <v>957</v>
      </c>
      <c r="B958" s="1">
        <v>45186</v>
      </c>
      <c r="C958" t="s">
        <v>12</v>
      </c>
      <c r="D958">
        <v>199</v>
      </c>
      <c r="E958">
        <v>3.1</v>
      </c>
      <c r="F958">
        <v>8</v>
      </c>
      <c r="G958">
        <v>4</v>
      </c>
      <c r="H958">
        <v>13</v>
      </c>
      <c r="I958">
        <v>3</v>
      </c>
      <c r="J958" t="s">
        <v>11</v>
      </c>
    </row>
    <row r="959" spans="1:10">
      <c r="A959">
        <v>958</v>
      </c>
      <c r="B959" s="1">
        <v>45543</v>
      </c>
      <c r="C959" t="s">
        <v>12</v>
      </c>
      <c r="D959">
        <v>199</v>
      </c>
      <c r="E959">
        <v>7.9</v>
      </c>
      <c r="F959">
        <v>0</v>
      </c>
      <c r="G959">
        <v>0</v>
      </c>
      <c r="H959">
        <v>5</v>
      </c>
      <c r="I959">
        <v>50</v>
      </c>
      <c r="J959" t="s">
        <v>11</v>
      </c>
    </row>
    <row r="960" spans="1:10">
      <c r="A960">
        <v>959</v>
      </c>
      <c r="B960" s="1">
        <v>45211</v>
      </c>
      <c r="C960" t="s">
        <v>12</v>
      </c>
      <c r="D960">
        <v>199</v>
      </c>
      <c r="E960">
        <v>5</v>
      </c>
      <c r="F960">
        <v>5</v>
      </c>
      <c r="G960">
        <v>0</v>
      </c>
      <c r="H960">
        <v>13</v>
      </c>
      <c r="I960">
        <v>5</v>
      </c>
      <c r="J960" t="s">
        <v>11</v>
      </c>
    </row>
    <row r="961" spans="1:10">
      <c r="A961">
        <v>960</v>
      </c>
      <c r="B961" s="1">
        <v>45510</v>
      </c>
      <c r="C961" t="s">
        <v>10</v>
      </c>
      <c r="D961">
        <v>699</v>
      </c>
      <c r="E961">
        <v>9.1</v>
      </c>
      <c r="F961">
        <v>8</v>
      </c>
      <c r="G961">
        <v>5</v>
      </c>
      <c r="H961">
        <v>23</v>
      </c>
      <c r="I961">
        <v>39</v>
      </c>
      <c r="J961" t="s">
        <v>11</v>
      </c>
    </row>
    <row r="962" spans="1:10">
      <c r="A962">
        <v>961</v>
      </c>
      <c r="B962" s="1">
        <v>45215</v>
      </c>
      <c r="C962" t="s">
        <v>12</v>
      </c>
      <c r="D962">
        <v>199</v>
      </c>
      <c r="E962">
        <v>20.6</v>
      </c>
      <c r="F962">
        <v>0</v>
      </c>
      <c r="G962">
        <v>4</v>
      </c>
      <c r="H962">
        <v>7</v>
      </c>
      <c r="I962">
        <v>13</v>
      </c>
      <c r="J962" t="s">
        <v>13</v>
      </c>
    </row>
    <row r="963" spans="1:10">
      <c r="A963">
        <v>962</v>
      </c>
      <c r="B963" s="1">
        <v>45651</v>
      </c>
      <c r="C963" t="s">
        <v>12</v>
      </c>
      <c r="D963">
        <v>199</v>
      </c>
      <c r="E963">
        <v>0.6</v>
      </c>
      <c r="F963">
        <v>1</v>
      </c>
      <c r="G963">
        <v>1</v>
      </c>
      <c r="H963">
        <v>35</v>
      </c>
      <c r="I963">
        <v>58</v>
      </c>
      <c r="J963" t="s">
        <v>11</v>
      </c>
    </row>
    <row r="964" spans="1:10">
      <c r="A964">
        <v>963</v>
      </c>
      <c r="B964" s="1">
        <v>45112</v>
      </c>
      <c r="C964" t="s">
        <v>14</v>
      </c>
      <c r="D964">
        <v>399</v>
      </c>
      <c r="E964">
        <v>17.600000000000001</v>
      </c>
      <c r="F964">
        <v>2</v>
      </c>
      <c r="G964">
        <v>3</v>
      </c>
      <c r="H964">
        <v>24</v>
      </c>
      <c r="I964">
        <v>43</v>
      </c>
      <c r="J964" t="s">
        <v>13</v>
      </c>
    </row>
    <row r="965" spans="1:10">
      <c r="A965">
        <v>964</v>
      </c>
      <c r="B965" s="1">
        <v>45248</v>
      </c>
      <c r="C965" t="s">
        <v>14</v>
      </c>
      <c r="D965">
        <v>399</v>
      </c>
      <c r="E965">
        <v>10.9</v>
      </c>
      <c r="F965">
        <v>8</v>
      </c>
      <c r="G965">
        <v>1</v>
      </c>
      <c r="H965">
        <v>25</v>
      </c>
      <c r="I965">
        <v>26</v>
      </c>
      <c r="J965" t="s">
        <v>11</v>
      </c>
    </row>
    <row r="966" spans="1:10">
      <c r="A966">
        <v>965</v>
      </c>
      <c r="B966" s="1">
        <v>45222</v>
      </c>
      <c r="C966" t="s">
        <v>12</v>
      </c>
      <c r="D966">
        <v>199</v>
      </c>
      <c r="E966">
        <v>3.2</v>
      </c>
      <c r="F966">
        <v>2</v>
      </c>
      <c r="G966">
        <v>3</v>
      </c>
      <c r="H966">
        <v>30</v>
      </c>
      <c r="I966">
        <v>48</v>
      </c>
      <c r="J966" t="s">
        <v>11</v>
      </c>
    </row>
    <row r="967" spans="1:10">
      <c r="A967">
        <v>966</v>
      </c>
      <c r="B967" s="1">
        <v>45541</v>
      </c>
      <c r="C967" t="s">
        <v>10</v>
      </c>
      <c r="D967">
        <v>699</v>
      </c>
      <c r="E967">
        <v>2.5</v>
      </c>
      <c r="F967">
        <v>7</v>
      </c>
      <c r="G967">
        <v>0</v>
      </c>
      <c r="H967">
        <v>3</v>
      </c>
      <c r="I967">
        <v>24</v>
      </c>
      <c r="J967" t="s">
        <v>11</v>
      </c>
    </row>
    <row r="968" spans="1:10">
      <c r="A968">
        <v>967</v>
      </c>
      <c r="B968" s="1">
        <v>45365</v>
      </c>
      <c r="C968" t="s">
        <v>10</v>
      </c>
      <c r="D968">
        <v>699</v>
      </c>
      <c r="E968">
        <v>17.3</v>
      </c>
      <c r="F968">
        <v>7</v>
      </c>
      <c r="G968">
        <v>1</v>
      </c>
      <c r="H968">
        <v>20</v>
      </c>
      <c r="I968">
        <v>35</v>
      </c>
      <c r="J968" t="s">
        <v>11</v>
      </c>
    </row>
    <row r="969" spans="1:10">
      <c r="A969">
        <v>968</v>
      </c>
      <c r="B969" s="1">
        <v>45617</v>
      </c>
      <c r="C969" t="s">
        <v>12</v>
      </c>
      <c r="D969">
        <v>199</v>
      </c>
      <c r="E969">
        <v>22.4</v>
      </c>
      <c r="F969">
        <v>7</v>
      </c>
      <c r="G969">
        <v>5</v>
      </c>
      <c r="H969">
        <v>5</v>
      </c>
      <c r="I969">
        <v>23</v>
      </c>
      <c r="J969" t="s">
        <v>11</v>
      </c>
    </row>
    <row r="970" spans="1:10">
      <c r="A970">
        <v>969</v>
      </c>
      <c r="B970" s="1">
        <v>45073</v>
      </c>
      <c r="C970" t="s">
        <v>14</v>
      </c>
      <c r="D970">
        <v>399</v>
      </c>
      <c r="E970">
        <v>10.199999999999999</v>
      </c>
      <c r="F970">
        <v>8</v>
      </c>
      <c r="G970">
        <v>5</v>
      </c>
      <c r="H970">
        <v>7</v>
      </c>
      <c r="I970">
        <v>43</v>
      </c>
      <c r="J970" t="s">
        <v>11</v>
      </c>
    </row>
    <row r="971" spans="1:10">
      <c r="A971">
        <v>970</v>
      </c>
      <c r="B971" s="1">
        <v>45099</v>
      </c>
      <c r="C971" t="s">
        <v>14</v>
      </c>
      <c r="D971">
        <v>399</v>
      </c>
      <c r="E971">
        <v>17.5</v>
      </c>
      <c r="F971">
        <v>1</v>
      </c>
      <c r="G971">
        <v>5</v>
      </c>
      <c r="H971">
        <v>26</v>
      </c>
      <c r="I971">
        <v>59</v>
      </c>
      <c r="J971" t="s">
        <v>13</v>
      </c>
    </row>
    <row r="972" spans="1:10">
      <c r="A972">
        <v>971</v>
      </c>
      <c r="B972" s="1">
        <v>45340</v>
      </c>
      <c r="C972" t="s">
        <v>12</v>
      </c>
      <c r="D972">
        <v>199</v>
      </c>
      <c r="E972">
        <v>24.4</v>
      </c>
      <c r="F972">
        <v>5</v>
      </c>
      <c r="G972">
        <v>1</v>
      </c>
      <c r="H972">
        <v>24</v>
      </c>
      <c r="I972">
        <v>38</v>
      </c>
      <c r="J972" t="s">
        <v>13</v>
      </c>
    </row>
    <row r="973" spans="1:10">
      <c r="A973">
        <v>972</v>
      </c>
      <c r="B973" s="1">
        <v>45522</v>
      </c>
      <c r="C973" t="s">
        <v>12</v>
      </c>
      <c r="D973">
        <v>199</v>
      </c>
      <c r="E973">
        <v>21</v>
      </c>
      <c r="F973">
        <v>7</v>
      </c>
      <c r="G973">
        <v>2</v>
      </c>
      <c r="H973">
        <v>15</v>
      </c>
      <c r="I973">
        <v>48</v>
      </c>
      <c r="J973" t="s">
        <v>11</v>
      </c>
    </row>
    <row r="974" spans="1:10">
      <c r="A974">
        <v>973</v>
      </c>
      <c r="B974" s="1">
        <v>45341</v>
      </c>
      <c r="C974" t="s">
        <v>10</v>
      </c>
      <c r="D974">
        <v>699</v>
      </c>
      <c r="E974">
        <v>19</v>
      </c>
      <c r="F974">
        <v>6</v>
      </c>
      <c r="G974">
        <v>2</v>
      </c>
      <c r="H974">
        <v>18</v>
      </c>
      <c r="I974">
        <v>30</v>
      </c>
      <c r="J974" t="s">
        <v>11</v>
      </c>
    </row>
    <row r="975" spans="1:10">
      <c r="A975">
        <v>974</v>
      </c>
      <c r="B975" s="1">
        <v>45436</v>
      </c>
      <c r="C975" t="s">
        <v>14</v>
      </c>
      <c r="D975">
        <v>399</v>
      </c>
      <c r="E975">
        <v>7.3</v>
      </c>
      <c r="F975">
        <v>7</v>
      </c>
      <c r="G975">
        <v>0</v>
      </c>
      <c r="H975">
        <v>33</v>
      </c>
      <c r="I975">
        <v>7</v>
      </c>
      <c r="J975" t="s">
        <v>13</v>
      </c>
    </row>
    <row r="976" spans="1:10">
      <c r="A976">
        <v>975</v>
      </c>
      <c r="B976" s="1">
        <v>45110</v>
      </c>
      <c r="C976" t="s">
        <v>12</v>
      </c>
      <c r="D976">
        <v>199</v>
      </c>
      <c r="E976">
        <v>1.2</v>
      </c>
      <c r="F976">
        <v>0</v>
      </c>
      <c r="G976">
        <v>0</v>
      </c>
      <c r="H976">
        <v>9</v>
      </c>
      <c r="I976">
        <v>31</v>
      </c>
      <c r="J976" t="s">
        <v>13</v>
      </c>
    </row>
    <row r="977" spans="1:10">
      <c r="A977">
        <v>976</v>
      </c>
      <c r="B977" s="1">
        <v>45431</v>
      </c>
      <c r="C977" t="s">
        <v>14</v>
      </c>
      <c r="D977">
        <v>399</v>
      </c>
      <c r="E977">
        <v>4.2</v>
      </c>
      <c r="F977">
        <v>1</v>
      </c>
      <c r="G977">
        <v>0</v>
      </c>
      <c r="H977">
        <v>21</v>
      </c>
      <c r="I977">
        <v>42</v>
      </c>
      <c r="J977" t="s">
        <v>13</v>
      </c>
    </row>
    <row r="978" spans="1:10">
      <c r="A978">
        <v>977</v>
      </c>
      <c r="B978" s="1">
        <v>45278</v>
      </c>
      <c r="C978" t="s">
        <v>14</v>
      </c>
      <c r="D978">
        <v>399</v>
      </c>
      <c r="E978">
        <v>7.7</v>
      </c>
      <c r="F978">
        <v>7</v>
      </c>
      <c r="G978">
        <v>3</v>
      </c>
      <c r="H978">
        <v>13</v>
      </c>
      <c r="I978">
        <v>32</v>
      </c>
      <c r="J978" t="s">
        <v>11</v>
      </c>
    </row>
    <row r="979" spans="1:10">
      <c r="A979">
        <v>978</v>
      </c>
      <c r="B979" s="1">
        <v>45319</v>
      </c>
      <c r="C979" t="s">
        <v>10</v>
      </c>
      <c r="D979">
        <v>699</v>
      </c>
      <c r="E979">
        <v>0.9</v>
      </c>
      <c r="F979">
        <v>0</v>
      </c>
      <c r="G979">
        <v>3</v>
      </c>
      <c r="H979">
        <v>35</v>
      </c>
      <c r="I979">
        <v>56</v>
      </c>
      <c r="J979" t="s">
        <v>13</v>
      </c>
    </row>
    <row r="980" spans="1:10">
      <c r="A980">
        <v>979</v>
      </c>
      <c r="B980" s="1">
        <v>45497</v>
      </c>
      <c r="C980" t="s">
        <v>14</v>
      </c>
      <c r="D980">
        <v>399</v>
      </c>
      <c r="E980">
        <v>21.4</v>
      </c>
      <c r="F980">
        <v>7</v>
      </c>
      <c r="G980">
        <v>3</v>
      </c>
      <c r="H980">
        <v>21</v>
      </c>
      <c r="I980">
        <v>2</v>
      </c>
      <c r="J980" t="s">
        <v>11</v>
      </c>
    </row>
    <row r="981" spans="1:10">
      <c r="A981">
        <v>980</v>
      </c>
      <c r="B981" s="1">
        <v>45325</v>
      </c>
      <c r="C981" t="s">
        <v>10</v>
      </c>
      <c r="D981">
        <v>699</v>
      </c>
      <c r="E981">
        <v>22.2</v>
      </c>
      <c r="F981">
        <v>2</v>
      </c>
      <c r="G981">
        <v>3</v>
      </c>
      <c r="H981">
        <v>20</v>
      </c>
      <c r="I981">
        <v>27</v>
      </c>
      <c r="J981" t="s">
        <v>11</v>
      </c>
    </row>
    <row r="982" spans="1:10">
      <c r="A982">
        <v>981</v>
      </c>
      <c r="B982" s="1">
        <v>45512</v>
      </c>
      <c r="C982" t="s">
        <v>14</v>
      </c>
      <c r="D982">
        <v>399</v>
      </c>
      <c r="E982">
        <v>14.4</v>
      </c>
      <c r="F982">
        <v>7</v>
      </c>
      <c r="G982">
        <v>5</v>
      </c>
      <c r="H982">
        <v>8</v>
      </c>
      <c r="I982">
        <v>35</v>
      </c>
      <c r="J982" t="s">
        <v>11</v>
      </c>
    </row>
    <row r="983" spans="1:10">
      <c r="A983">
        <v>982</v>
      </c>
      <c r="B983" s="1">
        <v>45433</v>
      </c>
      <c r="C983" t="s">
        <v>14</v>
      </c>
      <c r="D983">
        <v>399</v>
      </c>
      <c r="E983">
        <v>14.3</v>
      </c>
      <c r="F983">
        <v>2</v>
      </c>
      <c r="G983">
        <v>4</v>
      </c>
      <c r="H983">
        <v>31</v>
      </c>
      <c r="I983">
        <v>3</v>
      </c>
      <c r="J983" t="s">
        <v>13</v>
      </c>
    </row>
    <row r="984" spans="1:10">
      <c r="A984">
        <v>983</v>
      </c>
      <c r="B984" s="1">
        <v>45531</v>
      </c>
      <c r="C984" t="s">
        <v>10</v>
      </c>
      <c r="D984">
        <v>699</v>
      </c>
      <c r="E984">
        <v>15.6</v>
      </c>
      <c r="F984">
        <v>5</v>
      </c>
      <c r="G984">
        <v>2</v>
      </c>
      <c r="H984">
        <v>25</v>
      </c>
      <c r="I984">
        <v>20</v>
      </c>
      <c r="J984" t="s">
        <v>11</v>
      </c>
    </row>
    <row r="985" spans="1:10">
      <c r="A985">
        <v>984</v>
      </c>
      <c r="B985" s="1">
        <v>45567</v>
      </c>
      <c r="C985" t="s">
        <v>12</v>
      </c>
      <c r="D985">
        <v>199</v>
      </c>
      <c r="E985">
        <v>21</v>
      </c>
      <c r="F985">
        <v>5</v>
      </c>
      <c r="G985">
        <v>5</v>
      </c>
      <c r="H985">
        <v>9</v>
      </c>
      <c r="I985">
        <v>37</v>
      </c>
      <c r="J985" t="s">
        <v>11</v>
      </c>
    </row>
    <row r="986" spans="1:10">
      <c r="A986">
        <v>985</v>
      </c>
      <c r="B986" s="1">
        <v>45604</v>
      </c>
      <c r="C986" t="s">
        <v>14</v>
      </c>
      <c r="D986">
        <v>399</v>
      </c>
      <c r="E986">
        <v>2.9</v>
      </c>
      <c r="F986">
        <v>5</v>
      </c>
      <c r="G986">
        <v>2</v>
      </c>
      <c r="H986">
        <v>25</v>
      </c>
      <c r="I986">
        <v>26</v>
      </c>
      <c r="J986" t="s">
        <v>11</v>
      </c>
    </row>
    <row r="987" spans="1:10">
      <c r="A987">
        <v>986</v>
      </c>
      <c r="B987" s="1">
        <v>44994</v>
      </c>
      <c r="C987" t="s">
        <v>12</v>
      </c>
      <c r="D987">
        <v>199</v>
      </c>
      <c r="E987">
        <v>6.2</v>
      </c>
      <c r="F987">
        <v>4</v>
      </c>
      <c r="G987">
        <v>4</v>
      </c>
      <c r="H987">
        <v>16</v>
      </c>
      <c r="I987">
        <v>5</v>
      </c>
      <c r="J987" t="s">
        <v>13</v>
      </c>
    </row>
    <row r="988" spans="1:10">
      <c r="A988">
        <v>987</v>
      </c>
      <c r="B988" s="1">
        <v>45600</v>
      </c>
      <c r="C988" t="s">
        <v>14</v>
      </c>
      <c r="D988">
        <v>399</v>
      </c>
      <c r="E988">
        <v>8.8000000000000007</v>
      </c>
      <c r="F988">
        <v>0</v>
      </c>
      <c r="G988">
        <v>4</v>
      </c>
      <c r="H988">
        <v>8</v>
      </c>
      <c r="I988">
        <v>20</v>
      </c>
      <c r="J988" t="s">
        <v>11</v>
      </c>
    </row>
    <row r="989" spans="1:10">
      <c r="A989">
        <v>988</v>
      </c>
      <c r="B989" s="1">
        <v>44949</v>
      </c>
      <c r="C989" t="s">
        <v>14</v>
      </c>
      <c r="D989">
        <v>399</v>
      </c>
      <c r="E989">
        <v>22.6</v>
      </c>
      <c r="F989">
        <v>4</v>
      </c>
      <c r="G989">
        <v>0</v>
      </c>
      <c r="H989">
        <v>33</v>
      </c>
      <c r="I989">
        <v>44</v>
      </c>
      <c r="J989" t="s">
        <v>11</v>
      </c>
    </row>
    <row r="990" spans="1:10">
      <c r="A990">
        <v>989</v>
      </c>
      <c r="B990" s="1">
        <v>45029</v>
      </c>
      <c r="C990" t="s">
        <v>14</v>
      </c>
      <c r="D990">
        <v>399</v>
      </c>
      <c r="E990">
        <v>14.5</v>
      </c>
      <c r="F990">
        <v>5</v>
      </c>
      <c r="G990">
        <v>4</v>
      </c>
      <c r="H990">
        <v>25</v>
      </c>
      <c r="I990">
        <v>6</v>
      </c>
      <c r="J990" t="s">
        <v>13</v>
      </c>
    </row>
    <row r="991" spans="1:10">
      <c r="A991">
        <v>990</v>
      </c>
      <c r="B991" s="1">
        <v>45233</v>
      </c>
      <c r="C991" t="s">
        <v>10</v>
      </c>
      <c r="D991">
        <v>699</v>
      </c>
      <c r="E991">
        <v>8.6999999999999993</v>
      </c>
      <c r="F991">
        <v>8</v>
      </c>
      <c r="G991">
        <v>5</v>
      </c>
      <c r="H991">
        <v>14</v>
      </c>
      <c r="I991">
        <v>21</v>
      </c>
      <c r="J991" t="s">
        <v>11</v>
      </c>
    </row>
    <row r="992" spans="1:10">
      <c r="A992">
        <v>991</v>
      </c>
      <c r="B992" s="1">
        <v>44975</v>
      </c>
      <c r="C992" t="s">
        <v>14</v>
      </c>
      <c r="D992">
        <v>399</v>
      </c>
      <c r="E992">
        <v>5.4</v>
      </c>
      <c r="F992">
        <v>1</v>
      </c>
      <c r="G992">
        <v>4</v>
      </c>
      <c r="H992">
        <v>28</v>
      </c>
      <c r="I992">
        <v>13</v>
      </c>
      <c r="J992" t="s">
        <v>11</v>
      </c>
    </row>
    <row r="993" spans="1:10">
      <c r="A993">
        <v>992</v>
      </c>
      <c r="B993" s="1">
        <v>45533</v>
      </c>
      <c r="C993" t="s">
        <v>14</v>
      </c>
      <c r="D993">
        <v>399</v>
      </c>
      <c r="E993">
        <v>20.2</v>
      </c>
      <c r="F993">
        <v>1</v>
      </c>
      <c r="G993">
        <v>5</v>
      </c>
      <c r="H993">
        <v>26</v>
      </c>
      <c r="I993">
        <v>54</v>
      </c>
      <c r="J993" t="s">
        <v>11</v>
      </c>
    </row>
    <row r="994" spans="1:10">
      <c r="A994">
        <v>993</v>
      </c>
      <c r="B994" s="1">
        <v>45005</v>
      </c>
      <c r="C994" t="s">
        <v>14</v>
      </c>
      <c r="D994">
        <v>399</v>
      </c>
      <c r="E994">
        <v>2.1</v>
      </c>
      <c r="F994">
        <v>8</v>
      </c>
      <c r="G994">
        <v>3</v>
      </c>
      <c r="H994">
        <v>18</v>
      </c>
      <c r="I994">
        <v>27</v>
      </c>
      <c r="J994" t="s">
        <v>11</v>
      </c>
    </row>
    <row r="995" spans="1:10">
      <c r="A995">
        <v>994</v>
      </c>
      <c r="B995" s="1">
        <v>45131</v>
      </c>
      <c r="C995" t="s">
        <v>10</v>
      </c>
      <c r="D995">
        <v>699</v>
      </c>
      <c r="E995">
        <v>12.9</v>
      </c>
      <c r="F995">
        <v>4</v>
      </c>
      <c r="G995">
        <v>3</v>
      </c>
      <c r="H995">
        <v>20</v>
      </c>
      <c r="I995">
        <v>42</v>
      </c>
      <c r="J995" t="s">
        <v>11</v>
      </c>
    </row>
    <row r="996" spans="1:10">
      <c r="A996">
        <v>995</v>
      </c>
      <c r="B996" s="1">
        <v>45111</v>
      </c>
      <c r="C996" t="s">
        <v>14</v>
      </c>
      <c r="D996">
        <v>399</v>
      </c>
      <c r="E996">
        <v>6.7</v>
      </c>
      <c r="F996">
        <v>8</v>
      </c>
      <c r="G996">
        <v>3</v>
      </c>
      <c r="H996">
        <v>26</v>
      </c>
      <c r="I996">
        <v>42</v>
      </c>
      <c r="J996" t="s">
        <v>13</v>
      </c>
    </row>
    <row r="997" spans="1:10">
      <c r="A997">
        <v>996</v>
      </c>
      <c r="B997" s="1">
        <v>45405</v>
      </c>
      <c r="C997" t="s">
        <v>12</v>
      </c>
      <c r="D997">
        <v>199</v>
      </c>
      <c r="E997">
        <v>21.6</v>
      </c>
      <c r="F997">
        <v>7</v>
      </c>
      <c r="G997">
        <v>1</v>
      </c>
      <c r="H997">
        <v>34</v>
      </c>
      <c r="I997">
        <v>42</v>
      </c>
      <c r="J997" t="s">
        <v>13</v>
      </c>
    </row>
    <row r="998" spans="1:10">
      <c r="A998">
        <v>997</v>
      </c>
      <c r="B998" s="1">
        <v>45461</v>
      </c>
      <c r="C998" t="s">
        <v>14</v>
      </c>
      <c r="D998">
        <v>399</v>
      </c>
      <c r="E998">
        <v>20.3</v>
      </c>
      <c r="F998">
        <v>6</v>
      </c>
      <c r="G998">
        <v>4</v>
      </c>
      <c r="H998">
        <v>35</v>
      </c>
      <c r="I998">
        <v>46</v>
      </c>
      <c r="J998" t="s">
        <v>11</v>
      </c>
    </row>
    <row r="999" spans="1:10">
      <c r="A999">
        <v>998</v>
      </c>
      <c r="B999" s="1">
        <v>45234</v>
      </c>
      <c r="C999" t="s">
        <v>12</v>
      </c>
      <c r="D999">
        <v>199</v>
      </c>
      <c r="E999">
        <v>11.8</v>
      </c>
      <c r="F999">
        <v>3</v>
      </c>
      <c r="G999">
        <v>1</v>
      </c>
      <c r="H999">
        <v>24</v>
      </c>
      <c r="I999">
        <v>47</v>
      </c>
      <c r="J999" t="s">
        <v>13</v>
      </c>
    </row>
    <row r="1000" spans="1:10">
      <c r="A1000">
        <v>999</v>
      </c>
      <c r="B1000" s="1">
        <v>45200</v>
      </c>
      <c r="C1000" t="s">
        <v>14</v>
      </c>
      <c r="D1000">
        <v>399</v>
      </c>
      <c r="E1000">
        <v>8.3000000000000007</v>
      </c>
      <c r="F1000">
        <v>1</v>
      </c>
      <c r="G1000">
        <v>5</v>
      </c>
      <c r="H1000">
        <v>27</v>
      </c>
      <c r="I1000">
        <v>13</v>
      </c>
      <c r="J1000" t="s">
        <v>13</v>
      </c>
    </row>
    <row r="1001" spans="1:10">
      <c r="A1001">
        <v>1000</v>
      </c>
      <c r="B1001" s="1">
        <v>45123</v>
      </c>
      <c r="C1001" t="s">
        <v>14</v>
      </c>
      <c r="D1001">
        <v>399</v>
      </c>
      <c r="E1001">
        <v>6.8</v>
      </c>
      <c r="F1001">
        <v>3</v>
      </c>
      <c r="G1001">
        <v>3</v>
      </c>
      <c r="H1001">
        <v>11</v>
      </c>
      <c r="I1001">
        <v>15</v>
      </c>
      <c r="J1001" t="s">
        <v>11</v>
      </c>
    </row>
    <row r="1002" spans="1:10">
      <c r="A1002">
        <v>1001</v>
      </c>
      <c r="B1002" s="1">
        <v>45373</v>
      </c>
      <c r="C1002" t="s">
        <v>12</v>
      </c>
      <c r="D1002">
        <v>199</v>
      </c>
      <c r="E1002">
        <v>20</v>
      </c>
      <c r="F1002">
        <v>4</v>
      </c>
      <c r="G1002">
        <v>3</v>
      </c>
      <c r="H1002">
        <v>16</v>
      </c>
      <c r="I1002">
        <v>31</v>
      </c>
      <c r="J1002" t="s">
        <v>11</v>
      </c>
    </row>
    <row r="1003" spans="1:10">
      <c r="A1003">
        <v>1002</v>
      </c>
      <c r="B1003" s="1">
        <v>45211</v>
      </c>
      <c r="C1003" t="s">
        <v>14</v>
      </c>
      <c r="D1003">
        <v>399</v>
      </c>
      <c r="E1003">
        <v>5.4</v>
      </c>
      <c r="F1003">
        <v>4</v>
      </c>
      <c r="G1003">
        <v>1</v>
      </c>
      <c r="H1003">
        <v>3</v>
      </c>
      <c r="I1003">
        <v>1</v>
      </c>
      <c r="J1003" t="s">
        <v>13</v>
      </c>
    </row>
    <row r="1004" spans="1:10">
      <c r="A1004">
        <v>1003</v>
      </c>
      <c r="B1004" s="1">
        <v>44983</v>
      </c>
      <c r="C1004" t="s">
        <v>10</v>
      </c>
      <c r="D1004">
        <v>699</v>
      </c>
      <c r="E1004">
        <v>4.8</v>
      </c>
      <c r="F1004">
        <v>0</v>
      </c>
      <c r="G1004">
        <v>5</v>
      </c>
      <c r="H1004">
        <v>36</v>
      </c>
      <c r="I1004">
        <v>31</v>
      </c>
      <c r="J1004" t="s">
        <v>11</v>
      </c>
    </row>
    <row r="1005" spans="1:10">
      <c r="A1005">
        <v>1004</v>
      </c>
      <c r="B1005" s="1">
        <v>45600</v>
      </c>
      <c r="C1005" t="s">
        <v>12</v>
      </c>
      <c r="D1005">
        <v>199</v>
      </c>
      <c r="E1005">
        <v>15.2</v>
      </c>
      <c r="F1005">
        <v>1</v>
      </c>
      <c r="G1005">
        <v>3</v>
      </c>
      <c r="H1005">
        <v>21</v>
      </c>
      <c r="I1005">
        <v>57</v>
      </c>
      <c r="J1005" t="s">
        <v>11</v>
      </c>
    </row>
    <row r="1006" spans="1:10">
      <c r="A1006">
        <v>1005</v>
      </c>
      <c r="B1006" s="1">
        <v>45439</v>
      </c>
      <c r="C1006" t="s">
        <v>12</v>
      </c>
      <c r="D1006">
        <v>199</v>
      </c>
      <c r="E1006">
        <v>23.6</v>
      </c>
      <c r="F1006">
        <v>2</v>
      </c>
      <c r="G1006">
        <v>1</v>
      </c>
      <c r="H1006">
        <v>26</v>
      </c>
      <c r="I1006">
        <v>7</v>
      </c>
      <c r="J1006" t="s">
        <v>13</v>
      </c>
    </row>
    <row r="1007" spans="1:10">
      <c r="A1007">
        <v>1006</v>
      </c>
      <c r="B1007" s="1">
        <v>45170</v>
      </c>
      <c r="C1007" t="s">
        <v>12</v>
      </c>
      <c r="D1007">
        <v>199</v>
      </c>
      <c r="E1007">
        <v>16.8</v>
      </c>
      <c r="F1007">
        <v>8</v>
      </c>
      <c r="G1007">
        <v>2</v>
      </c>
      <c r="H1007">
        <v>34</v>
      </c>
      <c r="I1007">
        <v>31</v>
      </c>
      <c r="J1007" t="s">
        <v>13</v>
      </c>
    </row>
    <row r="1008" spans="1:10">
      <c r="A1008">
        <v>1007</v>
      </c>
      <c r="B1008" s="1">
        <v>45326</v>
      </c>
      <c r="C1008" t="s">
        <v>10</v>
      </c>
      <c r="D1008">
        <v>699</v>
      </c>
      <c r="E1008">
        <v>19.399999999999999</v>
      </c>
      <c r="F1008">
        <v>5</v>
      </c>
      <c r="G1008">
        <v>2</v>
      </c>
      <c r="H1008">
        <v>8</v>
      </c>
      <c r="I1008">
        <v>53</v>
      </c>
      <c r="J1008" t="s">
        <v>11</v>
      </c>
    </row>
    <row r="1009" spans="1:10">
      <c r="A1009">
        <v>1008</v>
      </c>
      <c r="B1009" s="1">
        <v>45208</v>
      </c>
      <c r="C1009" t="s">
        <v>10</v>
      </c>
      <c r="D1009">
        <v>699</v>
      </c>
      <c r="E1009">
        <v>23.4</v>
      </c>
      <c r="F1009">
        <v>3</v>
      </c>
      <c r="G1009">
        <v>1</v>
      </c>
      <c r="H1009">
        <v>16</v>
      </c>
      <c r="I1009">
        <v>6</v>
      </c>
      <c r="J1009" t="s">
        <v>13</v>
      </c>
    </row>
    <row r="1010" spans="1:10">
      <c r="A1010">
        <v>1009</v>
      </c>
      <c r="B1010" s="1">
        <v>45042</v>
      </c>
      <c r="C1010" t="s">
        <v>14</v>
      </c>
      <c r="D1010">
        <v>399</v>
      </c>
      <c r="E1010">
        <v>6.7</v>
      </c>
      <c r="F1010">
        <v>0</v>
      </c>
      <c r="G1010">
        <v>3</v>
      </c>
      <c r="H1010">
        <v>27</v>
      </c>
      <c r="I1010">
        <v>34</v>
      </c>
      <c r="J1010" t="s">
        <v>11</v>
      </c>
    </row>
    <row r="1011" spans="1:10">
      <c r="A1011">
        <v>1010</v>
      </c>
      <c r="B1011" s="1">
        <v>45075</v>
      </c>
      <c r="C1011" t="s">
        <v>14</v>
      </c>
      <c r="D1011">
        <v>399</v>
      </c>
      <c r="E1011">
        <v>10.9</v>
      </c>
      <c r="F1011">
        <v>3</v>
      </c>
      <c r="G1011">
        <v>2</v>
      </c>
      <c r="H1011">
        <v>35</v>
      </c>
      <c r="I1011">
        <v>56</v>
      </c>
      <c r="J1011" t="s">
        <v>13</v>
      </c>
    </row>
    <row r="1012" spans="1:10">
      <c r="A1012">
        <v>1011</v>
      </c>
      <c r="B1012" s="1">
        <v>45547</v>
      </c>
      <c r="C1012" t="s">
        <v>14</v>
      </c>
      <c r="D1012">
        <v>399</v>
      </c>
      <c r="E1012">
        <v>18</v>
      </c>
      <c r="F1012">
        <v>4</v>
      </c>
      <c r="G1012">
        <v>0</v>
      </c>
      <c r="H1012">
        <v>31</v>
      </c>
      <c r="I1012">
        <v>41</v>
      </c>
      <c r="J1012" t="s">
        <v>13</v>
      </c>
    </row>
    <row r="1013" spans="1:10">
      <c r="A1013">
        <v>1012</v>
      </c>
      <c r="B1013" s="1">
        <v>45581</v>
      </c>
      <c r="C1013" t="s">
        <v>12</v>
      </c>
      <c r="D1013">
        <v>199</v>
      </c>
      <c r="E1013">
        <v>17.399999999999999</v>
      </c>
      <c r="F1013">
        <v>3</v>
      </c>
      <c r="G1013">
        <v>2</v>
      </c>
      <c r="H1013">
        <v>4</v>
      </c>
      <c r="I1013">
        <v>35</v>
      </c>
      <c r="J1013" t="s">
        <v>11</v>
      </c>
    </row>
    <row r="1014" spans="1:10">
      <c r="A1014">
        <v>1013</v>
      </c>
      <c r="B1014" s="1">
        <v>45380</v>
      </c>
      <c r="C1014" t="s">
        <v>10</v>
      </c>
      <c r="D1014">
        <v>699</v>
      </c>
      <c r="E1014">
        <v>22.6</v>
      </c>
      <c r="F1014">
        <v>1</v>
      </c>
      <c r="G1014">
        <v>4</v>
      </c>
      <c r="H1014">
        <v>24</v>
      </c>
      <c r="I1014">
        <v>55</v>
      </c>
      <c r="J1014" t="s">
        <v>11</v>
      </c>
    </row>
    <row r="1015" spans="1:10">
      <c r="A1015">
        <v>1014</v>
      </c>
      <c r="B1015" s="1">
        <v>45168</v>
      </c>
      <c r="C1015" t="s">
        <v>14</v>
      </c>
      <c r="D1015">
        <v>399</v>
      </c>
      <c r="E1015">
        <v>22.8</v>
      </c>
      <c r="F1015">
        <v>6</v>
      </c>
      <c r="G1015">
        <v>2</v>
      </c>
      <c r="H1015">
        <v>1</v>
      </c>
      <c r="I1015">
        <v>19</v>
      </c>
      <c r="J1015" t="s">
        <v>11</v>
      </c>
    </row>
    <row r="1016" spans="1:10">
      <c r="A1016">
        <v>1015</v>
      </c>
      <c r="B1016" s="1">
        <v>45586</v>
      </c>
      <c r="C1016" t="s">
        <v>14</v>
      </c>
      <c r="D1016">
        <v>399</v>
      </c>
      <c r="E1016">
        <v>21.6</v>
      </c>
      <c r="F1016">
        <v>2</v>
      </c>
      <c r="G1016">
        <v>3</v>
      </c>
      <c r="H1016">
        <v>14</v>
      </c>
      <c r="I1016">
        <v>40</v>
      </c>
      <c r="J1016" t="s">
        <v>11</v>
      </c>
    </row>
    <row r="1017" spans="1:10">
      <c r="A1017">
        <v>1016</v>
      </c>
      <c r="B1017" s="1">
        <v>45267</v>
      </c>
      <c r="C1017" t="s">
        <v>14</v>
      </c>
      <c r="D1017">
        <v>399</v>
      </c>
      <c r="E1017">
        <v>7.2</v>
      </c>
      <c r="F1017">
        <v>1</v>
      </c>
      <c r="G1017">
        <v>3</v>
      </c>
      <c r="H1017">
        <v>3</v>
      </c>
      <c r="I1017">
        <v>30</v>
      </c>
      <c r="J1017" t="s">
        <v>13</v>
      </c>
    </row>
    <row r="1018" spans="1:10">
      <c r="A1018">
        <v>1017</v>
      </c>
      <c r="B1018" s="1">
        <v>44994</v>
      </c>
      <c r="C1018" t="s">
        <v>10</v>
      </c>
      <c r="D1018">
        <v>699</v>
      </c>
      <c r="E1018">
        <v>22</v>
      </c>
      <c r="F1018">
        <v>1</v>
      </c>
      <c r="G1018">
        <v>1</v>
      </c>
      <c r="H1018">
        <v>28</v>
      </c>
      <c r="I1018">
        <v>44</v>
      </c>
      <c r="J1018" t="s">
        <v>11</v>
      </c>
    </row>
    <row r="1019" spans="1:10">
      <c r="A1019">
        <v>1018</v>
      </c>
      <c r="B1019" s="1">
        <v>44955</v>
      </c>
      <c r="C1019" t="s">
        <v>14</v>
      </c>
      <c r="D1019">
        <v>399</v>
      </c>
      <c r="E1019">
        <v>15.3</v>
      </c>
      <c r="F1019">
        <v>8</v>
      </c>
      <c r="G1019">
        <v>5</v>
      </c>
      <c r="H1019">
        <v>27</v>
      </c>
      <c r="I1019">
        <v>20</v>
      </c>
      <c r="J1019" t="s">
        <v>11</v>
      </c>
    </row>
    <row r="1020" spans="1:10">
      <c r="A1020">
        <v>1019</v>
      </c>
      <c r="B1020" s="1">
        <v>45239</v>
      </c>
      <c r="C1020" t="s">
        <v>12</v>
      </c>
      <c r="D1020">
        <v>199</v>
      </c>
      <c r="E1020">
        <v>15.9</v>
      </c>
      <c r="F1020">
        <v>2</v>
      </c>
      <c r="G1020">
        <v>0</v>
      </c>
      <c r="H1020">
        <v>12</v>
      </c>
      <c r="I1020">
        <v>25</v>
      </c>
      <c r="J1020" t="s">
        <v>11</v>
      </c>
    </row>
    <row r="1021" spans="1:10">
      <c r="A1021">
        <v>1020</v>
      </c>
      <c r="B1021" s="1">
        <v>45591</v>
      </c>
      <c r="C1021" t="s">
        <v>14</v>
      </c>
      <c r="D1021">
        <v>399</v>
      </c>
      <c r="E1021">
        <v>3.2</v>
      </c>
      <c r="F1021">
        <v>3</v>
      </c>
      <c r="G1021">
        <v>4</v>
      </c>
      <c r="H1021">
        <v>6</v>
      </c>
      <c r="I1021">
        <v>45</v>
      </c>
      <c r="J1021" t="s">
        <v>13</v>
      </c>
    </row>
    <row r="1022" spans="1:10">
      <c r="A1022">
        <v>1021</v>
      </c>
      <c r="B1022" s="1">
        <v>45063</v>
      </c>
      <c r="C1022" t="s">
        <v>12</v>
      </c>
      <c r="D1022">
        <v>199</v>
      </c>
      <c r="E1022">
        <v>19.899999999999999</v>
      </c>
      <c r="F1022">
        <v>5</v>
      </c>
      <c r="G1022">
        <v>3</v>
      </c>
      <c r="H1022">
        <v>27</v>
      </c>
      <c r="I1022">
        <v>30</v>
      </c>
      <c r="J1022" t="s">
        <v>13</v>
      </c>
    </row>
    <row r="1023" spans="1:10">
      <c r="A1023">
        <v>1022</v>
      </c>
      <c r="B1023" s="1">
        <v>45303</v>
      </c>
      <c r="C1023" t="s">
        <v>14</v>
      </c>
      <c r="D1023">
        <v>399</v>
      </c>
      <c r="E1023">
        <v>17.3</v>
      </c>
      <c r="F1023">
        <v>5</v>
      </c>
      <c r="G1023">
        <v>2</v>
      </c>
      <c r="H1023">
        <v>12</v>
      </c>
      <c r="I1023">
        <v>12</v>
      </c>
      <c r="J1023" t="s">
        <v>11</v>
      </c>
    </row>
    <row r="1024" spans="1:10">
      <c r="A1024">
        <v>1023</v>
      </c>
      <c r="B1024" s="1">
        <v>45498</v>
      </c>
      <c r="C1024" t="s">
        <v>12</v>
      </c>
      <c r="D1024">
        <v>199</v>
      </c>
      <c r="E1024">
        <v>22</v>
      </c>
      <c r="F1024">
        <v>3</v>
      </c>
      <c r="G1024">
        <v>0</v>
      </c>
      <c r="H1024">
        <v>26</v>
      </c>
      <c r="I1024">
        <v>60</v>
      </c>
      <c r="J1024" t="s">
        <v>11</v>
      </c>
    </row>
    <row r="1025" spans="1:10">
      <c r="A1025">
        <v>1024</v>
      </c>
      <c r="B1025" s="1">
        <v>45099</v>
      </c>
      <c r="C1025" t="s">
        <v>10</v>
      </c>
      <c r="D1025">
        <v>699</v>
      </c>
      <c r="E1025">
        <v>22.7</v>
      </c>
      <c r="F1025">
        <v>7</v>
      </c>
      <c r="G1025">
        <v>1</v>
      </c>
      <c r="H1025">
        <v>15</v>
      </c>
      <c r="I1025">
        <v>16</v>
      </c>
      <c r="J1025" t="s">
        <v>13</v>
      </c>
    </row>
    <row r="1026" spans="1:10">
      <c r="A1026">
        <v>1025</v>
      </c>
      <c r="B1026" s="1">
        <v>45101</v>
      </c>
      <c r="C1026" t="s">
        <v>12</v>
      </c>
      <c r="D1026">
        <v>199</v>
      </c>
      <c r="E1026">
        <v>15.6</v>
      </c>
      <c r="F1026">
        <v>4</v>
      </c>
      <c r="G1026">
        <v>1</v>
      </c>
      <c r="H1026">
        <v>26</v>
      </c>
      <c r="I1026">
        <v>5</v>
      </c>
      <c r="J1026" t="s">
        <v>13</v>
      </c>
    </row>
    <row r="1027" spans="1:10">
      <c r="A1027">
        <v>1026</v>
      </c>
      <c r="B1027" s="1">
        <v>45391</v>
      </c>
      <c r="C1027" t="s">
        <v>10</v>
      </c>
      <c r="D1027">
        <v>699</v>
      </c>
      <c r="E1027">
        <v>0.8</v>
      </c>
      <c r="F1027">
        <v>8</v>
      </c>
      <c r="G1027">
        <v>3</v>
      </c>
      <c r="H1027">
        <v>8</v>
      </c>
      <c r="I1027">
        <v>49</v>
      </c>
      <c r="J1027" t="s">
        <v>11</v>
      </c>
    </row>
    <row r="1028" spans="1:10">
      <c r="A1028">
        <v>1027</v>
      </c>
      <c r="B1028" s="1">
        <v>45199</v>
      </c>
      <c r="C1028" t="s">
        <v>10</v>
      </c>
      <c r="D1028">
        <v>699</v>
      </c>
      <c r="E1028">
        <v>3.4</v>
      </c>
      <c r="F1028">
        <v>3</v>
      </c>
      <c r="G1028">
        <v>1</v>
      </c>
      <c r="H1028">
        <v>32</v>
      </c>
      <c r="I1028">
        <v>60</v>
      </c>
      <c r="J1028" t="s">
        <v>13</v>
      </c>
    </row>
    <row r="1029" spans="1:10">
      <c r="A1029">
        <v>1028</v>
      </c>
      <c r="B1029" s="1">
        <v>45216</v>
      </c>
      <c r="C1029" t="s">
        <v>14</v>
      </c>
      <c r="D1029">
        <v>399</v>
      </c>
      <c r="E1029">
        <v>9.9</v>
      </c>
      <c r="F1029">
        <v>6</v>
      </c>
      <c r="G1029">
        <v>1</v>
      </c>
      <c r="H1029">
        <v>32</v>
      </c>
      <c r="I1029">
        <v>38</v>
      </c>
      <c r="J1029" t="s">
        <v>11</v>
      </c>
    </row>
    <row r="1030" spans="1:10">
      <c r="A1030">
        <v>1029</v>
      </c>
      <c r="B1030" s="1">
        <v>45195</v>
      </c>
      <c r="C1030" t="s">
        <v>10</v>
      </c>
      <c r="D1030">
        <v>699</v>
      </c>
      <c r="E1030">
        <v>10.7</v>
      </c>
      <c r="F1030">
        <v>6</v>
      </c>
      <c r="G1030">
        <v>1</v>
      </c>
      <c r="H1030">
        <v>13</v>
      </c>
      <c r="I1030">
        <v>1</v>
      </c>
      <c r="J1030" t="s">
        <v>13</v>
      </c>
    </row>
    <row r="1031" spans="1:10">
      <c r="A1031">
        <v>1030</v>
      </c>
      <c r="B1031" s="1">
        <v>45014</v>
      </c>
      <c r="C1031" t="s">
        <v>12</v>
      </c>
      <c r="D1031">
        <v>199</v>
      </c>
      <c r="E1031">
        <v>22.7</v>
      </c>
      <c r="F1031">
        <v>5</v>
      </c>
      <c r="G1031">
        <v>4</v>
      </c>
      <c r="H1031">
        <v>29</v>
      </c>
      <c r="I1031">
        <v>43</v>
      </c>
      <c r="J1031" t="s">
        <v>11</v>
      </c>
    </row>
    <row r="1032" spans="1:10">
      <c r="A1032">
        <v>1031</v>
      </c>
      <c r="B1032" s="1">
        <v>45657</v>
      </c>
      <c r="C1032" t="s">
        <v>12</v>
      </c>
      <c r="D1032">
        <v>199</v>
      </c>
      <c r="E1032">
        <v>3.8</v>
      </c>
      <c r="F1032">
        <v>5</v>
      </c>
      <c r="G1032">
        <v>5</v>
      </c>
      <c r="H1032">
        <v>31</v>
      </c>
      <c r="I1032">
        <v>25</v>
      </c>
      <c r="J1032" t="s">
        <v>11</v>
      </c>
    </row>
    <row r="1033" spans="1:10">
      <c r="A1033">
        <v>1032</v>
      </c>
      <c r="B1033" s="1">
        <v>44980</v>
      </c>
      <c r="C1033" t="s">
        <v>14</v>
      </c>
      <c r="D1033">
        <v>399</v>
      </c>
      <c r="E1033">
        <v>18.5</v>
      </c>
      <c r="F1033">
        <v>4</v>
      </c>
      <c r="G1033">
        <v>0</v>
      </c>
      <c r="H1033">
        <v>28</v>
      </c>
      <c r="I1033">
        <v>6</v>
      </c>
      <c r="J1033" t="s">
        <v>13</v>
      </c>
    </row>
    <row r="1034" spans="1:10">
      <c r="A1034">
        <v>1033</v>
      </c>
      <c r="B1034" s="1">
        <v>45539</v>
      </c>
      <c r="C1034" t="s">
        <v>14</v>
      </c>
      <c r="D1034">
        <v>399</v>
      </c>
      <c r="E1034">
        <v>12</v>
      </c>
      <c r="F1034">
        <v>5</v>
      </c>
      <c r="G1034">
        <v>4</v>
      </c>
      <c r="H1034">
        <v>16</v>
      </c>
      <c r="I1034">
        <v>60</v>
      </c>
      <c r="J1034" t="s">
        <v>11</v>
      </c>
    </row>
    <row r="1035" spans="1:10">
      <c r="A1035">
        <v>1034</v>
      </c>
      <c r="B1035" s="1">
        <v>45331</v>
      </c>
      <c r="C1035" t="s">
        <v>10</v>
      </c>
      <c r="D1035">
        <v>699</v>
      </c>
      <c r="E1035">
        <v>0.6</v>
      </c>
      <c r="F1035">
        <v>8</v>
      </c>
      <c r="G1035">
        <v>4</v>
      </c>
      <c r="H1035">
        <v>3</v>
      </c>
      <c r="I1035">
        <v>24</v>
      </c>
      <c r="J1035" t="s">
        <v>11</v>
      </c>
    </row>
    <row r="1036" spans="1:10">
      <c r="A1036">
        <v>1035</v>
      </c>
      <c r="B1036" s="1">
        <v>45100</v>
      </c>
      <c r="C1036" t="s">
        <v>10</v>
      </c>
      <c r="D1036">
        <v>699</v>
      </c>
      <c r="E1036">
        <v>3.7</v>
      </c>
      <c r="F1036">
        <v>8</v>
      </c>
      <c r="G1036">
        <v>0</v>
      </c>
      <c r="H1036">
        <v>24</v>
      </c>
      <c r="I1036">
        <v>37</v>
      </c>
      <c r="J1036" t="s">
        <v>11</v>
      </c>
    </row>
    <row r="1037" spans="1:10">
      <c r="A1037">
        <v>1036</v>
      </c>
      <c r="B1037" s="1">
        <v>45470</v>
      </c>
      <c r="C1037" t="s">
        <v>10</v>
      </c>
      <c r="D1037">
        <v>699</v>
      </c>
      <c r="E1037">
        <v>23.3</v>
      </c>
      <c r="F1037">
        <v>7</v>
      </c>
      <c r="G1037">
        <v>1</v>
      </c>
      <c r="H1037">
        <v>32</v>
      </c>
      <c r="I1037">
        <v>5</v>
      </c>
      <c r="J1037" t="s">
        <v>13</v>
      </c>
    </row>
    <row r="1038" spans="1:10">
      <c r="A1038">
        <v>1037</v>
      </c>
      <c r="B1038" s="1">
        <v>45214</v>
      </c>
      <c r="C1038" t="s">
        <v>14</v>
      </c>
      <c r="D1038">
        <v>399</v>
      </c>
      <c r="E1038">
        <v>6.9</v>
      </c>
      <c r="F1038">
        <v>5</v>
      </c>
      <c r="G1038">
        <v>0</v>
      </c>
      <c r="H1038">
        <v>10</v>
      </c>
      <c r="I1038">
        <v>8</v>
      </c>
      <c r="J1038" t="s">
        <v>13</v>
      </c>
    </row>
    <row r="1039" spans="1:10">
      <c r="A1039">
        <v>1038</v>
      </c>
      <c r="B1039" s="1">
        <v>45197</v>
      </c>
      <c r="C1039" t="s">
        <v>10</v>
      </c>
      <c r="D1039">
        <v>699</v>
      </c>
      <c r="E1039">
        <v>23.2</v>
      </c>
      <c r="F1039">
        <v>4</v>
      </c>
      <c r="G1039">
        <v>2</v>
      </c>
      <c r="H1039">
        <v>24</v>
      </c>
      <c r="I1039">
        <v>39</v>
      </c>
      <c r="J1039" t="s">
        <v>13</v>
      </c>
    </row>
    <row r="1040" spans="1:10">
      <c r="A1040">
        <v>1039</v>
      </c>
      <c r="B1040" s="1">
        <v>45081</v>
      </c>
      <c r="C1040" t="s">
        <v>10</v>
      </c>
      <c r="D1040">
        <v>699</v>
      </c>
      <c r="E1040">
        <v>11.2</v>
      </c>
      <c r="F1040">
        <v>2</v>
      </c>
      <c r="G1040">
        <v>2</v>
      </c>
      <c r="H1040">
        <v>21</v>
      </c>
      <c r="I1040">
        <v>47</v>
      </c>
      <c r="J1040" t="s">
        <v>13</v>
      </c>
    </row>
    <row r="1041" spans="1:10">
      <c r="A1041">
        <v>1040</v>
      </c>
      <c r="B1041" s="1">
        <v>45408</v>
      </c>
      <c r="C1041" t="s">
        <v>10</v>
      </c>
      <c r="D1041">
        <v>699</v>
      </c>
      <c r="E1041">
        <v>1.8</v>
      </c>
      <c r="F1041">
        <v>2</v>
      </c>
      <c r="G1041">
        <v>0</v>
      </c>
      <c r="H1041">
        <v>29</v>
      </c>
      <c r="I1041">
        <v>14</v>
      </c>
      <c r="J1041" t="s">
        <v>11</v>
      </c>
    </row>
    <row r="1042" spans="1:10">
      <c r="A1042">
        <v>1041</v>
      </c>
      <c r="B1042" s="1">
        <v>44968</v>
      </c>
      <c r="C1042" t="s">
        <v>14</v>
      </c>
      <c r="D1042">
        <v>399</v>
      </c>
      <c r="E1042">
        <v>17.8</v>
      </c>
      <c r="F1042">
        <v>6</v>
      </c>
      <c r="G1042">
        <v>0</v>
      </c>
      <c r="H1042">
        <v>11</v>
      </c>
      <c r="I1042">
        <v>57</v>
      </c>
      <c r="J1042" t="s">
        <v>13</v>
      </c>
    </row>
    <row r="1043" spans="1:10">
      <c r="A1043">
        <v>1042</v>
      </c>
      <c r="B1043" s="1">
        <v>45078</v>
      </c>
      <c r="C1043" t="s">
        <v>14</v>
      </c>
      <c r="D1043">
        <v>399</v>
      </c>
      <c r="E1043">
        <v>24.7</v>
      </c>
      <c r="F1043">
        <v>8</v>
      </c>
      <c r="G1043">
        <v>3</v>
      </c>
      <c r="H1043">
        <v>23</v>
      </c>
      <c r="I1043">
        <v>29</v>
      </c>
      <c r="J1043" t="s">
        <v>11</v>
      </c>
    </row>
    <row r="1044" spans="1:10">
      <c r="A1044">
        <v>1043</v>
      </c>
      <c r="B1044" s="1">
        <v>45447</v>
      </c>
      <c r="C1044" t="s">
        <v>12</v>
      </c>
      <c r="D1044">
        <v>199</v>
      </c>
      <c r="E1044">
        <v>2.8</v>
      </c>
      <c r="F1044">
        <v>4</v>
      </c>
      <c r="G1044">
        <v>1</v>
      </c>
      <c r="H1044">
        <v>23</v>
      </c>
      <c r="I1044">
        <v>53</v>
      </c>
      <c r="J1044" t="s">
        <v>11</v>
      </c>
    </row>
    <row r="1045" spans="1:10">
      <c r="A1045">
        <v>1044</v>
      </c>
      <c r="B1045" s="1">
        <v>45353</v>
      </c>
      <c r="C1045" t="s">
        <v>14</v>
      </c>
      <c r="D1045">
        <v>399</v>
      </c>
      <c r="E1045">
        <v>14.8</v>
      </c>
      <c r="F1045">
        <v>0</v>
      </c>
      <c r="G1045">
        <v>4</v>
      </c>
      <c r="H1045">
        <v>14</v>
      </c>
      <c r="I1045">
        <v>49</v>
      </c>
      <c r="J1045" t="s">
        <v>11</v>
      </c>
    </row>
    <row r="1046" spans="1:10">
      <c r="A1046">
        <v>1045</v>
      </c>
      <c r="B1046" s="1">
        <v>45623</v>
      </c>
      <c r="C1046" t="s">
        <v>12</v>
      </c>
      <c r="D1046">
        <v>199</v>
      </c>
      <c r="E1046">
        <v>19.3</v>
      </c>
      <c r="F1046">
        <v>1</v>
      </c>
      <c r="G1046">
        <v>2</v>
      </c>
      <c r="H1046">
        <v>16</v>
      </c>
      <c r="I1046">
        <v>1</v>
      </c>
      <c r="J1046" t="s">
        <v>11</v>
      </c>
    </row>
    <row r="1047" spans="1:10">
      <c r="A1047">
        <v>1046</v>
      </c>
      <c r="B1047" s="1">
        <v>45398</v>
      </c>
      <c r="C1047" t="s">
        <v>12</v>
      </c>
      <c r="D1047">
        <v>199</v>
      </c>
      <c r="E1047">
        <v>9.6999999999999993</v>
      </c>
      <c r="F1047">
        <v>1</v>
      </c>
      <c r="G1047">
        <v>2</v>
      </c>
      <c r="H1047">
        <v>26</v>
      </c>
      <c r="I1047">
        <v>9</v>
      </c>
      <c r="J1047" t="s">
        <v>11</v>
      </c>
    </row>
    <row r="1048" spans="1:10">
      <c r="A1048">
        <v>1047</v>
      </c>
      <c r="B1048" s="1">
        <v>44971</v>
      </c>
      <c r="C1048" t="s">
        <v>10</v>
      </c>
      <c r="D1048">
        <v>699</v>
      </c>
      <c r="E1048">
        <v>11.6</v>
      </c>
      <c r="F1048">
        <v>4</v>
      </c>
      <c r="G1048">
        <v>4</v>
      </c>
      <c r="H1048">
        <v>31</v>
      </c>
      <c r="I1048">
        <v>42</v>
      </c>
      <c r="J1048" t="s">
        <v>11</v>
      </c>
    </row>
    <row r="1049" spans="1:10">
      <c r="A1049">
        <v>1048</v>
      </c>
      <c r="B1049" s="1">
        <v>45586</v>
      </c>
      <c r="C1049" t="s">
        <v>10</v>
      </c>
      <c r="D1049">
        <v>699</v>
      </c>
      <c r="E1049">
        <v>8.5</v>
      </c>
      <c r="F1049">
        <v>2</v>
      </c>
      <c r="G1049">
        <v>1</v>
      </c>
      <c r="H1049">
        <v>29</v>
      </c>
      <c r="I1049">
        <v>55</v>
      </c>
      <c r="J1049" t="s">
        <v>11</v>
      </c>
    </row>
    <row r="1050" spans="1:10">
      <c r="A1050">
        <v>1049</v>
      </c>
      <c r="B1050" s="1">
        <v>45021</v>
      </c>
      <c r="C1050" t="s">
        <v>14</v>
      </c>
      <c r="D1050">
        <v>399</v>
      </c>
      <c r="E1050">
        <v>20.100000000000001</v>
      </c>
      <c r="F1050">
        <v>1</v>
      </c>
      <c r="G1050">
        <v>4</v>
      </c>
      <c r="H1050">
        <v>21</v>
      </c>
      <c r="I1050">
        <v>60</v>
      </c>
      <c r="J1050" t="s">
        <v>13</v>
      </c>
    </row>
    <row r="1051" spans="1:10">
      <c r="A1051">
        <v>1050</v>
      </c>
      <c r="B1051" s="1">
        <v>45093</v>
      </c>
      <c r="C1051" t="s">
        <v>14</v>
      </c>
      <c r="D1051">
        <v>399</v>
      </c>
      <c r="E1051">
        <v>4.9000000000000004</v>
      </c>
      <c r="F1051">
        <v>6</v>
      </c>
      <c r="G1051">
        <v>0</v>
      </c>
      <c r="H1051">
        <v>17</v>
      </c>
      <c r="I1051">
        <v>1</v>
      </c>
      <c r="J1051" t="s">
        <v>13</v>
      </c>
    </row>
    <row r="1052" spans="1:10">
      <c r="A1052">
        <v>1051</v>
      </c>
      <c r="B1052" s="1">
        <v>45369</v>
      </c>
      <c r="C1052" t="s">
        <v>14</v>
      </c>
      <c r="D1052">
        <v>399</v>
      </c>
      <c r="E1052">
        <v>7.5</v>
      </c>
      <c r="F1052">
        <v>2</v>
      </c>
      <c r="G1052">
        <v>0</v>
      </c>
      <c r="H1052">
        <v>26</v>
      </c>
      <c r="I1052">
        <v>19</v>
      </c>
      <c r="J1052" t="s">
        <v>13</v>
      </c>
    </row>
    <row r="1053" spans="1:10">
      <c r="A1053">
        <v>1052</v>
      </c>
      <c r="B1053" s="1">
        <v>45303</v>
      </c>
      <c r="C1053" t="s">
        <v>10</v>
      </c>
      <c r="D1053">
        <v>699</v>
      </c>
      <c r="E1053">
        <v>22.6</v>
      </c>
      <c r="F1053">
        <v>2</v>
      </c>
      <c r="G1053">
        <v>2</v>
      </c>
      <c r="H1053">
        <v>20</v>
      </c>
      <c r="I1053">
        <v>42</v>
      </c>
      <c r="J1053" t="s">
        <v>11</v>
      </c>
    </row>
    <row r="1054" spans="1:10">
      <c r="A1054">
        <v>1053</v>
      </c>
      <c r="B1054" s="1">
        <v>45360</v>
      </c>
      <c r="C1054" t="s">
        <v>10</v>
      </c>
      <c r="D1054">
        <v>699</v>
      </c>
      <c r="E1054">
        <v>12.5</v>
      </c>
      <c r="F1054">
        <v>6</v>
      </c>
      <c r="G1054">
        <v>3</v>
      </c>
      <c r="H1054">
        <v>13</v>
      </c>
      <c r="I1054">
        <v>17</v>
      </c>
      <c r="J1054" t="s">
        <v>13</v>
      </c>
    </row>
    <row r="1055" spans="1:10">
      <c r="A1055">
        <v>1054</v>
      </c>
      <c r="B1055" s="1">
        <v>44968</v>
      </c>
      <c r="C1055" t="s">
        <v>12</v>
      </c>
      <c r="D1055">
        <v>199</v>
      </c>
      <c r="E1055">
        <v>20.399999999999999</v>
      </c>
      <c r="F1055">
        <v>2</v>
      </c>
      <c r="G1055">
        <v>3</v>
      </c>
      <c r="H1055">
        <v>28</v>
      </c>
      <c r="I1055">
        <v>40</v>
      </c>
      <c r="J1055" t="s">
        <v>11</v>
      </c>
    </row>
    <row r="1056" spans="1:10">
      <c r="A1056">
        <v>1055</v>
      </c>
      <c r="B1056" s="1">
        <v>45434</v>
      </c>
      <c r="C1056" t="s">
        <v>10</v>
      </c>
      <c r="D1056">
        <v>699</v>
      </c>
      <c r="E1056">
        <v>24.3</v>
      </c>
      <c r="F1056">
        <v>3</v>
      </c>
      <c r="G1056">
        <v>5</v>
      </c>
      <c r="H1056">
        <v>22</v>
      </c>
      <c r="I1056">
        <v>43</v>
      </c>
      <c r="J1056" t="s">
        <v>13</v>
      </c>
    </row>
    <row r="1057" spans="1:10">
      <c r="A1057">
        <v>1056</v>
      </c>
      <c r="B1057" s="1">
        <v>45416</v>
      </c>
      <c r="C1057" t="s">
        <v>10</v>
      </c>
      <c r="D1057">
        <v>699</v>
      </c>
      <c r="E1057">
        <v>2.6</v>
      </c>
      <c r="F1057">
        <v>7</v>
      </c>
      <c r="G1057">
        <v>3</v>
      </c>
      <c r="H1057">
        <v>34</v>
      </c>
      <c r="I1057">
        <v>5</v>
      </c>
      <c r="J1057" t="s">
        <v>13</v>
      </c>
    </row>
    <row r="1058" spans="1:10">
      <c r="A1058">
        <v>1057</v>
      </c>
      <c r="B1058" s="1">
        <v>45509</v>
      </c>
      <c r="C1058" t="s">
        <v>14</v>
      </c>
      <c r="D1058">
        <v>399</v>
      </c>
      <c r="E1058">
        <v>24.6</v>
      </c>
      <c r="F1058">
        <v>4</v>
      </c>
      <c r="G1058">
        <v>1</v>
      </c>
      <c r="H1058">
        <v>10</v>
      </c>
      <c r="I1058">
        <v>33</v>
      </c>
      <c r="J1058" t="s">
        <v>11</v>
      </c>
    </row>
    <row r="1059" spans="1:10">
      <c r="A1059">
        <v>1058</v>
      </c>
      <c r="B1059" s="1">
        <v>45349</v>
      </c>
      <c r="C1059" t="s">
        <v>12</v>
      </c>
      <c r="D1059">
        <v>199</v>
      </c>
      <c r="E1059">
        <v>2.4</v>
      </c>
      <c r="F1059">
        <v>0</v>
      </c>
      <c r="G1059">
        <v>4</v>
      </c>
      <c r="H1059">
        <v>36</v>
      </c>
      <c r="I1059">
        <v>6</v>
      </c>
      <c r="J1059" t="s">
        <v>11</v>
      </c>
    </row>
    <row r="1060" spans="1:10">
      <c r="A1060">
        <v>1059</v>
      </c>
      <c r="B1060" s="1">
        <v>45442</v>
      </c>
      <c r="C1060" t="s">
        <v>12</v>
      </c>
      <c r="D1060">
        <v>199</v>
      </c>
      <c r="E1060">
        <v>16.7</v>
      </c>
      <c r="F1060">
        <v>4</v>
      </c>
      <c r="G1060">
        <v>2</v>
      </c>
      <c r="H1060">
        <v>30</v>
      </c>
      <c r="I1060">
        <v>16</v>
      </c>
      <c r="J1060" t="s">
        <v>13</v>
      </c>
    </row>
    <row r="1061" spans="1:10">
      <c r="A1061">
        <v>1060</v>
      </c>
      <c r="B1061" s="1">
        <v>45329</v>
      </c>
      <c r="C1061" t="s">
        <v>12</v>
      </c>
      <c r="D1061">
        <v>199</v>
      </c>
      <c r="E1061">
        <v>18.600000000000001</v>
      </c>
      <c r="F1061">
        <v>7</v>
      </c>
      <c r="G1061">
        <v>1</v>
      </c>
      <c r="H1061">
        <v>8</v>
      </c>
      <c r="I1061">
        <v>50</v>
      </c>
      <c r="J1061" t="s">
        <v>11</v>
      </c>
    </row>
    <row r="1062" spans="1:10">
      <c r="A1062">
        <v>1061</v>
      </c>
      <c r="B1062" s="1">
        <v>45613</v>
      </c>
      <c r="C1062" t="s">
        <v>12</v>
      </c>
      <c r="D1062">
        <v>199</v>
      </c>
      <c r="E1062">
        <v>10.7</v>
      </c>
      <c r="F1062">
        <v>4</v>
      </c>
      <c r="G1062">
        <v>2</v>
      </c>
      <c r="H1062">
        <v>6</v>
      </c>
      <c r="I1062">
        <v>37</v>
      </c>
      <c r="J1062" t="s">
        <v>11</v>
      </c>
    </row>
    <row r="1063" spans="1:10">
      <c r="A1063">
        <v>1062</v>
      </c>
      <c r="B1063" s="1">
        <v>45545</v>
      </c>
      <c r="C1063" t="s">
        <v>14</v>
      </c>
      <c r="D1063">
        <v>399</v>
      </c>
      <c r="E1063">
        <v>8.9</v>
      </c>
      <c r="F1063">
        <v>2</v>
      </c>
      <c r="G1063">
        <v>1</v>
      </c>
      <c r="H1063">
        <v>17</v>
      </c>
      <c r="I1063">
        <v>11</v>
      </c>
      <c r="J1063" t="s">
        <v>11</v>
      </c>
    </row>
    <row r="1064" spans="1:10">
      <c r="A1064">
        <v>1063</v>
      </c>
      <c r="B1064" s="1">
        <v>45102</v>
      </c>
      <c r="C1064" t="s">
        <v>14</v>
      </c>
      <c r="D1064">
        <v>399</v>
      </c>
      <c r="E1064">
        <v>11.1</v>
      </c>
      <c r="F1064">
        <v>0</v>
      </c>
      <c r="G1064">
        <v>0</v>
      </c>
      <c r="H1064">
        <v>7</v>
      </c>
      <c r="I1064">
        <v>25</v>
      </c>
      <c r="J1064" t="s">
        <v>11</v>
      </c>
    </row>
    <row r="1065" spans="1:10">
      <c r="A1065">
        <v>1064</v>
      </c>
      <c r="B1065" s="1">
        <v>45425</v>
      </c>
      <c r="C1065" t="s">
        <v>10</v>
      </c>
      <c r="D1065">
        <v>699</v>
      </c>
      <c r="E1065">
        <v>11.8</v>
      </c>
      <c r="F1065">
        <v>6</v>
      </c>
      <c r="G1065">
        <v>5</v>
      </c>
      <c r="H1065">
        <v>31</v>
      </c>
      <c r="I1065">
        <v>47</v>
      </c>
      <c r="J1065" t="s">
        <v>11</v>
      </c>
    </row>
    <row r="1066" spans="1:10">
      <c r="A1066">
        <v>1065</v>
      </c>
      <c r="B1066" s="1">
        <v>44941</v>
      </c>
      <c r="C1066" t="s">
        <v>14</v>
      </c>
      <c r="D1066">
        <v>399</v>
      </c>
      <c r="E1066">
        <v>17.399999999999999</v>
      </c>
      <c r="F1066">
        <v>6</v>
      </c>
      <c r="G1066">
        <v>2</v>
      </c>
      <c r="H1066">
        <v>24</v>
      </c>
      <c r="I1066">
        <v>5</v>
      </c>
      <c r="J1066" t="s">
        <v>11</v>
      </c>
    </row>
    <row r="1067" spans="1:10">
      <c r="A1067">
        <v>1066</v>
      </c>
      <c r="B1067" s="1">
        <v>45075</v>
      </c>
      <c r="C1067" t="s">
        <v>12</v>
      </c>
      <c r="D1067">
        <v>199</v>
      </c>
      <c r="E1067">
        <v>20.5</v>
      </c>
      <c r="F1067">
        <v>3</v>
      </c>
      <c r="G1067">
        <v>0</v>
      </c>
      <c r="H1067">
        <v>8</v>
      </c>
      <c r="I1067">
        <v>13</v>
      </c>
      <c r="J1067" t="s">
        <v>13</v>
      </c>
    </row>
    <row r="1068" spans="1:10">
      <c r="A1068">
        <v>1067</v>
      </c>
      <c r="B1068" s="1">
        <v>45401</v>
      </c>
      <c r="C1068" t="s">
        <v>10</v>
      </c>
      <c r="D1068">
        <v>699</v>
      </c>
      <c r="E1068">
        <v>11.2</v>
      </c>
      <c r="F1068">
        <v>8</v>
      </c>
      <c r="G1068">
        <v>1</v>
      </c>
      <c r="H1068">
        <v>16</v>
      </c>
      <c r="I1068">
        <v>5</v>
      </c>
      <c r="J1068" t="s">
        <v>13</v>
      </c>
    </row>
    <row r="1069" spans="1:10">
      <c r="A1069">
        <v>1068</v>
      </c>
      <c r="B1069" s="1">
        <v>45646</v>
      </c>
      <c r="C1069" t="s">
        <v>12</v>
      </c>
      <c r="D1069">
        <v>199</v>
      </c>
      <c r="E1069">
        <v>10.8</v>
      </c>
      <c r="F1069">
        <v>1</v>
      </c>
      <c r="G1069">
        <v>1</v>
      </c>
      <c r="H1069">
        <v>31</v>
      </c>
      <c r="I1069">
        <v>57</v>
      </c>
      <c r="J1069" t="s">
        <v>11</v>
      </c>
    </row>
    <row r="1070" spans="1:10">
      <c r="A1070">
        <v>1069</v>
      </c>
      <c r="B1070" s="1">
        <v>45510</v>
      </c>
      <c r="C1070" t="s">
        <v>14</v>
      </c>
      <c r="D1070">
        <v>399</v>
      </c>
      <c r="E1070">
        <v>12.1</v>
      </c>
      <c r="F1070">
        <v>7</v>
      </c>
      <c r="G1070">
        <v>4</v>
      </c>
      <c r="H1070">
        <v>32</v>
      </c>
      <c r="I1070">
        <v>15</v>
      </c>
      <c r="J1070" t="s">
        <v>11</v>
      </c>
    </row>
    <row r="1071" spans="1:10">
      <c r="A1071">
        <v>1070</v>
      </c>
      <c r="B1071" s="1">
        <v>45352</v>
      </c>
      <c r="C1071" t="s">
        <v>14</v>
      </c>
      <c r="D1071">
        <v>399</v>
      </c>
      <c r="E1071">
        <v>8.6999999999999993</v>
      </c>
      <c r="F1071">
        <v>1</v>
      </c>
      <c r="G1071">
        <v>5</v>
      </c>
      <c r="H1071">
        <v>4</v>
      </c>
      <c r="I1071">
        <v>54</v>
      </c>
      <c r="J1071" t="s">
        <v>13</v>
      </c>
    </row>
    <row r="1072" spans="1:10">
      <c r="A1072">
        <v>1071</v>
      </c>
      <c r="B1072" s="1">
        <v>45532</v>
      </c>
      <c r="C1072" t="s">
        <v>14</v>
      </c>
      <c r="D1072">
        <v>399</v>
      </c>
      <c r="E1072">
        <v>25</v>
      </c>
      <c r="F1072">
        <v>0</v>
      </c>
      <c r="G1072">
        <v>3</v>
      </c>
      <c r="H1072">
        <v>36</v>
      </c>
      <c r="I1072">
        <v>25</v>
      </c>
      <c r="J1072" t="s">
        <v>11</v>
      </c>
    </row>
    <row r="1073" spans="1:10">
      <c r="A1073">
        <v>1072</v>
      </c>
      <c r="B1073" s="1">
        <v>45250</v>
      </c>
      <c r="C1073" t="s">
        <v>10</v>
      </c>
      <c r="D1073">
        <v>699</v>
      </c>
      <c r="E1073">
        <v>6.2</v>
      </c>
      <c r="F1073">
        <v>0</v>
      </c>
      <c r="G1073">
        <v>4</v>
      </c>
      <c r="H1073">
        <v>32</v>
      </c>
      <c r="I1073">
        <v>1</v>
      </c>
      <c r="J1073" t="s">
        <v>13</v>
      </c>
    </row>
    <row r="1074" spans="1:10">
      <c r="A1074">
        <v>1073</v>
      </c>
      <c r="B1074" s="1">
        <v>45588</v>
      </c>
      <c r="C1074" t="s">
        <v>10</v>
      </c>
      <c r="D1074">
        <v>699</v>
      </c>
      <c r="E1074">
        <v>7.1</v>
      </c>
      <c r="F1074">
        <v>6</v>
      </c>
      <c r="G1074">
        <v>3</v>
      </c>
      <c r="H1074">
        <v>5</v>
      </c>
      <c r="I1074">
        <v>7</v>
      </c>
      <c r="J1074" t="s">
        <v>11</v>
      </c>
    </row>
    <row r="1075" spans="1:10">
      <c r="A1075">
        <v>1074</v>
      </c>
      <c r="B1075" s="1">
        <v>45407</v>
      </c>
      <c r="C1075" t="s">
        <v>14</v>
      </c>
      <c r="D1075">
        <v>399</v>
      </c>
      <c r="E1075">
        <v>17.600000000000001</v>
      </c>
      <c r="F1075">
        <v>0</v>
      </c>
      <c r="G1075">
        <v>1</v>
      </c>
      <c r="H1075">
        <v>29</v>
      </c>
      <c r="I1075">
        <v>18</v>
      </c>
      <c r="J1075" t="s">
        <v>13</v>
      </c>
    </row>
    <row r="1076" spans="1:10">
      <c r="A1076">
        <v>1075</v>
      </c>
      <c r="B1076" s="1">
        <v>45543</v>
      </c>
      <c r="C1076" t="s">
        <v>14</v>
      </c>
      <c r="D1076">
        <v>399</v>
      </c>
      <c r="E1076">
        <v>6.2</v>
      </c>
      <c r="F1076">
        <v>3</v>
      </c>
      <c r="G1076">
        <v>4</v>
      </c>
      <c r="H1076">
        <v>29</v>
      </c>
      <c r="I1076">
        <v>58</v>
      </c>
      <c r="J1076" t="s">
        <v>13</v>
      </c>
    </row>
    <row r="1077" spans="1:10">
      <c r="A1077">
        <v>1076</v>
      </c>
      <c r="B1077" s="1">
        <v>45353</v>
      </c>
      <c r="C1077" t="s">
        <v>10</v>
      </c>
      <c r="D1077">
        <v>699</v>
      </c>
      <c r="E1077">
        <v>3.7</v>
      </c>
      <c r="F1077">
        <v>4</v>
      </c>
      <c r="G1077">
        <v>5</v>
      </c>
      <c r="H1077">
        <v>30</v>
      </c>
      <c r="I1077">
        <v>45</v>
      </c>
      <c r="J1077" t="s">
        <v>11</v>
      </c>
    </row>
    <row r="1078" spans="1:10">
      <c r="A1078">
        <v>1077</v>
      </c>
      <c r="B1078" s="1">
        <v>45015</v>
      </c>
      <c r="C1078" t="s">
        <v>10</v>
      </c>
      <c r="D1078">
        <v>699</v>
      </c>
      <c r="E1078">
        <v>20</v>
      </c>
      <c r="F1078">
        <v>2</v>
      </c>
      <c r="G1078">
        <v>4</v>
      </c>
      <c r="H1078">
        <v>24</v>
      </c>
      <c r="I1078">
        <v>13</v>
      </c>
      <c r="J1078" t="s">
        <v>11</v>
      </c>
    </row>
    <row r="1079" spans="1:10">
      <c r="A1079">
        <v>1078</v>
      </c>
      <c r="B1079" s="1">
        <v>45352</v>
      </c>
      <c r="C1079" t="s">
        <v>10</v>
      </c>
      <c r="D1079">
        <v>699</v>
      </c>
      <c r="E1079">
        <v>3.7</v>
      </c>
      <c r="F1079">
        <v>3</v>
      </c>
      <c r="G1079">
        <v>1</v>
      </c>
      <c r="H1079">
        <v>31</v>
      </c>
      <c r="I1079">
        <v>38</v>
      </c>
      <c r="J1079" t="s">
        <v>11</v>
      </c>
    </row>
    <row r="1080" spans="1:10">
      <c r="A1080">
        <v>1079</v>
      </c>
      <c r="B1080" s="1">
        <v>45194</v>
      </c>
      <c r="C1080" t="s">
        <v>14</v>
      </c>
      <c r="D1080">
        <v>399</v>
      </c>
      <c r="E1080">
        <v>6.3</v>
      </c>
      <c r="F1080">
        <v>8</v>
      </c>
      <c r="G1080">
        <v>0</v>
      </c>
      <c r="H1080">
        <v>20</v>
      </c>
      <c r="I1080">
        <v>1</v>
      </c>
      <c r="J1080" t="s">
        <v>13</v>
      </c>
    </row>
    <row r="1081" spans="1:10">
      <c r="A1081">
        <v>1080</v>
      </c>
      <c r="B1081" s="1">
        <v>45367</v>
      </c>
      <c r="C1081" t="s">
        <v>14</v>
      </c>
      <c r="D1081">
        <v>399</v>
      </c>
      <c r="E1081">
        <v>4.8</v>
      </c>
      <c r="F1081">
        <v>8</v>
      </c>
      <c r="G1081">
        <v>0</v>
      </c>
      <c r="H1081">
        <v>11</v>
      </c>
      <c r="I1081">
        <v>51</v>
      </c>
      <c r="J1081" t="s">
        <v>11</v>
      </c>
    </row>
    <row r="1082" spans="1:10">
      <c r="A1082">
        <v>1081</v>
      </c>
      <c r="B1082" s="1">
        <v>45290</v>
      </c>
      <c r="C1082" t="s">
        <v>12</v>
      </c>
      <c r="D1082">
        <v>199</v>
      </c>
      <c r="E1082">
        <v>3.5</v>
      </c>
      <c r="F1082">
        <v>3</v>
      </c>
      <c r="G1082">
        <v>3</v>
      </c>
      <c r="H1082">
        <v>15</v>
      </c>
      <c r="I1082">
        <v>16</v>
      </c>
      <c r="J1082" t="s">
        <v>13</v>
      </c>
    </row>
    <row r="1083" spans="1:10">
      <c r="A1083">
        <v>1082</v>
      </c>
      <c r="B1083" s="1">
        <v>45612</v>
      </c>
      <c r="C1083" t="s">
        <v>12</v>
      </c>
      <c r="D1083">
        <v>199</v>
      </c>
      <c r="E1083">
        <v>7.1</v>
      </c>
      <c r="F1083">
        <v>2</v>
      </c>
      <c r="G1083">
        <v>5</v>
      </c>
      <c r="H1083">
        <v>36</v>
      </c>
      <c r="I1083">
        <v>55</v>
      </c>
      <c r="J1083" t="s">
        <v>11</v>
      </c>
    </row>
    <row r="1084" spans="1:10">
      <c r="A1084">
        <v>1083</v>
      </c>
      <c r="B1084" s="1">
        <v>45035</v>
      </c>
      <c r="C1084" t="s">
        <v>12</v>
      </c>
      <c r="D1084">
        <v>199</v>
      </c>
      <c r="E1084">
        <v>23.2</v>
      </c>
      <c r="F1084">
        <v>7</v>
      </c>
      <c r="G1084">
        <v>3</v>
      </c>
      <c r="H1084">
        <v>4</v>
      </c>
      <c r="I1084">
        <v>53</v>
      </c>
      <c r="J1084" t="s">
        <v>13</v>
      </c>
    </row>
    <row r="1085" spans="1:10">
      <c r="A1085">
        <v>1084</v>
      </c>
      <c r="B1085" s="1">
        <v>45047</v>
      </c>
      <c r="C1085" t="s">
        <v>10</v>
      </c>
      <c r="D1085">
        <v>699</v>
      </c>
      <c r="E1085">
        <v>20.7</v>
      </c>
      <c r="F1085">
        <v>0</v>
      </c>
      <c r="G1085">
        <v>4</v>
      </c>
      <c r="H1085">
        <v>7</v>
      </c>
      <c r="I1085">
        <v>6</v>
      </c>
      <c r="J1085" t="s">
        <v>11</v>
      </c>
    </row>
    <row r="1086" spans="1:10">
      <c r="A1086">
        <v>1085</v>
      </c>
      <c r="B1086" s="1">
        <v>45437</v>
      </c>
      <c r="C1086" t="s">
        <v>12</v>
      </c>
      <c r="D1086">
        <v>199</v>
      </c>
      <c r="E1086">
        <v>4.3</v>
      </c>
      <c r="F1086">
        <v>4</v>
      </c>
      <c r="G1086">
        <v>5</v>
      </c>
      <c r="H1086">
        <v>24</v>
      </c>
      <c r="I1086">
        <v>28</v>
      </c>
      <c r="J1086" t="s">
        <v>11</v>
      </c>
    </row>
    <row r="1087" spans="1:10">
      <c r="A1087">
        <v>1086</v>
      </c>
      <c r="B1087" s="1">
        <v>45133</v>
      </c>
      <c r="C1087" t="s">
        <v>10</v>
      </c>
      <c r="D1087">
        <v>699</v>
      </c>
      <c r="E1087">
        <v>4.3</v>
      </c>
      <c r="F1087">
        <v>5</v>
      </c>
      <c r="G1087">
        <v>2</v>
      </c>
      <c r="H1087">
        <v>7</v>
      </c>
      <c r="I1087">
        <v>52</v>
      </c>
      <c r="J1087" t="s">
        <v>11</v>
      </c>
    </row>
    <row r="1088" spans="1:10">
      <c r="A1088">
        <v>1087</v>
      </c>
      <c r="B1088" s="1">
        <v>45276</v>
      </c>
      <c r="C1088" t="s">
        <v>14</v>
      </c>
      <c r="D1088">
        <v>399</v>
      </c>
      <c r="E1088">
        <v>19.3</v>
      </c>
      <c r="F1088">
        <v>0</v>
      </c>
      <c r="G1088">
        <v>1</v>
      </c>
      <c r="H1088">
        <v>27</v>
      </c>
      <c r="I1088">
        <v>53</v>
      </c>
      <c r="J1088" t="s">
        <v>13</v>
      </c>
    </row>
    <row r="1089" spans="1:10">
      <c r="A1089">
        <v>1088</v>
      </c>
      <c r="B1089" s="1">
        <v>45296</v>
      </c>
      <c r="C1089" t="s">
        <v>14</v>
      </c>
      <c r="D1089">
        <v>399</v>
      </c>
      <c r="E1089">
        <v>4.7</v>
      </c>
      <c r="F1089">
        <v>4</v>
      </c>
      <c r="G1089">
        <v>2</v>
      </c>
      <c r="H1089">
        <v>33</v>
      </c>
      <c r="I1089">
        <v>45</v>
      </c>
      <c r="J1089" t="s">
        <v>11</v>
      </c>
    </row>
    <row r="1090" spans="1:10">
      <c r="A1090">
        <v>1089</v>
      </c>
      <c r="B1090" s="1">
        <v>45366</v>
      </c>
      <c r="C1090" t="s">
        <v>10</v>
      </c>
      <c r="D1090">
        <v>699</v>
      </c>
      <c r="E1090">
        <v>4.2</v>
      </c>
      <c r="F1090">
        <v>8</v>
      </c>
      <c r="G1090">
        <v>3</v>
      </c>
      <c r="H1090">
        <v>16</v>
      </c>
      <c r="I1090">
        <v>50</v>
      </c>
      <c r="J1090" t="s">
        <v>11</v>
      </c>
    </row>
    <row r="1091" spans="1:10">
      <c r="A1091">
        <v>1090</v>
      </c>
      <c r="B1091" s="1">
        <v>45380</v>
      </c>
      <c r="C1091" t="s">
        <v>14</v>
      </c>
      <c r="D1091">
        <v>399</v>
      </c>
      <c r="E1091">
        <v>22.5</v>
      </c>
      <c r="F1091">
        <v>8</v>
      </c>
      <c r="G1091">
        <v>5</v>
      </c>
      <c r="H1091">
        <v>27</v>
      </c>
      <c r="I1091">
        <v>23</v>
      </c>
      <c r="J1091" t="s">
        <v>13</v>
      </c>
    </row>
    <row r="1092" spans="1:10">
      <c r="A1092">
        <v>1091</v>
      </c>
      <c r="B1092" s="1">
        <v>45338</v>
      </c>
      <c r="C1092" t="s">
        <v>12</v>
      </c>
      <c r="D1092">
        <v>199</v>
      </c>
      <c r="E1092">
        <v>18.100000000000001</v>
      </c>
      <c r="F1092">
        <v>8</v>
      </c>
      <c r="G1092">
        <v>0</v>
      </c>
      <c r="H1092">
        <v>1</v>
      </c>
      <c r="I1092">
        <v>5</v>
      </c>
      <c r="J1092" t="s">
        <v>13</v>
      </c>
    </row>
    <row r="1093" spans="1:10">
      <c r="A1093">
        <v>1092</v>
      </c>
      <c r="B1093" s="1">
        <v>45515</v>
      </c>
      <c r="C1093" t="s">
        <v>12</v>
      </c>
      <c r="D1093">
        <v>199</v>
      </c>
      <c r="E1093">
        <v>2</v>
      </c>
      <c r="F1093">
        <v>0</v>
      </c>
      <c r="G1093">
        <v>5</v>
      </c>
      <c r="H1093">
        <v>28</v>
      </c>
      <c r="I1093">
        <v>59</v>
      </c>
      <c r="J1093" t="s">
        <v>11</v>
      </c>
    </row>
    <row r="1094" spans="1:10">
      <c r="A1094">
        <v>1093</v>
      </c>
      <c r="B1094" s="1">
        <v>45493</v>
      </c>
      <c r="C1094" t="s">
        <v>12</v>
      </c>
      <c r="D1094">
        <v>199</v>
      </c>
      <c r="E1094">
        <v>24.3</v>
      </c>
      <c r="F1094">
        <v>6</v>
      </c>
      <c r="G1094">
        <v>3</v>
      </c>
      <c r="H1094">
        <v>34</v>
      </c>
      <c r="I1094">
        <v>56</v>
      </c>
      <c r="J1094" t="s">
        <v>11</v>
      </c>
    </row>
    <row r="1095" spans="1:10">
      <c r="A1095">
        <v>1094</v>
      </c>
      <c r="B1095" s="1">
        <v>45077</v>
      </c>
      <c r="C1095" t="s">
        <v>14</v>
      </c>
      <c r="D1095">
        <v>399</v>
      </c>
      <c r="E1095">
        <v>22.8</v>
      </c>
      <c r="F1095">
        <v>0</v>
      </c>
      <c r="G1095">
        <v>2</v>
      </c>
      <c r="H1095">
        <v>21</v>
      </c>
      <c r="I1095">
        <v>57</v>
      </c>
      <c r="J1095" t="s">
        <v>11</v>
      </c>
    </row>
    <row r="1096" spans="1:10">
      <c r="A1096">
        <v>1095</v>
      </c>
      <c r="B1096" s="1">
        <v>45594</v>
      </c>
      <c r="C1096" t="s">
        <v>10</v>
      </c>
      <c r="D1096">
        <v>699</v>
      </c>
      <c r="E1096">
        <v>11.4</v>
      </c>
      <c r="F1096">
        <v>3</v>
      </c>
      <c r="G1096">
        <v>4</v>
      </c>
      <c r="H1096">
        <v>26</v>
      </c>
      <c r="I1096">
        <v>39</v>
      </c>
      <c r="J1096" t="s">
        <v>13</v>
      </c>
    </row>
    <row r="1097" spans="1:10">
      <c r="A1097">
        <v>1096</v>
      </c>
      <c r="B1097" s="1">
        <v>44964</v>
      </c>
      <c r="C1097" t="s">
        <v>14</v>
      </c>
      <c r="D1097">
        <v>399</v>
      </c>
      <c r="E1097">
        <v>22.2</v>
      </c>
      <c r="F1097">
        <v>6</v>
      </c>
      <c r="G1097">
        <v>1</v>
      </c>
      <c r="H1097">
        <v>23</v>
      </c>
      <c r="I1097">
        <v>56</v>
      </c>
      <c r="J1097" t="s">
        <v>11</v>
      </c>
    </row>
    <row r="1098" spans="1:10">
      <c r="A1098">
        <v>1097</v>
      </c>
      <c r="B1098" s="1">
        <v>45022</v>
      </c>
      <c r="C1098" t="s">
        <v>10</v>
      </c>
      <c r="D1098">
        <v>699</v>
      </c>
      <c r="E1098">
        <v>10.1</v>
      </c>
      <c r="F1098">
        <v>2</v>
      </c>
      <c r="G1098">
        <v>4</v>
      </c>
      <c r="H1098">
        <v>22</v>
      </c>
      <c r="I1098">
        <v>34</v>
      </c>
      <c r="J1098" t="s">
        <v>11</v>
      </c>
    </row>
    <row r="1099" spans="1:10">
      <c r="A1099">
        <v>1098</v>
      </c>
      <c r="B1099" s="1">
        <v>45479</v>
      </c>
      <c r="C1099" t="s">
        <v>10</v>
      </c>
      <c r="D1099">
        <v>699</v>
      </c>
      <c r="E1099">
        <v>8.1999999999999993</v>
      </c>
      <c r="F1099">
        <v>5</v>
      </c>
      <c r="G1099">
        <v>5</v>
      </c>
      <c r="H1099">
        <v>36</v>
      </c>
      <c r="I1099">
        <v>10</v>
      </c>
      <c r="J1099" t="s">
        <v>11</v>
      </c>
    </row>
    <row r="1100" spans="1:10">
      <c r="A1100">
        <v>1099</v>
      </c>
      <c r="B1100" s="1">
        <v>45040</v>
      </c>
      <c r="C1100" t="s">
        <v>10</v>
      </c>
      <c r="D1100">
        <v>699</v>
      </c>
      <c r="E1100">
        <v>6.4</v>
      </c>
      <c r="F1100">
        <v>4</v>
      </c>
      <c r="G1100">
        <v>5</v>
      </c>
      <c r="H1100">
        <v>17</v>
      </c>
      <c r="I1100">
        <v>27</v>
      </c>
      <c r="J1100" t="s">
        <v>13</v>
      </c>
    </row>
    <row r="1101" spans="1:10">
      <c r="A1101">
        <v>1100</v>
      </c>
      <c r="B1101" s="1">
        <v>44975</v>
      </c>
      <c r="C1101" t="s">
        <v>10</v>
      </c>
      <c r="D1101">
        <v>699</v>
      </c>
      <c r="E1101">
        <v>21.1</v>
      </c>
      <c r="F1101">
        <v>4</v>
      </c>
      <c r="G1101">
        <v>5</v>
      </c>
      <c r="H1101">
        <v>4</v>
      </c>
      <c r="I1101">
        <v>32</v>
      </c>
      <c r="J1101" t="s">
        <v>11</v>
      </c>
    </row>
    <row r="1102" spans="1:10">
      <c r="A1102">
        <v>1101</v>
      </c>
      <c r="B1102" s="1">
        <v>45522</v>
      </c>
      <c r="C1102" t="s">
        <v>10</v>
      </c>
      <c r="D1102">
        <v>699</v>
      </c>
      <c r="E1102">
        <v>11.5</v>
      </c>
      <c r="F1102">
        <v>0</v>
      </c>
      <c r="G1102">
        <v>3</v>
      </c>
      <c r="H1102">
        <v>8</v>
      </c>
      <c r="I1102">
        <v>21</v>
      </c>
      <c r="J1102" t="s">
        <v>13</v>
      </c>
    </row>
    <row r="1103" spans="1:10">
      <c r="A1103">
        <v>1102</v>
      </c>
      <c r="B1103" s="1">
        <v>45513</v>
      </c>
      <c r="C1103" t="s">
        <v>10</v>
      </c>
      <c r="D1103">
        <v>699</v>
      </c>
      <c r="E1103">
        <v>21.2</v>
      </c>
      <c r="F1103">
        <v>3</v>
      </c>
      <c r="G1103">
        <v>2</v>
      </c>
      <c r="H1103">
        <v>35</v>
      </c>
      <c r="I1103">
        <v>19</v>
      </c>
      <c r="J1103" t="s">
        <v>11</v>
      </c>
    </row>
    <row r="1104" spans="1:10">
      <c r="A1104">
        <v>1103</v>
      </c>
      <c r="B1104" s="1">
        <v>45455</v>
      </c>
      <c r="C1104" t="s">
        <v>10</v>
      </c>
      <c r="D1104">
        <v>699</v>
      </c>
      <c r="E1104">
        <v>18</v>
      </c>
      <c r="F1104">
        <v>8</v>
      </c>
      <c r="G1104">
        <v>5</v>
      </c>
      <c r="H1104">
        <v>9</v>
      </c>
      <c r="I1104">
        <v>15</v>
      </c>
      <c r="J1104" t="s">
        <v>11</v>
      </c>
    </row>
    <row r="1105" spans="1:10">
      <c r="A1105">
        <v>1104</v>
      </c>
      <c r="B1105" s="1">
        <v>45362</v>
      </c>
      <c r="C1105" t="s">
        <v>10</v>
      </c>
      <c r="D1105">
        <v>699</v>
      </c>
      <c r="E1105">
        <v>20.7</v>
      </c>
      <c r="F1105">
        <v>5</v>
      </c>
      <c r="G1105">
        <v>3</v>
      </c>
      <c r="H1105">
        <v>13</v>
      </c>
      <c r="I1105">
        <v>6</v>
      </c>
      <c r="J1105" t="s">
        <v>11</v>
      </c>
    </row>
    <row r="1106" spans="1:10">
      <c r="A1106">
        <v>1105</v>
      </c>
      <c r="B1106" s="1">
        <v>45006</v>
      </c>
      <c r="C1106" t="s">
        <v>14</v>
      </c>
      <c r="D1106">
        <v>399</v>
      </c>
      <c r="E1106">
        <v>2.8</v>
      </c>
      <c r="F1106">
        <v>6</v>
      </c>
      <c r="G1106">
        <v>1</v>
      </c>
      <c r="H1106">
        <v>6</v>
      </c>
      <c r="I1106">
        <v>30</v>
      </c>
      <c r="J1106" t="s">
        <v>11</v>
      </c>
    </row>
    <row r="1107" spans="1:10">
      <c r="A1107">
        <v>1106</v>
      </c>
      <c r="B1107" s="1">
        <v>45197</v>
      </c>
      <c r="C1107" t="s">
        <v>14</v>
      </c>
      <c r="D1107">
        <v>399</v>
      </c>
      <c r="E1107">
        <v>10.4</v>
      </c>
      <c r="F1107">
        <v>8</v>
      </c>
      <c r="G1107">
        <v>4</v>
      </c>
      <c r="H1107">
        <v>34</v>
      </c>
      <c r="I1107">
        <v>49</v>
      </c>
      <c r="J1107" t="s">
        <v>11</v>
      </c>
    </row>
    <row r="1108" spans="1:10">
      <c r="A1108">
        <v>1107</v>
      </c>
      <c r="B1108" s="1">
        <v>45353</v>
      </c>
      <c r="C1108" t="s">
        <v>10</v>
      </c>
      <c r="D1108">
        <v>699</v>
      </c>
      <c r="E1108">
        <v>16.100000000000001</v>
      </c>
      <c r="F1108">
        <v>7</v>
      </c>
      <c r="G1108">
        <v>5</v>
      </c>
      <c r="H1108">
        <v>32</v>
      </c>
      <c r="I1108">
        <v>59</v>
      </c>
      <c r="J1108" t="s">
        <v>13</v>
      </c>
    </row>
    <row r="1109" spans="1:10">
      <c r="A1109">
        <v>1108</v>
      </c>
      <c r="B1109" s="1">
        <v>45648</v>
      </c>
      <c r="C1109" t="s">
        <v>12</v>
      </c>
      <c r="D1109">
        <v>199</v>
      </c>
      <c r="E1109">
        <v>12.9</v>
      </c>
      <c r="F1109">
        <v>7</v>
      </c>
      <c r="G1109">
        <v>5</v>
      </c>
      <c r="H1109">
        <v>10</v>
      </c>
      <c r="I1109">
        <v>29</v>
      </c>
      <c r="J1109" t="s">
        <v>11</v>
      </c>
    </row>
    <row r="1110" spans="1:10">
      <c r="A1110">
        <v>1109</v>
      </c>
      <c r="B1110" s="1">
        <v>45087</v>
      </c>
      <c r="C1110" t="s">
        <v>10</v>
      </c>
      <c r="D1110">
        <v>699</v>
      </c>
      <c r="E1110">
        <v>3.4</v>
      </c>
      <c r="F1110">
        <v>3</v>
      </c>
      <c r="G1110">
        <v>3</v>
      </c>
      <c r="H1110">
        <v>34</v>
      </c>
      <c r="I1110">
        <v>30</v>
      </c>
      <c r="J1110" t="s">
        <v>11</v>
      </c>
    </row>
    <row r="1111" spans="1:10">
      <c r="A1111">
        <v>1110</v>
      </c>
      <c r="B1111" s="1">
        <v>45050</v>
      </c>
      <c r="C1111" t="s">
        <v>10</v>
      </c>
      <c r="D1111">
        <v>699</v>
      </c>
      <c r="E1111">
        <v>23.1</v>
      </c>
      <c r="F1111">
        <v>1</v>
      </c>
      <c r="G1111">
        <v>4</v>
      </c>
      <c r="H1111">
        <v>24</v>
      </c>
      <c r="I1111">
        <v>54</v>
      </c>
      <c r="J1111" t="s">
        <v>11</v>
      </c>
    </row>
    <row r="1112" spans="1:10">
      <c r="A1112">
        <v>1111</v>
      </c>
      <c r="B1112" s="1">
        <v>45310</v>
      </c>
      <c r="C1112" t="s">
        <v>14</v>
      </c>
      <c r="D1112">
        <v>399</v>
      </c>
      <c r="E1112">
        <v>1.5</v>
      </c>
      <c r="F1112">
        <v>2</v>
      </c>
      <c r="G1112">
        <v>0</v>
      </c>
      <c r="H1112">
        <v>19</v>
      </c>
      <c r="I1112">
        <v>23</v>
      </c>
      <c r="J1112" t="s">
        <v>11</v>
      </c>
    </row>
    <row r="1113" spans="1:10">
      <c r="A1113">
        <v>1112</v>
      </c>
      <c r="B1113" s="1">
        <v>44976</v>
      </c>
      <c r="C1113" t="s">
        <v>14</v>
      </c>
      <c r="D1113">
        <v>399</v>
      </c>
      <c r="E1113">
        <v>12.4</v>
      </c>
      <c r="F1113">
        <v>2</v>
      </c>
      <c r="G1113">
        <v>1</v>
      </c>
      <c r="H1113">
        <v>19</v>
      </c>
      <c r="I1113">
        <v>50</v>
      </c>
      <c r="J1113" t="s">
        <v>13</v>
      </c>
    </row>
    <row r="1114" spans="1:10">
      <c r="A1114">
        <v>1113</v>
      </c>
      <c r="B1114" s="1">
        <v>44996</v>
      </c>
      <c r="C1114" t="s">
        <v>14</v>
      </c>
      <c r="D1114">
        <v>399</v>
      </c>
      <c r="E1114">
        <v>5.8</v>
      </c>
      <c r="F1114">
        <v>7</v>
      </c>
      <c r="G1114">
        <v>0</v>
      </c>
      <c r="H1114">
        <v>19</v>
      </c>
      <c r="I1114">
        <v>7</v>
      </c>
      <c r="J1114" t="s">
        <v>13</v>
      </c>
    </row>
    <row r="1115" spans="1:10">
      <c r="A1115">
        <v>1114</v>
      </c>
      <c r="B1115" s="1">
        <v>45313</v>
      </c>
      <c r="C1115" t="s">
        <v>12</v>
      </c>
      <c r="D1115">
        <v>199</v>
      </c>
      <c r="E1115">
        <v>12.3</v>
      </c>
      <c r="F1115">
        <v>4</v>
      </c>
      <c r="G1115">
        <v>4</v>
      </c>
      <c r="H1115">
        <v>27</v>
      </c>
      <c r="I1115">
        <v>28</v>
      </c>
      <c r="J1115" t="s">
        <v>13</v>
      </c>
    </row>
    <row r="1116" spans="1:10">
      <c r="A1116">
        <v>1115</v>
      </c>
      <c r="B1116" s="1">
        <v>45610</v>
      </c>
      <c r="C1116" t="s">
        <v>14</v>
      </c>
      <c r="D1116">
        <v>399</v>
      </c>
      <c r="E1116">
        <v>19.2</v>
      </c>
      <c r="F1116">
        <v>8</v>
      </c>
      <c r="G1116">
        <v>5</v>
      </c>
      <c r="H1116">
        <v>9</v>
      </c>
      <c r="I1116">
        <v>29</v>
      </c>
      <c r="J1116" t="s">
        <v>13</v>
      </c>
    </row>
    <row r="1117" spans="1:10">
      <c r="A1117">
        <v>1116</v>
      </c>
      <c r="B1117" s="1">
        <v>45565</v>
      </c>
      <c r="C1117" t="s">
        <v>14</v>
      </c>
      <c r="D1117">
        <v>399</v>
      </c>
      <c r="E1117">
        <v>21.7</v>
      </c>
      <c r="F1117">
        <v>5</v>
      </c>
      <c r="G1117">
        <v>0</v>
      </c>
      <c r="H1117">
        <v>10</v>
      </c>
      <c r="I1117">
        <v>51</v>
      </c>
      <c r="J1117" t="s">
        <v>13</v>
      </c>
    </row>
    <row r="1118" spans="1:10">
      <c r="A1118">
        <v>1117</v>
      </c>
      <c r="B1118" s="1">
        <v>45613</v>
      </c>
      <c r="C1118" t="s">
        <v>14</v>
      </c>
      <c r="D1118">
        <v>399</v>
      </c>
      <c r="E1118">
        <v>6.2</v>
      </c>
      <c r="F1118">
        <v>6</v>
      </c>
      <c r="G1118">
        <v>2</v>
      </c>
      <c r="H1118">
        <v>25</v>
      </c>
      <c r="I1118">
        <v>34</v>
      </c>
      <c r="J1118" t="s">
        <v>11</v>
      </c>
    </row>
    <row r="1119" spans="1:10">
      <c r="A1119">
        <v>1118</v>
      </c>
      <c r="B1119" s="1">
        <v>45651</v>
      </c>
      <c r="C1119" t="s">
        <v>14</v>
      </c>
      <c r="D1119">
        <v>399</v>
      </c>
      <c r="E1119">
        <v>16.3</v>
      </c>
      <c r="F1119">
        <v>2</v>
      </c>
      <c r="G1119">
        <v>5</v>
      </c>
      <c r="H1119">
        <v>18</v>
      </c>
      <c r="I1119">
        <v>1</v>
      </c>
      <c r="J1119" t="s">
        <v>13</v>
      </c>
    </row>
    <row r="1120" spans="1:10">
      <c r="A1120">
        <v>1119</v>
      </c>
      <c r="B1120" s="1">
        <v>45481</v>
      </c>
      <c r="C1120" t="s">
        <v>14</v>
      </c>
      <c r="D1120">
        <v>399</v>
      </c>
      <c r="E1120">
        <v>16.3</v>
      </c>
      <c r="F1120">
        <v>8</v>
      </c>
      <c r="G1120">
        <v>0</v>
      </c>
      <c r="H1120">
        <v>36</v>
      </c>
      <c r="I1120">
        <v>12</v>
      </c>
      <c r="J1120" t="s">
        <v>13</v>
      </c>
    </row>
    <row r="1121" spans="1:10">
      <c r="A1121">
        <v>1120</v>
      </c>
      <c r="B1121" s="1">
        <v>44946</v>
      </c>
      <c r="C1121" t="s">
        <v>10</v>
      </c>
      <c r="D1121">
        <v>699</v>
      </c>
      <c r="E1121">
        <v>24</v>
      </c>
      <c r="F1121">
        <v>8</v>
      </c>
      <c r="G1121">
        <v>1</v>
      </c>
      <c r="H1121">
        <v>4</v>
      </c>
      <c r="I1121">
        <v>48</v>
      </c>
      <c r="J1121" t="s">
        <v>11</v>
      </c>
    </row>
    <row r="1122" spans="1:10">
      <c r="A1122">
        <v>1121</v>
      </c>
      <c r="B1122" s="1">
        <v>45649</v>
      </c>
      <c r="C1122" t="s">
        <v>12</v>
      </c>
      <c r="D1122">
        <v>199</v>
      </c>
      <c r="E1122">
        <v>4.9000000000000004</v>
      </c>
      <c r="F1122">
        <v>0</v>
      </c>
      <c r="G1122">
        <v>2</v>
      </c>
      <c r="H1122">
        <v>35</v>
      </c>
      <c r="I1122">
        <v>50</v>
      </c>
      <c r="J1122" t="s">
        <v>11</v>
      </c>
    </row>
    <row r="1123" spans="1:10">
      <c r="A1123">
        <v>1122</v>
      </c>
      <c r="B1123" s="1">
        <v>44973</v>
      </c>
      <c r="C1123" t="s">
        <v>10</v>
      </c>
      <c r="D1123">
        <v>699</v>
      </c>
      <c r="E1123">
        <v>2.6</v>
      </c>
      <c r="F1123">
        <v>8</v>
      </c>
      <c r="G1123">
        <v>4</v>
      </c>
      <c r="H1123">
        <v>29</v>
      </c>
      <c r="I1123">
        <v>20</v>
      </c>
      <c r="J1123" t="s">
        <v>11</v>
      </c>
    </row>
    <row r="1124" spans="1:10">
      <c r="A1124">
        <v>1123</v>
      </c>
      <c r="B1124" s="1">
        <v>45251</v>
      </c>
      <c r="C1124" t="s">
        <v>14</v>
      </c>
      <c r="D1124">
        <v>399</v>
      </c>
      <c r="E1124">
        <v>8.8000000000000007</v>
      </c>
      <c r="F1124">
        <v>2</v>
      </c>
      <c r="G1124">
        <v>3</v>
      </c>
      <c r="H1124">
        <v>2</v>
      </c>
      <c r="I1124">
        <v>1</v>
      </c>
      <c r="J1124" t="s">
        <v>13</v>
      </c>
    </row>
    <row r="1125" spans="1:10">
      <c r="A1125">
        <v>1124</v>
      </c>
      <c r="B1125" s="1">
        <v>45114</v>
      </c>
      <c r="C1125" t="s">
        <v>14</v>
      </c>
      <c r="D1125">
        <v>399</v>
      </c>
      <c r="E1125">
        <v>2.7</v>
      </c>
      <c r="F1125">
        <v>1</v>
      </c>
      <c r="G1125">
        <v>4</v>
      </c>
      <c r="H1125">
        <v>17</v>
      </c>
      <c r="I1125">
        <v>10</v>
      </c>
      <c r="J1125" t="s">
        <v>11</v>
      </c>
    </row>
    <row r="1126" spans="1:10">
      <c r="A1126">
        <v>1125</v>
      </c>
      <c r="B1126" s="1">
        <v>45260</v>
      </c>
      <c r="C1126" t="s">
        <v>14</v>
      </c>
      <c r="D1126">
        <v>399</v>
      </c>
      <c r="E1126">
        <v>4.3</v>
      </c>
      <c r="F1126">
        <v>6</v>
      </c>
      <c r="G1126">
        <v>5</v>
      </c>
      <c r="H1126">
        <v>6</v>
      </c>
      <c r="I1126">
        <v>10</v>
      </c>
      <c r="J1126" t="s">
        <v>11</v>
      </c>
    </row>
    <row r="1127" spans="1:10">
      <c r="A1127">
        <v>1126</v>
      </c>
      <c r="B1127" s="1">
        <v>45349</v>
      </c>
      <c r="C1127" t="s">
        <v>12</v>
      </c>
      <c r="D1127">
        <v>199</v>
      </c>
      <c r="E1127">
        <v>18</v>
      </c>
      <c r="F1127">
        <v>4</v>
      </c>
      <c r="G1127">
        <v>3</v>
      </c>
      <c r="H1127">
        <v>2</v>
      </c>
      <c r="I1127">
        <v>6</v>
      </c>
      <c r="J1127" t="s">
        <v>11</v>
      </c>
    </row>
    <row r="1128" spans="1:10">
      <c r="A1128">
        <v>1127</v>
      </c>
      <c r="B1128" s="1">
        <v>45538</v>
      </c>
      <c r="C1128" t="s">
        <v>14</v>
      </c>
      <c r="D1128">
        <v>399</v>
      </c>
      <c r="E1128">
        <v>9.6999999999999993</v>
      </c>
      <c r="F1128">
        <v>1</v>
      </c>
      <c r="G1128">
        <v>0</v>
      </c>
      <c r="H1128">
        <v>17</v>
      </c>
      <c r="I1128">
        <v>12</v>
      </c>
      <c r="J1128" t="s">
        <v>13</v>
      </c>
    </row>
    <row r="1129" spans="1:10">
      <c r="A1129">
        <v>1128</v>
      </c>
      <c r="B1129" s="1">
        <v>44989</v>
      </c>
      <c r="C1129" t="s">
        <v>10</v>
      </c>
      <c r="D1129">
        <v>699</v>
      </c>
      <c r="E1129">
        <v>12.6</v>
      </c>
      <c r="F1129">
        <v>8</v>
      </c>
      <c r="G1129">
        <v>3</v>
      </c>
      <c r="H1129">
        <v>16</v>
      </c>
      <c r="I1129">
        <v>60</v>
      </c>
      <c r="J1129" t="s">
        <v>11</v>
      </c>
    </row>
    <row r="1130" spans="1:10">
      <c r="A1130">
        <v>1129</v>
      </c>
      <c r="B1130" s="1">
        <v>45166</v>
      </c>
      <c r="C1130" t="s">
        <v>14</v>
      </c>
      <c r="D1130">
        <v>399</v>
      </c>
      <c r="E1130">
        <v>14.1</v>
      </c>
      <c r="F1130">
        <v>1</v>
      </c>
      <c r="G1130">
        <v>3</v>
      </c>
      <c r="H1130">
        <v>30</v>
      </c>
      <c r="I1130">
        <v>1</v>
      </c>
      <c r="J1130" t="s">
        <v>13</v>
      </c>
    </row>
    <row r="1131" spans="1:10">
      <c r="A1131">
        <v>1130</v>
      </c>
      <c r="B1131" s="1">
        <v>45055</v>
      </c>
      <c r="C1131" t="s">
        <v>12</v>
      </c>
      <c r="D1131">
        <v>199</v>
      </c>
      <c r="E1131">
        <v>14.1</v>
      </c>
      <c r="F1131">
        <v>1</v>
      </c>
      <c r="G1131">
        <v>1</v>
      </c>
      <c r="H1131">
        <v>18</v>
      </c>
      <c r="I1131">
        <v>48</v>
      </c>
      <c r="J1131" t="s">
        <v>13</v>
      </c>
    </row>
    <row r="1132" spans="1:10">
      <c r="A1132">
        <v>1131</v>
      </c>
      <c r="B1132" s="1">
        <v>45309</v>
      </c>
      <c r="C1132" t="s">
        <v>14</v>
      </c>
      <c r="D1132">
        <v>399</v>
      </c>
      <c r="E1132">
        <v>11.4</v>
      </c>
      <c r="F1132">
        <v>8</v>
      </c>
      <c r="G1132">
        <v>1</v>
      </c>
      <c r="H1132">
        <v>27</v>
      </c>
      <c r="I1132">
        <v>50</v>
      </c>
      <c r="J1132" t="s">
        <v>13</v>
      </c>
    </row>
    <row r="1133" spans="1:10">
      <c r="A1133">
        <v>1132</v>
      </c>
      <c r="B1133" s="1">
        <v>44969</v>
      </c>
      <c r="C1133" t="s">
        <v>10</v>
      </c>
      <c r="D1133">
        <v>699</v>
      </c>
      <c r="E1133">
        <v>19.7</v>
      </c>
      <c r="F1133">
        <v>8</v>
      </c>
      <c r="G1133">
        <v>3</v>
      </c>
      <c r="H1133">
        <v>11</v>
      </c>
      <c r="I1133">
        <v>58</v>
      </c>
      <c r="J1133" t="s">
        <v>11</v>
      </c>
    </row>
    <row r="1134" spans="1:10">
      <c r="A1134">
        <v>1133</v>
      </c>
      <c r="B1134" s="1">
        <v>45420</v>
      </c>
      <c r="C1134" t="s">
        <v>12</v>
      </c>
      <c r="D1134">
        <v>199</v>
      </c>
      <c r="E1134">
        <v>24</v>
      </c>
      <c r="F1134">
        <v>4</v>
      </c>
      <c r="G1134">
        <v>5</v>
      </c>
      <c r="H1134">
        <v>30</v>
      </c>
      <c r="I1134">
        <v>10</v>
      </c>
      <c r="J1134" t="s">
        <v>11</v>
      </c>
    </row>
    <row r="1135" spans="1:10">
      <c r="A1135">
        <v>1134</v>
      </c>
      <c r="B1135" s="1">
        <v>45526</v>
      </c>
      <c r="C1135" t="s">
        <v>14</v>
      </c>
      <c r="D1135">
        <v>399</v>
      </c>
      <c r="E1135">
        <v>21.1</v>
      </c>
      <c r="F1135">
        <v>6</v>
      </c>
      <c r="G1135">
        <v>2</v>
      </c>
      <c r="H1135">
        <v>17</v>
      </c>
      <c r="I1135">
        <v>53</v>
      </c>
      <c r="J1135" t="s">
        <v>11</v>
      </c>
    </row>
    <row r="1136" spans="1:10">
      <c r="A1136">
        <v>1135</v>
      </c>
      <c r="B1136" s="1">
        <v>45331</v>
      </c>
      <c r="C1136" t="s">
        <v>10</v>
      </c>
      <c r="D1136">
        <v>699</v>
      </c>
      <c r="E1136">
        <v>1.6</v>
      </c>
      <c r="F1136">
        <v>8</v>
      </c>
      <c r="G1136">
        <v>4</v>
      </c>
      <c r="H1136">
        <v>19</v>
      </c>
      <c r="I1136">
        <v>4</v>
      </c>
      <c r="J1136" t="s">
        <v>11</v>
      </c>
    </row>
    <row r="1137" spans="1:10">
      <c r="A1137">
        <v>1136</v>
      </c>
      <c r="B1137" s="1">
        <v>45552</v>
      </c>
      <c r="C1137" t="s">
        <v>10</v>
      </c>
      <c r="D1137">
        <v>699</v>
      </c>
      <c r="E1137">
        <v>20.8</v>
      </c>
      <c r="F1137">
        <v>8</v>
      </c>
      <c r="G1137">
        <v>2</v>
      </c>
      <c r="H1137">
        <v>8</v>
      </c>
      <c r="I1137">
        <v>56</v>
      </c>
      <c r="J1137" t="s">
        <v>11</v>
      </c>
    </row>
    <row r="1138" spans="1:10">
      <c r="A1138">
        <v>1137</v>
      </c>
      <c r="B1138" s="1">
        <v>45651</v>
      </c>
      <c r="C1138" t="s">
        <v>10</v>
      </c>
      <c r="D1138">
        <v>699</v>
      </c>
      <c r="E1138">
        <v>22.2</v>
      </c>
      <c r="F1138">
        <v>5</v>
      </c>
      <c r="G1138">
        <v>5</v>
      </c>
      <c r="H1138">
        <v>21</v>
      </c>
      <c r="I1138">
        <v>16</v>
      </c>
      <c r="J1138" t="s">
        <v>13</v>
      </c>
    </row>
    <row r="1139" spans="1:10">
      <c r="A1139">
        <v>1138</v>
      </c>
      <c r="B1139" s="1">
        <v>45540</v>
      </c>
      <c r="C1139" t="s">
        <v>14</v>
      </c>
      <c r="D1139">
        <v>399</v>
      </c>
      <c r="E1139">
        <v>6.5</v>
      </c>
      <c r="F1139">
        <v>5</v>
      </c>
      <c r="G1139">
        <v>2</v>
      </c>
      <c r="H1139">
        <v>18</v>
      </c>
      <c r="I1139">
        <v>13</v>
      </c>
      <c r="J1139" t="s">
        <v>11</v>
      </c>
    </row>
    <row r="1140" spans="1:10">
      <c r="A1140">
        <v>1139</v>
      </c>
      <c r="B1140" s="1">
        <v>45414</v>
      </c>
      <c r="C1140" t="s">
        <v>14</v>
      </c>
      <c r="D1140">
        <v>399</v>
      </c>
      <c r="E1140">
        <v>22.9</v>
      </c>
      <c r="F1140">
        <v>2</v>
      </c>
      <c r="G1140">
        <v>5</v>
      </c>
      <c r="H1140">
        <v>2</v>
      </c>
      <c r="I1140">
        <v>59</v>
      </c>
      <c r="J1140" t="s">
        <v>11</v>
      </c>
    </row>
    <row r="1141" spans="1:10">
      <c r="A1141">
        <v>1140</v>
      </c>
      <c r="B1141" s="1">
        <v>45427</v>
      </c>
      <c r="C1141" t="s">
        <v>12</v>
      </c>
      <c r="D1141">
        <v>199</v>
      </c>
      <c r="E1141">
        <v>17</v>
      </c>
      <c r="F1141">
        <v>6</v>
      </c>
      <c r="G1141">
        <v>4</v>
      </c>
      <c r="H1141">
        <v>1</v>
      </c>
      <c r="I1141">
        <v>57</v>
      </c>
      <c r="J1141" t="s">
        <v>11</v>
      </c>
    </row>
    <row r="1142" spans="1:10">
      <c r="A1142">
        <v>1141</v>
      </c>
      <c r="B1142" s="1">
        <v>45614</v>
      </c>
      <c r="C1142" t="s">
        <v>14</v>
      </c>
      <c r="D1142">
        <v>399</v>
      </c>
      <c r="E1142">
        <v>2.5</v>
      </c>
      <c r="F1142">
        <v>1</v>
      </c>
      <c r="G1142">
        <v>4</v>
      </c>
      <c r="H1142">
        <v>35</v>
      </c>
      <c r="I1142">
        <v>1</v>
      </c>
      <c r="J1142" t="s">
        <v>13</v>
      </c>
    </row>
    <row r="1143" spans="1:10">
      <c r="A1143">
        <v>1142</v>
      </c>
      <c r="B1143" s="1">
        <v>45640</v>
      </c>
      <c r="C1143" t="s">
        <v>14</v>
      </c>
      <c r="D1143">
        <v>399</v>
      </c>
      <c r="E1143">
        <v>9.1</v>
      </c>
      <c r="F1143">
        <v>6</v>
      </c>
      <c r="G1143">
        <v>4</v>
      </c>
      <c r="H1143">
        <v>8</v>
      </c>
      <c r="I1143">
        <v>22</v>
      </c>
      <c r="J1143" t="s">
        <v>11</v>
      </c>
    </row>
    <row r="1144" spans="1:10">
      <c r="A1144">
        <v>1143</v>
      </c>
      <c r="B1144" s="1">
        <v>44947</v>
      </c>
      <c r="C1144" t="s">
        <v>12</v>
      </c>
      <c r="D1144">
        <v>199</v>
      </c>
      <c r="E1144">
        <v>11.8</v>
      </c>
      <c r="F1144">
        <v>3</v>
      </c>
      <c r="G1144">
        <v>3</v>
      </c>
      <c r="H1144">
        <v>8</v>
      </c>
      <c r="I1144">
        <v>0</v>
      </c>
      <c r="J1144" t="s">
        <v>11</v>
      </c>
    </row>
    <row r="1145" spans="1:10">
      <c r="A1145">
        <v>1144</v>
      </c>
      <c r="B1145" s="1">
        <v>45432</v>
      </c>
      <c r="C1145" t="s">
        <v>14</v>
      </c>
      <c r="D1145">
        <v>399</v>
      </c>
      <c r="E1145">
        <v>5.2</v>
      </c>
      <c r="F1145">
        <v>4</v>
      </c>
      <c r="G1145">
        <v>5</v>
      </c>
      <c r="H1145">
        <v>23</v>
      </c>
      <c r="I1145">
        <v>14</v>
      </c>
      <c r="J1145" t="s">
        <v>11</v>
      </c>
    </row>
    <row r="1146" spans="1:10">
      <c r="A1146">
        <v>1145</v>
      </c>
      <c r="B1146" s="1">
        <v>45580</v>
      </c>
      <c r="C1146" t="s">
        <v>14</v>
      </c>
      <c r="D1146">
        <v>399</v>
      </c>
      <c r="E1146">
        <v>7.4</v>
      </c>
      <c r="F1146">
        <v>3</v>
      </c>
      <c r="G1146">
        <v>0</v>
      </c>
      <c r="H1146">
        <v>3</v>
      </c>
      <c r="I1146">
        <v>12</v>
      </c>
      <c r="J1146" t="s">
        <v>13</v>
      </c>
    </row>
    <row r="1147" spans="1:10">
      <c r="A1147">
        <v>1146</v>
      </c>
      <c r="B1147" s="1">
        <v>45602</v>
      </c>
      <c r="C1147" t="s">
        <v>14</v>
      </c>
      <c r="D1147">
        <v>399</v>
      </c>
      <c r="E1147">
        <v>21.8</v>
      </c>
      <c r="F1147">
        <v>8</v>
      </c>
      <c r="G1147">
        <v>3</v>
      </c>
      <c r="H1147">
        <v>8</v>
      </c>
      <c r="I1147">
        <v>10</v>
      </c>
      <c r="J1147" t="s">
        <v>13</v>
      </c>
    </row>
    <row r="1148" spans="1:10">
      <c r="A1148">
        <v>1147</v>
      </c>
      <c r="B1148" s="1">
        <v>45510</v>
      </c>
      <c r="C1148" t="s">
        <v>10</v>
      </c>
      <c r="D1148">
        <v>699</v>
      </c>
      <c r="E1148">
        <v>2.1</v>
      </c>
      <c r="F1148">
        <v>2</v>
      </c>
      <c r="G1148">
        <v>5</v>
      </c>
      <c r="H1148">
        <v>12</v>
      </c>
      <c r="I1148">
        <v>4</v>
      </c>
      <c r="J1148" t="s">
        <v>11</v>
      </c>
    </row>
    <row r="1149" spans="1:10">
      <c r="A1149">
        <v>1148</v>
      </c>
      <c r="B1149" s="1">
        <v>45636</v>
      </c>
      <c r="C1149" t="s">
        <v>12</v>
      </c>
      <c r="D1149">
        <v>199</v>
      </c>
      <c r="E1149">
        <v>18.399999999999999</v>
      </c>
      <c r="F1149">
        <v>4</v>
      </c>
      <c r="G1149">
        <v>1</v>
      </c>
      <c r="H1149">
        <v>34</v>
      </c>
      <c r="I1149">
        <v>54</v>
      </c>
      <c r="J1149" t="s">
        <v>13</v>
      </c>
    </row>
    <row r="1150" spans="1:10">
      <c r="A1150">
        <v>1149</v>
      </c>
      <c r="B1150" s="1">
        <v>45583</v>
      </c>
      <c r="C1150" t="s">
        <v>10</v>
      </c>
      <c r="D1150">
        <v>699</v>
      </c>
      <c r="E1150">
        <v>15.6</v>
      </c>
      <c r="F1150">
        <v>8</v>
      </c>
      <c r="G1150">
        <v>3</v>
      </c>
      <c r="H1150">
        <v>35</v>
      </c>
      <c r="I1150">
        <v>0</v>
      </c>
      <c r="J1150" t="s">
        <v>13</v>
      </c>
    </row>
    <row r="1151" spans="1:10">
      <c r="A1151">
        <v>1150</v>
      </c>
      <c r="B1151" s="1">
        <v>45207</v>
      </c>
      <c r="C1151" t="s">
        <v>10</v>
      </c>
      <c r="D1151">
        <v>699</v>
      </c>
      <c r="E1151">
        <v>21.4</v>
      </c>
      <c r="F1151">
        <v>5</v>
      </c>
      <c r="G1151">
        <v>3</v>
      </c>
      <c r="H1151">
        <v>4</v>
      </c>
      <c r="I1151">
        <v>54</v>
      </c>
      <c r="J1151" t="s">
        <v>13</v>
      </c>
    </row>
    <row r="1152" spans="1:10">
      <c r="A1152">
        <v>1151</v>
      </c>
      <c r="B1152" s="1">
        <v>45156</v>
      </c>
      <c r="C1152" t="s">
        <v>12</v>
      </c>
      <c r="D1152">
        <v>199</v>
      </c>
      <c r="E1152">
        <v>11.9</v>
      </c>
      <c r="F1152">
        <v>5</v>
      </c>
      <c r="G1152">
        <v>4</v>
      </c>
      <c r="H1152">
        <v>34</v>
      </c>
      <c r="I1152">
        <v>48</v>
      </c>
      <c r="J1152" t="s">
        <v>11</v>
      </c>
    </row>
    <row r="1153" spans="1:10">
      <c r="A1153">
        <v>1152</v>
      </c>
      <c r="B1153" s="1">
        <v>45126</v>
      </c>
      <c r="C1153" t="s">
        <v>12</v>
      </c>
      <c r="D1153">
        <v>199</v>
      </c>
      <c r="E1153">
        <v>23</v>
      </c>
      <c r="F1153">
        <v>8</v>
      </c>
      <c r="G1153">
        <v>3</v>
      </c>
      <c r="H1153">
        <v>18</v>
      </c>
      <c r="I1153">
        <v>20</v>
      </c>
      <c r="J1153" t="s">
        <v>11</v>
      </c>
    </row>
    <row r="1154" spans="1:10">
      <c r="A1154">
        <v>1153</v>
      </c>
      <c r="B1154" s="1">
        <v>45360</v>
      </c>
      <c r="C1154" t="s">
        <v>14</v>
      </c>
      <c r="D1154">
        <v>399</v>
      </c>
      <c r="E1154">
        <v>22.1</v>
      </c>
      <c r="F1154">
        <v>0</v>
      </c>
      <c r="G1154">
        <v>5</v>
      </c>
      <c r="H1154">
        <v>6</v>
      </c>
      <c r="I1154">
        <v>14</v>
      </c>
      <c r="J1154" t="s">
        <v>13</v>
      </c>
    </row>
    <row r="1155" spans="1:10">
      <c r="A1155">
        <v>1154</v>
      </c>
      <c r="B1155" s="1">
        <v>45026</v>
      </c>
      <c r="C1155" t="s">
        <v>12</v>
      </c>
      <c r="D1155">
        <v>199</v>
      </c>
      <c r="E1155">
        <v>5.3</v>
      </c>
      <c r="F1155">
        <v>5</v>
      </c>
      <c r="G1155">
        <v>2</v>
      </c>
      <c r="H1155">
        <v>16</v>
      </c>
      <c r="I1155">
        <v>4</v>
      </c>
      <c r="J1155" t="s">
        <v>13</v>
      </c>
    </row>
    <row r="1156" spans="1:10">
      <c r="A1156">
        <v>1155</v>
      </c>
      <c r="B1156" s="1">
        <v>45269</v>
      </c>
      <c r="C1156" t="s">
        <v>12</v>
      </c>
      <c r="D1156">
        <v>199</v>
      </c>
      <c r="E1156">
        <v>11.1</v>
      </c>
      <c r="F1156">
        <v>0</v>
      </c>
      <c r="G1156">
        <v>4</v>
      </c>
      <c r="H1156">
        <v>31</v>
      </c>
      <c r="I1156">
        <v>51</v>
      </c>
      <c r="J1156" t="s">
        <v>13</v>
      </c>
    </row>
    <row r="1157" spans="1:10">
      <c r="A1157">
        <v>1156</v>
      </c>
      <c r="B1157" s="1">
        <v>45268</v>
      </c>
      <c r="C1157" t="s">
        <v>14</v>
      </c>
      <c r="D1157">
        <v>399</v>
      </c>
      <c r="E1157">
        <v>3.1</v>
      </c>
      <c r="F1157">
        <v>3</v>
      </c>
      <c r="G1157">
        <v>2</v>
      </c>
      <c r="H1157">
        <v>16</v>
      </c>
      <c r="I1157">
        <v>53</v>
      </c>
      <c r="J1157" t="s">
        <v>11</v>
      </c>
    </row>
    <row r="1158" spans="1:10">
      <c r="A1158">
        <v>1157</v>
      </c>
      <c r="B1158" s="1">
        <v>45054</v>
      </c>
      <c r="C1158" t="s">
        <v>10</v>
      </c>
      <c r="D1158">
        <v>699</v>
      </c>
      <c r="E1158">
        <v>23.6</v>
      </c>
      <c r="F1158">
        <v>7</v>
      </c>
      <c r="G1158">
        <v>0</v>
      </c>
      <c r="H1158">
        <v>16</v>
      </c>
      <c r="I1158">
        <v>40</v>
      </c>
      <c r="J1158" t="s">
        <v>11</v>
      </c>
    </row>
    <row r="1159" spans="1:10">
      <c r="A1159">
        <v>1158</v>
      </c>
      <c r="B1159" s="1">
        <v>44993</v>
      </c>
      <c r="C1159" t="s">
        <v>12</v>
      </c>
      <c r="D1159">
        <v>199</v>
      </c>
      <c r="E1159">
        <v>23</v>
      </c>
      <c r="F1159">
        <v>6</v>
      </c>
      <c r="G1159">
        <v>2</v>
      </c>
      <c r="H1159">
        <v>4</v>
      </c>
      <c r="I1159">
        <v>56</v>
      </c>
      <c r="J1159" t="s">
        <v>13</v>
      </c>
    </row>
    <row r="1160" spans="1:10">
      <c r="A1160">
        <v>1159</v>
      </c>
      <c r="B1160" s="1">
        <v>45369</v>
      </c>
      <c r="C1160" t="s">
        <v>12</v>
      </c>
      <c r="D1160">
        <v>199</v>
      </c>
      <c r="E1160">
        <v>23</v>
      </c>
      <c r="F1160">
        <v>7</v>
      </c>
      <c r="G1160">
        <v>0</v>
      </c>
      <c r="H1160">
        <v>4</v>
      </c>
      <c r="I1160">
        <v>19</v>
      </c>
      <c r="J1160" t="s">
        <v>13</v>
      </c>
    </row>
    <row r="1161" spans="1:10">
      <c r="A1161">
        <v>1160</v>
      </c>
      <c r="B1161" s="1">
        <v>45338</v>
      </c>
      <c r="C1161" t="s">
        <v>12</v>
      </c>
      <c r="D1161">
        <v>199</v>
      </c>
      <c r="E1161">
        <v>17.100000000000001</v>
      </c>
      <c r="F1161">
        <v>8</v>
      </c>
      <c r="G1161">
        <v>0</v>
      </c>
      <c r="H1161">
        <v>7</v>
      </c>
      <c r="I1161">
        <v>18</v>
      </c>
      <c r="J1161" t="s">
        <v>13</v>
      </c>
    </row>
    <row r="1162" spans="1:10">
      <c r="A1162">
        <v>1161</v>
      </c>
      <c r="B1162" s="1">
        <v>45365</v>
      </c>
      <c r="C1162" t="s">
        <v>12</v>
      </c>
      <c r="D1162">
        <v>199</v>
      </c>
      <c r="E1162">
        <v>6.2</v>
      </c>
      <c r="F1162">
        <v>0</v>
      </c>
      <c r="G1162">
        <v>3</v>
      </c>
      <c r="H1162">
        <v>27</v>
      </c>
      <c r="I1162">
        <v>24</v>
      </c>
      <c r="J1162" t="s">
        <v>11</v>
      </c>
    </row>
    <row r="1163" spans="1:10">
      <c r="A1163">
        <v>1162</v>
      </c>
      <c r="B1163" s="1">
        <v>45124</v>
      </c>
      <c r="C1163" t="s">
        <v>10</v>
      </c>
      <c r="D1163">
        <v>699</v>
      </c>
      <c r="E1163">
        <v>8.8000000000000007</v>
      </c>
      <c r="F1163">
        <v>0</v>
      </c>
      <c r="G1163">
        <v>3</v>
      </c>
      <c r="H1163">
        <v>7</v>
      </c>
      <c r="I1163">
        <v>33</v>
      </c>
      <c r="J1163" t="s">
        <v>11</v>
      </c>
    </row>
    <row r="1164" spans="1:10">
      <c r="A1164">
        <v>1163</v>
      </c>
      <c r="B1164" s="1">
        <v>45513</v>
      </c>
      <c r="C1164" t="s">
        <v>12</v>
      </c>
      <c r="D1164">
        <v>199</v>
      </c>
      <c r="E1164">
        <v>0.8</v>
      </c>
      <c r="F1164">
        <v>1</v>
      </c>
      <c r="G1164">
        <v>4</v>
      </c>
      <c r="H1164">
        <v>7</v>
      </c>
      <c r="I1164">
        <v>50</v>
      </c>
      <c r="J1164" t="s">
        <v>11</v>
      </c>
    </row>
    <row r="1165" spans="1:10">
      <c r="A1165">
        <v>1164</v>
      </c>
      <c r="B1165" s="1">
        <v>45117</v>
      </c>
      <c r="C1165" t="s">
        <v>12</v>
      </c>
      <c r="D1165">
        <v>199</v>
      </c>
      <c r="E1165">
        <v>6.8</v>
      </c>
      <c r="F1165">
        <v>6</v>
      </c>
      <c r="G1165">
        <v>3</v>
      </c>
      <c r="H1165">
        <v>33</v>
      </c>
      <c r="I1165">
        <v>46</v>
      </c>
      <c r="J1165" t="s">
        <v>11</v>
      </c>
    </row>
    <row r="1166" spans="1:10">
      <c r="A1166">
        <v>1165</v>
      </c>
      <c r="B1166" s="1">
        <v>45452</v>
      </c>
      <c r="C1166" t="s">
        <v>12</v>
      </c>
      <c r="D1166">
        <v>199</v>
      </c>
      <c r="E1166">
        <v>20</v>
      </c>
      <c r="F1166">
        <v>0</v>
      </c>
      <c r="G1166">
        <v>1</v>
      </c>
      <c r="H1166">
        <v>9</v>
      </c>
      <c r="I1166">
        <v>19</v>
      </c>
      <c r="J1166" t="s">
        <v>13</v>
      </c>
    </row>
    <row r="1167" spans="1:10">
      <c r="A1167">
        <v>1166</v>
      </c>
      <c r="B1167" s="1">
        <v>45544</v>
      </c>
      <c r="C1167" t="s">
        <v>10</v>
      </c>
      <c r="D1167">
        <v>699</v>
      </c>
      <c r="E1167">
        <v>8.1</v>
      </c>
      <c r="F1167">
        <v>8</v>
      </c>
      <c r="G1167">
        <v>1</v>
      </c>
      <c r="H1167">
        <v>23</v>
      </c>
      <c r="I1167">
        <v>9</v>
      </c>
      <c r="J1167" t="s">
        <v>13</v>
      </c>
    </row>
    <row r="1168" spans="1:10">
      <c r="A1168">
        <v>1167</v>
      </c>
      <c r="B1168" s="1">
        <v>45075</v>
      </c>
      <c r="C1168" t="s">
        <v>14</v>
      </c>
      <c r="D1168">
        <v>399</v>
      </c>
      <c r="E1168">
        <v>9.5</v>
      </c>
      <c r="F1168">
        <v>0</v>
      </c>
      <c r="G1168">
        <v>4</v>
      </c>
      <c r="H1168">
        <v>19</v>
      </c>
      <c r="I1168">
        <v>37</v>
      </c>
      <c r="J1168" t="s">
        <v>13</v>
      </c>
    </row>
    <row r="1169" spans="1:10">
      <c r="A1169">
        <v>1168</v>
      </c>
      <c r="B1169" s="1">
        <v>45132</v>
      </c>
      <c r="C1169" t="s">
        <v>12</v>
      </c>
      <c r="D1169">
        <v>199</v>
      </c>
      <c r="E1169">
        <v>12.9</v>
      </c>
      <c r="F1169">
        <v>8</v>
      </c>
      <c r="G1169">
        <v>0</v>
      </c>
      <c r="H1169">
        <v>16</v>
      </c>
      <c r="I1169">
        <v>27</v>
      </c>
      <c r="J1169" t="s">
        <v>11</v>
      </c>
    </row>
    <row r="1170" spans="1:10">
      <c r="A1170">
        <v>1169</v>
      </c>
      <c r="B1170" s="1">
        <v>45635</v>
      </c>
      <c r="C1170" t="s">
        <v>10</v>
      </c>
      <c r="D1170">
        <v>699</v>
      </c>
      <c r="E1170">
        <v>19.7</v>
      </c>
      <c r="F1170">
        <v>5</v>
      </c>
      <c r="G1170">
        <v>1</v>
      </c>
      <c r="H1170">
        <v>13</v>
      </c>
      <c r="I1170">
        <v>42</v>
      </c>
      <c r="J1170" t="s">
        <v>11</v>
      </c>
    </row>
    <row r="1171" spans="1:10">
      <c r="A1171">
        <v>1170</v>
      </c>
      <c r="B1171" s="1">
        <v>45093</v>
      </c>
      <c r="C1171" t="s">
        <v>14</v>
      </c>
      <c r="D1171">
        <v>399</v>
      </c>
      <c r="E1171">
        <v>21.4</v>
      </c>
      <c r="F1171">
        <v>5</v>
      </c>
      <c r="G1171">
        <v>4</v>
      </c>
      <c r="H1171">
        <v>22</v>
      </c>
      <c r="I1171">
        <v>19</v>
      </c>
      <c r="J1171" t="s">
        <v>11</v>
      </c>
    </row>
    <row r="1172" spans="1:10">
      <c r="A1172">
        <v>1171</v>
      </c>
      <c r="B1172" s="1">
        <v>45581</v>
      </c>
      <c r="C1172" t="s">
        <v>12</v>
      </c>
      <c r="D1172">
        <v>199</v>
      </c>
      <c r="E1172">
        <v>22</v>
      </c>
      <c r="F1172">
        <v>0</v>
      </c>
      <c r="G1172">
        <v>3</v>
      </c>
      <c r="H1172">
        <v>30</v>
      </c>
      <c r="I1172">
        <v>14</v>
      </c>
      <c r="J1172" t="s">
        <v>13</v>
      </c>
    </row>
    <row r="1173" spans="1:10">
      <c r="A1173">
        <v>1172</v>
      </c>
      <c r="B1173" s="1">
        <v>45266</v>
      </c>
      <c r="C1173" t="s">
        <v>12</v>
      </c>
      <c r="D1173">
        <v>199</v>
      </c>
      <c r="E1173">
        <v>11.9</v>
      </c>
      <c r="F1173">
        <v>3</v>
      </c>
      <c r="G1173">
        <v>1</v>
      </c>
      <c r="H1173">
        <v>15</v>
      </c>
      <c r="I1173">
        <v>30</v>
      </c>
      <c r="J1173" t="s">
        <v>13</v>
      </c>
    </row>
    <row r="1174" spans="1:10">
      <c r="A1174">
        <v>1173</v>
      </c>
      <c r="B1174" s="1">
        <v>45293</v>
      </c>
      <c r="C1174" t="s">
        <v>10</v>
      </c>
      <c r="D1174">
        <v>699</v>
      </c>
      <c r="E1174">
        <v>5.5</v>
      </c>
      <c r="F1174">
        <v>2</v>
      </c>
      <c r="G1174">
        <v>0</v>
      </c>
      <c r="H1174">
        <v>25</v>
      </c>
      <c r="I1174">
        <v>23</v>
      </c>
      <c r="J1174" t="s">
        <v>11</v>
      </c>
    </row>
    <row r="1175" spans="1:10">
      <c r="A1175">
        <v>1174</v>
      </c>
      <c r="B1175" s="1">
        <v>45295</v>
      </c>
      <c r="C1175" t="s">
        <v>12</v>
      </c>
      <c r="D1175">
        <v>199</v>
      </c>
      <c r="E1175">
        <v>3.3</v>
      </c>
      <c r="F1175">
        <v>4</v>
      </c>
      <c r="G1175">
        <v>3</v>
      </c>
      <c r="H1175">
        <v>36</v>
      </c>
      <c r="I1175">
        <v>12</v>
      </c>
      <c r="J1175" t="s">
        <v>11</v>
      </c>
    </row>
    <row r="1176" spans="1:10">
      <c r="A1176">
        <v>1175</v>
      </c>
      <c r="B1176" s="1">
        <v>45105</v>
      </c>
      <c r="C1176" t="s">
        <v>12</v>
      </c>
      <c r="D1176">
        <v>199</v>
      </c>
      <c r="E1176">
        <v>5.4</v>
      </c>
      <c r="F1176">
        <v>4</v>
      </c>
      <c r="G1176">
        <v>1</v>
      </c>
      <c r="H1176">
        <v>2</v>
      </c>
      <c r="I1176">
        <v>14</v>
      </c>
      <c r="J1176" t="s">
        <v>13</v>
      </c>
    </row>
    <row r="1177" spans="1:10">
      <c r="A1177">
        <v>1176</v>
      </c>
      <c r="B1177" s="1">
        <v>45030</v>
      </c>
      <c r="C1177" t="s">
        <v>14</v>
      </c>
      <c r="D1177">
        <v>399</v>
      </c>
      <c r="E1177">
        <v>6.5</v>
      </c>
      <c r="F1177">
        <v>3</v>
      </c>
      <c r="G1177">
        <v>0</v>
      </c>
      <c r="H1177">
        <v>36</v>
      </c>
      <c r="I1177">
        <v>11</v>
      </c>
      <c r="J1177" t="s">
        <v>13</v>
      </c>
    </row>
    <row r="1178" spans="1:10">
      <c r="A1178">
        <v>1177</v>
      </c>
      <c r="B1178" s="1">
        <v>45394</v>
      </c>
      <c r="C1178" t="s">
        <v>12</v>
      </c>
      <c r="D1178">
        <v>199</v>
      </c>
      <c r="E1178">
        <v>9.8000000000000007</v>
      </c>
      <c r="F1178">
        <v>1</v>
      </c>
      <c r="G1178">
        <v>2</v>
      </c>
      <c r="H1178">
        <v>9</v>
      </c>
      <c r="I1178">
        <v>59</v>
      </c>
      <c r="J1178" t="s">
        <v>11</v>
      </c>
    </row>
    <row r="1179" spans="1:10">
      <c r="A1179">
        <v>1178</v>
      </c>
      <c r="B1179" s="1">
        <v>45371</v>
      </c>
      <c r="C1179" t="s">
        <v>12</v>
      </c>
      <c r="D1179">
        <v>199</v>
      </c>
      <c r="E1179">
        <v>20.3</v>
      </c>
      <c r="F1179">
        <v>2</v>
      </c>
      <c r="G1179">
        <v>4</v>
      </c>
      <c r="H1179">
        <v>24</v>
      </c>
      <c r="I1179">
        <v>51</v>
      </c>
      <c r="J1179" t="s">
        <v>13</v>
      </c>
    </row>
    <row r="1180" spans="1:10">
      <c r="A1180">
        <v>1179</v>
      </c>
      <c r="B1180" s="1">
        <v>45638</v>
      </c>
      <c r="C1180" t="s">
        <v>10</v>
      </c>
      <c r="D1180">
        <v>699</v>
      </c>
      <c r="E1180">
        <v>3.4</v>
      </c>
      <c r="F1180">
        <v>2</v>
      </c>
      <c r="G1180">
        <v>1</v>
      </c>
      <c r="H1180">
        <v>5</v>
      </c>
      <c r="I1180">
        <v>12</v>
      </c>
      <c r="J1180" t="s">
        <v>13</v>
      </c>
    </row>
    <row r="1181" spans="1:10">
      <c r="A1181">
        <v>1180</v>
      </c>
      <c r="B1181" s="1">
        <v>45120</v>
      </c>
      <c r="C1181" t="s">
        <v>14</v>
      </c>
      <c r="D1181">
        <v>399</v>
      </c>
      <c r="E1181">
        <v>15.2</v>
      </c>
      <c r="F1181">
        <v>3</v>
      </c>
      <c r="G1181">
        <v>0</v>
      </c>
      <c r="H1181">
        <v>21</v>
      </c>
      <c r="I1181">
        <v>48</v>
      </c>
      <c r="J1181" t="s">
        <v>13</v>
      </c>
    </row>
    <row r="1182" spans="1:10">
      <c r="A1182">
        <v>1181</v>
      </c>
      <c r="B1182" s="1">
        <v>45213</v>
      </c>
      <c r="C1182" t="s">
        <v>10</v>
      </c>
      <c r="D1182">
        <v>699</v>
      </c>
      <c r="E1182">
        <v>19.8</v>
      </c>
      <c r="F1182">
        <v>5</v>
      </c>
      <c r="G1182">
        <v>1</v>
      </c>
      <c r="H1182">
        <v>19</v>
      </c>
      <c r="I1182">
        <v>3</v>
      </c>
      <c r="J1182" t="s">
        <v>13</v>
      </c>
    </row>
    <row r="1183" spans="1:10">
      <c r="A1183">
        <v>1182</v>
      </c>
      <c r="B1183" s="1">
        <v>45408</v>
      </c>
      <c r="C1183" t="s">
        <v>12</v>
      </c>
      <c r="D1183">
        <v>199</v>
      </c>
      <c r="E1183">
        <v>24.2</v>
      </c>
      <c r="F1183">
        <v>7</v>
      </c>
      <c r="G1183">
        <v>1</v>
      </c>
      <c r="H1183">
        <v>33</v>
      </c>
      <c r="I1183">
        <v>46</v>
      </c>
      <c r="J1183" t="s">
        <v>11</v>
      </c>
    </row>
    <row r="1184" spans="1:10">
      <c r="A1184">
        <v>1183</v>
      </c>
      <c r="B1184" s="1">
        <v>45437</v>
      </c>
      <c r="C1184" t="s">
        <v>10</v>
      </c>
      <c r="D1184">
        <v>699</v>
      </c>
      <c r="E1184">
        <v>4.5999999999999996</v>
      </c>
      <c r="F1184">
        <v>6</v>
      </c>
      <c r="G1184">
        <v>5</v>
      </c>
      <c r="H1184">
        <v>5</v>
      </c>
      <c r="I1184">
        <v>48</v>
      </c>
      <c r="J1184" t="s">
        <v>11</v>
      </c>
    </row>
    <row r="1185" spans="1:10">
      <c r="A1185">
        <v>1184</v>
      </c>
      <c r="B1185" s="1">
        <v>45433</v>
      </c>
      <c r="C1185" t="s">
        <v>10</v>
      </c>
      <c r="D1185">
        <v>699</v>
      </c>
      <c r="E1185">
        <v>4.9000000000000004</v>
      </c>
      <c r="F1185">
        <v>5</v>
      </c>
      <c r="G1185">
        <v>4</v>
      </c>
      <c r="H1185">
        <v>30</v>
      </c>
      <c r="I1185">
        <v>44</v>
      </c>
      <c r="J1185" t="s">
        <v>11</v>
      </c>
    </row>
    <row r="1186" spans="1:10">
      <c r="A1186">
        <v>1185</v>
      </c>
      <c r="B1186" s="1">
        <v>45389</v>
      </c>
      <c r="C1186" t="s">
        <v>14</v>
      </c>
      <c r="D1186">
        <v>399</v>
      </c>
      <c r="E1186">
        <v>14.7</v>
      </c>
      <c r="F1186">
        <v>0</v>
      </c>
      <c r="G1186">
        <v>1</v>
      </c>
      <c r="H1186">
        <v>18</v>
      </c>
      <c r="I1186">
        <v>14</v>
      </c>
      <c r="J1186" t="s">
        <v>13</v>
      </c>
    </row>
    <row r="1187" spans="1:10">
      <c r="A1187">
        <v>1186</v>
      </c>
      <c r="B1187" s="1">
        <v>45310</v>
      </c>
      <c r="C1187" t="s">
        <v>12</v>
      </c>
      <c r="D1187">
        <v>199</v>
      </c>
      <c r="E1187">
        <v>5.9</v>
      </c>
      <c r="F1187">
        <v>6</v>
      </c>
      <c r="G1187">
        <v>3</v>
      </c>
      <c r="H1187">
        <v>26</v>
      </c>
      <c r="I1187">
        <v>36</v>
      </c>
      <c r="J1187" t="s">
        <v>11</v>
      </c>
    </row>
    <row r="1188" spans="1:10">
      <c r="A1188">
        <v>1187</v>
      </c>
      <c r="B1188" s="1">
        <v>45162</v>
      </c>
      <c r="C1188" t="s">
        <v>14</v>
      </c>
      <c r="D1188">
        <v>399</v>
      </c>
      <c r="E1188">
        <v>2.6</v>
      </c>
      <c r="F1188">
        <v>1</v>
      </c>
      <c r="G1188">
        <v>2</v>
      </c>
      <c r="H1188">
        <v>36</v>
      </c>
      <c r="I1188">
        <v>28</v>
      </c>
      <c r="J1188" t="s">
        <v>11</v>
      </c>
    </row>
    <row r="1189" spans="1:10">
      <c r="A1189">
        <v>1188</v>
      </c>
      <c r="B1189" s="1">
        <v>45345</v>
      </c>
      <c r="C1189" t="s">
        <v>10</v>
      </c>
      <c r="D1189">
        <v>699</v>
      </c>
      <c r="E1189">
        <v>11.9</v>
      </c>
      <c r="F1189">
        <v>5</v>
      </c>
      <c r="G1189">
        <v>3</v>
      </c>
      <c r="H1189">
        <v>3</v>
      </c>
      <c r="I1189">
        <v>28</v>
      </c>
      <c r="J1189" t="s">
        <v>11</v>
      </c>
    </row>
    <row r="1190" spans="1:10">
      <c r="A1190">
        <v>1189</v>
      </c>
      <c r="B1190" s="1">
        <v>45198</v>
      </c>
      <c r="C1190" t="s">
        <v>14</v>
      </c>
      <c r="D1190">
        <v>399</v>
      </c>
      <c r="E1190">
        <v>8.3000000000000007</v>
      </c>
      <c r="F1190">
        <v>6</v>
      </c>
      <c r="G1190">
        <v>0</v>
      </c>
      <c r="H1190">
        <v>32</v>
      </c>
      <c r="I1190">
        <v>11</v>
      </c>
      <c r="J1190" t="s">
        <v>13</v>
      </c>
    </row>
    <row r="1191" spans="1:10">
      <c r="A1191">
        <v>1190</v>
      </c>
      <c r="B1191" s="1">
        <v>45486</v>
      </c>
      <c r="C1191" t="s">
        <v>10</v>
      </c>
      <c r="D1191">
        <v>699</v>
      </c>
      <c r="E1191">
        <v>9.3000000000000007</v>
      </c>
      <c r="F1191">
        <v>1</v>
      </c>
      <c r="G1191">
        <v>2</v>
      </c>
      <c r="H1191">
        <v>5</v>
      </c>
      <c r="I1191">
        <v>53</v>
      </c>
      <c r="J1191" t="s">
        <v>11</v>
      </c>
    </row>
    <row r="1192" spans="1:10">
      <c r="A1192">
        <v>1191</v>
      </c>
      <c r="B1192" s="1">
        <v>44966</v>
      </c>
      <c r="C1192" t="s">
        <v>10</v>
      </c>
      <c r="D1192">
        <v>699</v>
      </c>
      <c r="E1192">
        <v>19.8</v>
      </c>
      <c r="F1192">
        <v>3</v>
      </c>
      <c r="G1192">
        <v>0</v>
      </c>
      <c r="H1192">
        <v>6</v>
      </c>
      <c r="I1192">
        <v>7</v>
      </c>
      <c r="J1192" t="s">
        <v>11</v>
      </c>
    </row>
    <row r="1193" spans="1:10">
      <c r="A1193">
        <v>1192</v>
      </c>
      <c r="B1193" s="1">
        <v>45626</v>
      </c>
      <c r="C1193" t="s">
        <v>10</v>
      </c>
      <c r="D1193">
        <v>699</v>
      </c>
      <c r="E1193">
        <v>8.6999999999999993</v>
      </c>
      <c r="F1193">
        <v>5</v>
      </c>
      <c r="G1193">
        <v>2</v>
      </c>
      <c r="H1193">
        <v>13</v>
      </c>
      <c r="I1193">
        <v>19</v>
      </c>
      <c r="J1193" t="s">
        <v>13</v>
      </c>
    </row>
    <row r="1194" spans="1:10">
      <c r="A1194">
        <v>1193</v>
      </c>
      <c r="B1194" s="1">
        <v>45194</v>
      </c>
      <c r="C1194" t="s">
        <v>14</v>
      </c>
      <c r="D1194">
        <v>399</v>
      </c>
      <c r="E1194">
        <v>17.8</v>
      </c>
      <c r="F1194">
        <v>2</v>
      </c>
      <c r="G1194">
        <v>5</v>
      </c>
      <c r="H1194">
        <v>13</v>
      </c>
      <c r="I1194">
        <v>47</v>
      </c>
      <c r="J1194" t="s">
        <v>11</v>
      </c>
    </row>
    <row r="1195" spans="1:10">
      <c r="A1195">
        <v>1194</v>
      </c>
      <c r="B1195" s="1">
        <v>45520</v>
      </c>
      <c r="C1195" t="s">
        <v>12</v>
      </c>
      <c r="D1195">
        <v>199</v>
      </c>
      <c r="E1195">
        <v>7.4</v>
      </c>
      <c r="F1195">
        <v>5</v>
      </c>
      <c r="G1195">
        <v>3</v>
      </c>
      <c r="H1195">
        <v>20</v>
      </c>
      <c r="I1195">
        <v>60</v>
      </c>
      <c r="J1195" t="s">
        <v>11</v>
      </c>
    </row>
    <row r="1196" spans="1:10">
      <c r="A1196">
        <v>1195</v>
      </c>
      <c r="B1196" s="1">
        <v>45159</v>
      </c>
      <c r="C1196" t="s">
        <v>10</v>
      </c>
      <c r="D1196">
        <v>699</v>
      </c>
      <c r="E1196">
        <v>12.1</v>
      </c>
      <c r="F1196">
        <v>8</v>
      </c>
      <c r="G1196">
        <v>1</v>
      </c>
      <c r="H1196">
        <v>1</v>
      </c>
      <c r="I1196">
        <v>55</v>
      </c>
      <c r="J1196" t="s">
        <v>11</v>
      </c>
    </row>
    <row r="1197" spans="1:10">
      <c r="A1197">
        <v>1196</v>
      </c>
      <c r="B1197" s="1">
        <v>45406</v>
      </c>
      <c r="C1197" t="s">
        <v>10</v>
      </c>
      <c r="D1197">
        <v>699</v>
      </c>
      <c r="E1197">
        <v>12.1</v>
      </c>
      <c r="F1197">
        <v>8</v>
      </c>
      <c r="G1197">
        <v>4</v>
      </c>
      <c r="H1197">
        <v>14</v>
      </c>
      <c r="I1197">
        <v>50</v>
      </c>
      <c r="J1197" t="s">
        <v>11</v>
      </c>
    </row>
    <row r="1198" spans="1:10">
      <c r="A1198">
        <v>1197</v>
      </c>
      <c r="B1198" s="1">
        <v>45641</v>
      </c>
      <c r="C1198" t="s">
        <v>10</v>
      </c>
      <c r="D1198">
        <v>699</v>
      </c>
      <c r="E1198">
        <v>8.8000000000000007</v>
      </c>
      <c r="F1198">
        <v>1</v>
      </c>
      <c r="G1198">
        <v>2</v>
      </c>
      <c r="H1198">
        <v>30</v>
      </c>
      <c r="I1198">
        <v>54</v>
      </c>
      <c r="J1198" t="s">
        <v>11</v>
      </c>
    </row>
    <row r="1199" spans="1:10">
      <c r="A1199">
        <v>1198</v>
      </c>
      <c r="B1199" s="1">
        <v>45058</v>
      </c>
      <c r="C1199" t="s">
        <v>14</v>
      </c>
      <c r="D1199">
        <v>399</v>
      </c>
      <c r="E1199">
        <v>11.2</v>
      </c>
      <c r="F1199">
        <v>8</v>
      </c>
      <c r="G1199">
        <v>0</v>
      </c>
      <c r="H1199">
        <v>14</v>
      </c>
      <c r="I1199">
        <v>23</v>
      </c>
      <c r="J1199" t="s">
        <v>11</v>
      </c>
    </row>
    <row r="1200" spans="1:10">
      <c r="A1200">
        <v>1199</v>
      </c>
      <c r="B1200" s="1">
        <v>45629</v>
      </c>
      <c r="C1200" t="s">
        <v>14</v>
      </c>
      <c r="D1200">
        <v>399</v>
      </c>
      <c r="E1200">
        <v>12.7</v>
      </c>
      <c r="F1200">
        <v>5</v>
      </c>
      <c r="G1200">
        <v>2</v>
      </c>
      <c r="H1200">
        <v>1</v>
      </c>
      <c r="I1200">
        <v>14</v>
      </c>
      <c r="J1200" t="s">
        <v>11</v>
      </c>
    </row>
    <row r="1201" spans="1:10">
      <c r="A1201">
        <v>1200</v>
      </c>
      <c r="B1201" s="1">
        <v>45069</v>
      </c>
      <c r="C1201" t="s">
        <v>14</v>
      </c>
      <c r="D1201">
        <v>399</v>
      </c>
      <c r="E1201">
        <v>7.8</v>
      </c>
      <c r="F1201">
        <v>0</v>
      </c>
      <c r="G1201">
        <v>4</v>
      </c>
      <c r="H1201">
        <v>35</v>
      </c>
      <c r="I1201">
        <v>50</v>
      </c>
      <c r="J1201" t="s">
        <v>11</v>
      </c>
    </row>
    <row r="1202" spans="1:10">
      <c r="A1202">
        <v>1201</v>
      </c>
      <c r="B1202" s="1">
        <v>44992</v>
      </c>
      <c r="C1202" t="s">
        <v>12</v>
      </c>
      <c r="D1202">
        <v>199</v>
      </c>
      <c r="E1202">
        <v>14.4</v>
      </c>
      <c r="F1202">
        <v>6</v>
      </c>
      <c r="G1202">
        <v>3</v>
      </c>
      <c r="H1202">
        <v>22</v>
      </c>
      <c r="I1202">
        <v>13</v>
      </c>
      <c r="J1202" t="s">
        <v>13</v>
      </c>
    </row>
    <row r="1203" spans="1:10">
      <c r="A1203">
        <v>1202</v>
      </c>
      <c r="B1203" s="1">
        <v>45581</v>
      </c>
      <c r="C1203" t="s">
        <v>10</v>
      </c>
      <c r="D1203">
        <v>699</v>
      </c>
      <c r="E1203">
        <v>5.0999999999999996</v>
      </c>
      <c r="F1203">
        <v>1</v>
      </c>
      <c r="G1203">
        <v>2</v>
      </c>
      <c r="H1203">
        <v>25</v>
      </c>
      <c r="I1203">
        <v>36</v>
      </c>
      <c r="J1203" t="s">
        <v>13</v>
      </c>
    </row>
    <row r="1204" spans="1:10">
      <c r="A1204">
        <v>1203</v>
      </c>
      <c r="B1204" s="1">
        <v>45544</v>
      </c>
      <c r="C1204" t="s">
        <v>14</v>
      </c>
      <c r="D1204">
        <v>399</v>
      </c>
      <c r="E1204">
        <v>4.7</v>
      </c>
      <c r="F1204">
        <v>8</v>
      </c>
      <c r="G1204">
        <v>1</v>
      </c>
      <c r="H1204">
        <v>6</v>
      </c>
      <c r="I1204">
        <v>2</v>
      </c>
      <c r="J1204" t="s">
        <v>13</v>
      </c>
    </row>
    <row r="1205" spans="1:10">
      <c r="A1205">
        <v>1204</v>
      </c>
      <c r="B1205" s="1">
        <v>45225</v>
      </c>
      <c r="C1205" t="s">
        <v>14</v>
      </c>
      <c r="D1205">
        <v>399</v>
      </c>
      <c r="E1205">
        <v>5.0999999999999996</v>
      </c>
      <c r="F1205">
        <v>1</v>
      </c>
      <c r="G1205">
        <v>3</v>
      </c>
      <c r="H1205">
        <v>2</v>
      </c>
      <c r="I1205">
        <v>18</v>
      </c>
      <c r="J1205" t="s">
        <v>11</v>
      </c>
    </row>
    <row r="1206" spans="1:10">
      <c r="A1206">
        <v>1205</v>
      </c>
      <c r="B1206" s="1">
        <v>45261</v>
      </c>
      <c r="C1206" t="s">
        <v>10</v>
      </c>
      <c r="D1206">
        <v>699</v>
      </c>
      <c r="E1206">
        <v>2.2000000000000002</v>
      </c>
      <c r="F1206">
        <v>0</v>
      </c>
      <c r="G1206">
        <v>2</v>
      </c>
      <c r="H1206">
        <v>34</v>
      </c>
      <c r="I1206">
        <v>33</v>
      </c>
      <c r="J1206" t="s">
        <v>11</v>
      </c>
    </row>
    <row r="1207" spans="1:10">
      <c r="A1207">
        <v>1206</v>
      </c>
      <c r="B1207" s="1">
        <v>44997</v>
      </c>
      <c r="C1207" t="s">
        <v>14</v>
      </c>
      <c r="D1207">
        <v>399</v>
      </c>
      <c r="E1207">
        <v>4.3</v>
      </c>
      <c r="F1207">
        <v>1</v>
      </c>
      <c r="G1207">
        <v>1</v>
      </c>
      <c r="H1207">
        <v>26</v>
      </c>
      <c r="I1207">
        <v>34</v>
      </c>
      <c r="J1207" t="s">
        <v>11</v>
      </c>
    </row>
    <row r="1208" spans="1:10">
      <c r="A1208">
        <v>1207</v>
      </c>
      <c r="B1208" s="1">
        <v>45607</v>
      </c>
      <c r="C1208" t="s">
        <v>14</v>
      </c>
      <c r="D1208">
        <v>399</v>
      </c>
      <c r="E1208">
        <v>3.7</v>
      </c>
      <c r="F1208">
        <v>3</v>
      </c>
      <c r="G1208">
        <v>2</v>
      </c>
      <c r="H1208">
        <v>14</v>
      </c>
      <c r="I1208">
        <v>27</v>
      </c>
      <c r="J1208" t="s">
        <v>11</v>
      </c>
    </row>
    <row r="1209" spans="1:10">
      <c r="A1209">
        <v>1208</v>
      </c>
      <c r="B1209" s="1">
        <v>45628</v>
      </c>
      <c r="C1209" t="s">
        <v>14</v>
      </c>
      <c r="D1209">
        <v>399</v>
      </c>
      <c r="E1209">
        <v>15.3</v>
      </c>
      <c r="F1209">
        <v>4</v>
      </c>
      <c r="G1209">
        <v>4</v>
      </c>
      <c r="H1209">
        <v>11</v>
      </c>
      <c r="I1209">
        <v>12</v>
      </c>
      <c r="J1209" t="s">
        <v>13</v>
      </c>
    </row>
    <row r="1210" spans="1:10">
      <c r="A1210">
        <v>1209</v>
      </c>
      <c r="B1210" s="1">
        <v>45546</v>
      </c>
      <c r="C1210" t="s">
        <v>14</v>
      </c>
      <c r="D1210">
        <v>399</v>
      </c>
      <c r="E1210">
        <v>5.4</v>
      </c>
      <c r="F1210">
        <v>2</v>
      </c>
      <c r="G1210">
        <v>3</v>
      </c>
      <c r="H1210">
        <v>18</v>
      </c>
      <c r="I1210">
        <v>4</v>
      </c>
      <c r="J1210" t="s">
        <v>13</v>
      </c>
    </row>
    <row r="1211" spans="1:10">
      <c r="A1211">
        <v>1210</v>
      </c>
      <c r="B1211" s="1">
        <v>45020</v>
      </c>
      <c r="C1211" t="s">
        <v>12</v>
      </c>
      <c r="D1211">
        <v>199</v>
      </c>
      <c r="E1211">
        <v>8.6</v>
      </c>
      <c r="F1211">
        <v>7</v>
      </c>
      <c r="G1211">
        <v>3</v>
      </c>
      <c r="H1211">
        <v>34</v>
      </c>
      <c r="I1211">
        <v>29</v>
      </c>
      <c r="J1211" t="s">
        <v>11</v>
      </c>
    </row>
    <row r="1212" spans="1:10">
      <c r="A1212">
        <v>1211</v>
      </c>
      <c r="B1212" s="1">
        <v>45106</v>
      </c>
      <c r="C1212" t="s">
        <v>14</v>
      </c>
      <c r="D1212">
        <v>399</v>
      </c>
      <c r="E1212">
        <v>9</v>
      </c>
      <c r="F1212">
        <v>4</v>
      </c>
      <c r="G1212">
        <v>3</v>
      </c>
      <c r="H1212">
        <v>30</v>
      </c>
      <c r="I1212">
        <v>39</v>
      </c>
      <c r="J1212" t="s">
        <v>13</v>
      </c>
    </row>
    <row r="1213" spans="1:10">
      <c r="A1213">
        <v>1212</v>
      </c>
      <c r="B1213" s="1">
        <v>45114</v>
      </c>
      <c r="C1213" t="s">
        <v>14</v>
      </c>
      <c r="D1213">
        <v>399</v>
      </c>
      <c r="E1213">
        <v>4.9000000000000004</v>
      </c>
      <c r="F1213">
        <v>6</v>
      </c>
      <c r="G1213">
        <v>3</v>
      </c>
      <c r="H1213">
        <v>16</v>
      </c>
      <c r="I1213">
        <v>24</v>
      </c>
      <c r="J1213" t="s">
        <v>11</v>
      </c>
    </row>
    <row r="1214" spans="1:10">
      <c r="A1214">
        <v>1213</v>
      </c>
      <c r="B1214" s="1">
        <v>45207</v>
      </c>
      <c r="C1214" t="s">
        <v>10</v>
      </c>
      <c r="D1214">
        <v>699</v>
      </c>
      <c r="E1214">
        <v>10.1</v>
      </c>
      <c r="F1214">
        <v>0</v>
      </c>
      <c r="G1214">
        <v>1</v>
      </c>
      <c r="H1214">
        <v>7</v>
      </c>
      <c r="I1214">
        <v>56</v>
      </c>
      <c r="J1214" t="s">
        <v>13</v>
      </c>
    </row>
    <row r="1215" spans="1:10">
      <c r="A1215">
        <v>1214</v>
      </c>
      <c r="B1215" s="1">
        <v>45149</v>
      </c>
      <c r="C1215" t="s">
        <v>10</v>
      </c>
      <c r="D1215">
        <v>699</v>
      </c>
      <c r="E1215">
        <v>7.7</v>
      </c>
      <c r="F1215">
        <v>1</v>
      </c>
      <c r="G1215">
        <v>5</v>
      </c>
      <c r="H1215">
        <v>35</v>
      </c>
      <c r="I1215">
        <v>46</v>
      </c>
      <c r="J1215" t="s">
        <v>13</v>
      </c>
    </row>
    <row r="1216" spans="1:10">
      <c r="A1216">
        <v>1215</v>
      </c>
      <c r="B1216" s="1">
        <v>45034</v>
      </c>
      <c r="C1216" t="s">
        <v>14</v>
      </c>
      <c r="D1216">
        <v>399</v>
      </c>
      <c r="E1216">
        <v>24.8</v>
      </c>
      <c r="F1216">
        <v>8</v>
      </c>
      <c r="G1216">
        <v>0</v>
      </c>
      <c r="H1216">
        <v>27</v>
      </c>
      <c r="I1216">
        <v>23</v>
      </c>
      <c r="J1216" t="s">
        <v>11</v>
      </c>
    </row>
    <row r="1217" spans="1:10">
      <c r="A1217">
        <v>1216</v>
      </c>
      <c r="B1217" s="1">
        <v>45400</v>
      </c>
      <c r="C1217" t="s">
        <v>10</v>
      </c>
      <c r="D1217">
        <v>699</v>
      </c>
      <c r="E1217">
        <v>10.5</v>
      </c>
      <c r="F1217">
        <v>2</v>
      </c>
      <c r="G1217">
        <v>2</v>
      </c>
      <c r="H1217">
        <v>21</v>
      </c>
      <c r="I1217">
        <v>13</v>
      </c>
      <c r="J1217" t="s">
        <v>13</v>
      </c>
    </row>
    <row r="1218" spans="1:10">
      <c r="A1218">
        <v>1217</v>
      </c>
      <c r="B1218" s="1">
        <v>45126</v>
      </c>
      <c r="C1218" t="s">
        <v>12</v>
      </c>
      <c r="D1218">
        <v>199</v>
      </c>
      <c r="E1218">
        <v>16.2</v>
      </c>
      <c r="F1218">
        <v>7</v>
      </c>
      <c r="G1218">
        <v>3</v>
      </c>
      <c r="H1218">
        <v>5</v>
      </c>
      <c r="I1218">
        <v>21</v>
      </c>
      <c r="J1218" t="s">
        <v>11</v>
      </c>
    </row>
    <row r="1219" spans="1:10">
      <c r="A1219">
        <v>1218</v>
      </c>
      <c r="B1219" s="1">
        <v>45613</v>
      </c>
      <c r="C1219" t="s">
        <v>14</v>
      </c>
      <c r="D1219">
        <v>399</v>
      </c>
      <c r="E1219">
        <v>0.8</v>
      </c>
      <c r="F1219">
        <v>1</v>
      </c>
      <c r="G1219">
        <v>5</v>
      </c>
      <c r="H1219">
        <v>3</v>
      </c>
      <c r="I1219">
        <v>58</v>
      </c>
      <c r="J1219" t="s">
        <v>11</v>
      </c>
    </row>
    <row r="1220" spans="1:10">
      <c r="A1220">
        <v>1219</v>
      </c>
      <c r="B1220" s="1">
        <v>45657</v>
      </c>
      <c r="C1220" t="s">
        <v>10</v>
      </c>
      <c r="D1220">
        <v>699</v>
      </c>
      <c r="E1220">
        <v>12.4</v>
      </c>
      <c r="F1220">
        <v>1</v>
      </c>
      <c r="G1220">
        <v>0</v>
      </c>
      <c r="H1220">
        <v>30</v>
      </c>
      <c r="I1220">
        <v>35</v>
      </c>
      <c r="J1220" t="s">
        <v>13</v>
      </c>
    </row>
    <row r="1221" spans="1:10">
      <c r="A1221">
        <v>1220</v>
      </c>
      <c r="B1221" s="1">
        <v>45548</v>
      </c>
      <c r="C1221" t="s">
        <v>14</v>
      </c>
      <c r="D1221">
        <v>399</v>
      </c>
      <c r="E1221">
        <v>12</v>
      </c>
      <c r="F1221">
        <v>4</v>
      </c>
      <c r="G1221">
        <v>1</v>
      </c>
      <c r="H1221">
        <v>9</v>
      </c>
      <c r="I1221">
        <v>10</v>
      </c>
      <c r="J1221" t="s">
        <v>13</v>
      </c>
    </row>
    <row r="1222" spans="1:10">
      <c r="A1222">
        <v>1221</v>
      </c>
      <c r="B1222" s="1">
        <v>45614</v>
      </c>
      <c r="C1222" t="s">
        <v>12</v>
      </c>
      <c r="D1222">
        <v>199</v>
      </c>
      <c r="E1222">
        <v>7.7</v>
      </c>
      <c r="F1222">
        <v>8</v>
      </c>
      <c r="G1222">
        <v>5</v>
      </c>
      <c r="H1222">
        <v>12</v>
      </c>
      <c r="I1222">
        <v>25</v>
      </c>
      <c r="J1222" t="s">
        <v>11</v>
      </c>
    </row>
    <row r="1223" spans="1:10">
      <c r="A1223">
        <v>1222</v>
      </c>
      <c r="B1223" s="1">
        <v>45618</v>
      </c>
      <c r="C1223" t="s">
        <v>12</v>
      </c>
      <c r="D1223">
        <v>199</v>
      </c>
      <c r="E1223">
        <v>4.3</v>
      </c>
      <c r="F1223">
        <v>5</v>
      </c>
      <c r="G1223">
        <v>1</v>
      </c>
      <c r="H1223">
        <v>18</v>
      </c>
      <c r="I1223">
        <v>13</v>
      </c>
      <c r="J1223" t="s">
        <v>13</v>
      </c>
    </row>
    <row r="1224" spans="1:10">
      <c r="A1224">
        <v>1223</v>
      </c>
      <c r="B1224" s="1">
        <v>45605</v>
      </c>
      <c r="C1224" t="s">
        <v>10</v>
      </c>
      <c r="D1224">
        <v>699</v>
      </c>
      <c r="E1224">
        <v>11.3</v>
      </c>
      <c r="F1224">
        <v>0</v>
      </c>
      <c r="G1224">
        <v>5</v>
      </c>
      <c r="H1224">
        <v>14</v>
      </c>
      <c r="I1224">
        <v>51</v>
      </c>
      <c r="J1224" t="s">
        <v>11</v>
      </c>
    </row>
    <row r="1225" spans="1:10">
      <c r="A1225">
        <v>1224</v>
      </c>
      <c r="B1225" s="1">
        <v>44976</v>
      </c>
      <c r="C1225" t="s">
        <v>10</v>
      </c>
      <c r="D1225">
        <v>699</v>
      </c>
      <c r="E1225">
        <v>10.1</v>
      </c>
      <c r="F1225">
        <v>4</v>
      </c>
      <c r="G1225">
        <v>3</v>
      </c>
      <c r="H1225">
        <v>7</v>
      </c>
      <c r="I1225">
        <v>3</v>
      </c>
      <c r="J1225" t="s">
        <v>13</v>
      </c>
    </row>
    <row r="1226" spans="1:10">
      <c r="A1226">
        <v>1225</v>
      </c>
      <c r="B1226" s="1">
        <v>45358</v>
      </c>
      <c r="C1226" t="s">
        <v>14</v>
      </c>
      <c r="D1226">
        <v>399</v>
      </c>
      <c r="E1226">
        <v>23.3</v>
      </c>
      <c r="F1226">
        <v>5</v>
      </c>
      <c r="G1226">
        <v>1</v>
      </c>
      <c r="H1226">
        <v>13</v>
      </c>
      <c r="I1226">
        <v>12</v>
      </c>
      <c r="J1226" t="s">
        <v>11</v>
      </c>
    </row>
    <row r="1227" spans="1:10">
      <c r="A1227">
        <v>1226</v>
      </c>
      <c r="B1227" s="1">
        <v>45025</v>
      </c>
      <c r="C1227" t="s">
        <v>12</v>
      </c>
      <c r="D1227">
        <v>199</v>
      </c>
      <c r="E1227">
        <v>8.8000000000000007</v>
      </c>
      <c r="F1227">
        <v>3</v>
      </c>
      <c r="G1227">
        <v>5</v>
      </c>
      <c r="H1227">
        <v>1</v>
      </c>
      <c r="I1227">
        <v>42</v>
      </c>
      <c r="J1227" t="s">
        <v>11</v>
      </c>
    </row>
    <row r="1228" spans="1:10">
      <c r="A1228">
        <v>1227</v>
      </c>
      <c r="B1228" s="1">
        <v>45261</v>
      </c>
      <c r="C1228" t="s">
        <v>10</v>
      </c>
      <c r="D1228">
        <v>699</v>
      </c>
      <c r="E1228">
        <v>18.2</v>
      </c>
      <c r="F1228">
        <v>0</v>
      </c>
      <c r="G1228">
        <v>3</v>
      </c>
      <c r="H1228">
        <v>11</v>
      </c>
      <c r="I1228">
        <v>32</v>
      </c>
      <c r="J1228" t="s">
        <v>11</v>
      </c>
    </row>
    <row r="1229" spans="1:10">
      <c r="A1229">
        <v>1228</v>
      </c>
      <c r="B1229" s="1">
        <v>45050</v>
      </c>
      <c r="C1229" t="s">
        <v>14</v>
      </c>
      <c r="D1229">
        <v>399</v>
      </c>
      <c r="E1229">
        <v>15.9</v>
      </c>
      <c r="F1229">
        <v>3</v>
      </c>
      <c r="G1229">
        <v>4</v>
      </c>
      <c r="H1229">
        <v>36</v>
      </c>
      <c r="I1229">
        <v>25</v>
      </c>
      <c r="J1229" t="s">
        <v>13</v>
      </c>
    </row>
    <row r="1230" spans="1:10">
      <c r="A1230">
        <v>1229</v>
      </c>
      <c r="B1230" s="1">
        <v>45250</v>
      </c>
      <c r="C1230" t="s">
        <v>12</v>
      </c>
      <c r="D1230">
        <v>199</v>
      </c>
      <c r="E1230">
        <v>3.1</v>
      </c>
      <c r="F1230">
        <v>5</v>
      </c>
      <c r="G1230">
        <v>1</v>
      </c>
      <c r="H1230">
        <v>14</v>
      </c>
      <c r="I1230">
        <v>0</v>
      </c>
      <c r="J1230" t="s">
        <v>11</v>
      </c>
    </row>
    <row r="1231" spans="1:10">
      <c r="A1231">
        <v>1230</v>
      </c>
      <c r="B1231" s="1">
        <v>45592</v>
      </c>
      <c r="C1231" t="s">
        <v>12</v>
      </c>
      <c r="D1231">
        <v>199</v>
      </c>
      <c r="E1231">
        <v>5.7</v>
      </c>
      <c r="F1231">
        <v>3</v>
      </c>
      <c r="G1231">
        <v>0</v>
      </c>
      <c r="H1231">
        <v>25</v>
      </c>
      <c r="I1231">
        <v>42</v>
      </c>
      <c r="J1231" t="s">
        <v>13</v>
      </c>
    </row>
    <row r="1232" spans="1:10">
      <c r="A1232">
        <v>1231</v>
      </c>
      <c r="B1232" s="1">
        <v>45438</v>
      </c>
      <c r="C1232" t="s">
        <v>10</v>
      </c>
      <c r="D1232">
        <v>699</v>
      </c>
      <c r="E1232">
        <v>1.6</v>
      </c>
      <c r="F1232">
        <v>3</v>
      </c>
      <c r="G1232">
        <v>3</v>
      </c>
      <c r="H1232">
        <v>24</v>
      </c>
      <c r="I1232">
        <v>19</v>
      </c>
      <c r="J1232" t="s">
        <v>13</v>
      </c>
    </row>
    <row r="1233" spans="1:10">
      <c r="A1233">
        <v>1232</v>
      </c>
      <c r="B1233" s="1">
        <v>45573</v>
      </c>
      <c r="C1233" t="s">
        <v>12</v>
      </c>
      <c r="D1233">
        <v>199</v>
      </c>
      <c r="E1233">
        <v>19.899999999999999</v>
      </c>
      <c r="F1233">
        <v>2</v>
      </c>
      <c r="G1233">
        <v>2</v>
      </c>
      <c r="H1233">
        <v>35</v>
      </c>
      <c r="I1233">
        <v>6</v>
      </c>
      <c r="J1233" t="s">
        <v>13</v>
      </c>
    </row>
    <row r="1234" spans="1:10">
      <c r="A1234">
        <v>1233</v>
      </c>
      <c r="B1234" s="1">
        <v>45631</v>
      </c>
      <c r="C1234" t="s">
        <v>10</v>
      </c>
      <c r="D1234">
        <v>699</v>
      </c>
      <c r="E1234">
        <v>17.100000000000001</v>
      </c>
      <c r="F1234">
        <v>2</v>
      </c>
      <c r="G1234">
        <v>2</v>
      </c>
      <c r="H1234">
        <v>25</v>
      </c>
      <c r="I1234">
        <v>11</v>
      </c>
      <c r="J1234" t="s">
        <v>13</v>
      </c>
    </row>
    <row r="1235" spans="1:10">
      <c r="A1235">
        <v>1234</v>
      </c>
      <c r="B1235" s="1">
        <v>45318</v>
      </c>
      <c r="C1235" t="s">
        <v>14</v>
      </c>
      <c r="D1235">
        <v>399</v>
      </c>
      <c r="E1235">
        <v>2.2000000000000002</v>
      </c>
      <c r="F1235">
        <v>0</v>
      </c>
      <c r="G1235">
        <v>4</v>
      </c>
      <c r="H1235">
        <v>31</v>
      </c>
      <c r="I1235">
        <v>58</v>
      </c>
      <c r="J1235" t="s">
        <v>11</v>
      </c>
    </row>
    <row r="1236" spans="1:10">
      <c r="A1236">
        <v>1235</v>
      </c>
      <c r="B1236" s="1">
        <v>45054</v>
      </c>
      <c r="C1236" t="s">
        <v>10</v>
      </c>
      <c r="D1236">
        <v>699</v>
      </c>
      <c r="E1236">
        <v>12.8</v>
      </c>
      <c r="F1236">
        <v>0</v>
      </c>
      <c r="G1236">
        <v>1</v>
      </c>
      <c r="H1236">
        <v>15</v>
      </c>
      <c r="I1236">
        <v>1</v>
      </c>
      <c r="J1236" t="s">
        <v>13</v>
      </c>
    </row>
    <row r="1237" spans="1:10">
      <c r="A1237">
        <v>1236</v>
      </c>
      <c r="B1237" s="1">
        <v>45310</v>
      </c>
      <c r="C1237" t="s">
        <v>14</v>
      </c>
      <c r="D1237">
        <v>399</v>
      </c>
      <c r="E1237">
        <v>18.600000000000001</v>
      </c>
      <c r="F1237">
        <v>3</v>
      </c>
      <c r="G1237">
        <v>4</v>
      </c>
      <c r="H1237">
        <v>16</v>
      </c>
      <c r="I1237">
        <v>5</v>
      </c>
      <c r="J1237" t="s">
        <v>11</v>
      </c>
    </row>
    <row r="1238" spans="1:10">
      <c r="A1238">
        <v>1237</v>
      </c>
      <c r="B1238" s="1">
        <v>45539</v>
      </c>
      <c r="C1238" t="s">
        <v>14</v>
      </c>
      <c r="D1238">
        <v>399</v>
      </c>
      <c r="E1238">
        <v>5.4</v>
      </c>
      <c r="F1238">
        <v>6</v>
      </c>
      <c r="G1238">
        <v>1</v>
      </c>
      <c r="H1238">
        <v>19</v>
      </c>
      <c r="I1238">
        <v>41</v>
      </c>
      <c r="J1238" t="s">
        <v>11</v>
      </c>
    </row>
    <row r="1239" spans="1:10">
      <c r="A1239">
        <v>1238</v>
      </c>
      <c r="B1239" s="1">
        <v>45460</v>
      </c>
      <c r="C1239" t="s">
        <v>14</v>
      </c>
      <c r="D1239">
        <v>399</v>
      </c>
      <c r="E1239">
        <v>3.8</v>
      </c>
      <c r="F1239">
        <v>5</v>
      </c>
      <c r="G1239">
        <v>5</v>
      </c>
      <c r="H1239">
        <v>22</v>
      </c>
      <c r="I1239">
        <v>50</v>
      </c>
      <c r="J1239" t="s">
        <v>11</v>
      </c>
    </row>
    <row r="1240" spans="1:10">
      <c r="A1240">
        <v>1239</v>
      </c>
      <c r="B1240" s="1">
        <v>45137</v>
      </c>
      <c r="C1240" t="s">
        <v>14</v>
      </c>
      <c r="D1240">
        <v>399</v>
      </c>
      <c r="E1240">
        <v>18.899999999999999</v>
      </c>
      <c r="F1240">
        <v>3</v>
      </c>
      <c r="G1240">
        <v>5</v>
      </c>
      <c r="H1240">
        <v>19</v>
      </c>
      <c r="I1240">
        <v>21</v>
      </c>
      <c r="J1240" t="s">
        <v>11</v>
      </c>
    </row>
    <row r="1241" spans="1:10">
      <c r="A1241">
        <v>1240</v>
      </c>
      <c r="B1241" s="1">
        <v>45549</v>
      </c>
      <c r="C1241" t="s">
        <v>10</v>
      </c>
      <c r="D1241">
        <v>699</v>
      </c>
      <c r="E1241">
        <v>22.7</v>
      </c>
      <c r="F1241">
        <v>3</v>
      </c>
      <c r="G1241">
        <v>5</v>
      </c>
      <c r="H1241">
        <v>4</v>
      </c>
      <c r="I1241">
        <v>44</v>
      </c>
      <c r="J1241" t="s">
        <v>13</v>
      </c>
    </row>
    <row r="1242" spans="1:10">
      <c r="A1242">
        <v>1241</v>
      </c>
      <c r="B1242" s="1">
        <v>45430</v>
      </c>
      <c r="C1242" t="s">
        <v>14</v>
      </c>
      <c r="D1242">
        <v>399</v>
      </c>
      <c r="E1242">
        <v>8.4</v>
      </c>
      <c r="F1242">
        <v>7</v>
      </c>
      <c r="G1242">
        <v>5</v>
      </c>
      <c r="H1242">
        <v>34</v>
      </c>
      <c r="I1242">
        <v>0</v>
      </c>
      <c r="J1242" t="s">
        <v>11</v>
      </c>
    </row>
    <row r="1243" spans="1:10">
      <c r="A1243">
        <v>1242</v>
      </c>
      <c r="B1243" s="1">
        <v>45533</v>
      </c>
      <c r="C1243" t="s">
        <v>12</v>
      </c>
      <c r="D1243">
        <v>199</v>
      </c>
      <c r="E1243">
        <v>1.8</v>
      </c>
      <c r="F1243">
        <v>2</v>
      </c>
      <c r="G1243">
        <v>1</v>
      </c>
      <c r="H1243">
        <v>13</v>
      </c>
      <c r="I1243">
        <v>8</v>
      </c>
      <c r="J1243" t="s">
        <v>11</v>
      </c>
    </row>
    <row r="1244" spans="1:10">
      <c r="A1244">
        <v>1243</v>
      </c>
      <c r="B1244" s="1">
        <v>45095</v>
      </c>
      <c r="C1244" t="s">
        <v>10</v>
      </c>
      <c r="D1244">
        <v>699</v>
      </c>
      <c r="E1244">
        <v>6.3</v>
      </c>
      <c r="F1244">
        <v>1</v>
      </c>
      <c r="G1244">
        <v>3</v>
      </c>
      <c r="H1244">
        <v>14</v>
      </c>
      <c r="I1244">
        <v>46</v>
      </c>
      <c r="J1244" t="s">
        <v>11</v>
      </c>
    </row>
    <row r="1245" spans="1:10">
      <c r="A1245">
        <v>1244</v>
      </c>
      <c r="B1245" s="1">
        <v>45517</v>
      </c>
      <c r="C1245" t="s">
        <v>10</v>
      </c>
      <c r="D1245">
        <v>699</v>
      </c>
      <c r="E1245">
        <v>6.5</v>
      </c>
      <c r="F1245">
        <v>2</v>
      </c>
      <c r="G1245">
        <v>4</v>
      </c>
      <c r="H1245">
        <v>13</v>
      </c>
      <c r="I1245">
        <v>15</v>
      </c>
      <c r="J1245" t="s">
        <v>11</v>
      </c>
    </row>
    <row r="1246" spans="1:10">
      <c r="A1246">
        <v>1245</v>
      </c>
      <c r="B1246" s="1">
        <v>45334</v>
      </c>
      <c r="C1246" t="s">
        <v>14</v>
      </c>
      <c r="D1246">
        <v>399</v>
      </c>
      <c r="E1246">
        <v>7.2</v>
      </c>
      <c r="F1246">
        <v>7</v>
      </c>
      <c r="G1246">
        <v>0</v>
      </c>
      <c r="H1246">
        <v>13</v>
      </c>
      <c r="I1246">
        <v>60</v>
      </c>
      <c r="J1246" t="s">
        <v>13</v>
      </c>
    </row>
    <row r="1247" spans="1:10">
      <c r="A1247">
        <v>1246</v>
      </c>
      <c r="B1247" s="1">
        <v>45086</v>
      </c>
      <c r="C1247" t="s">
        <v>14</v>
      </c>
      <c r="D1247">
        <v>399</v>
      </c>
      <c r="E1247">
        <v>12</v>
      </c>
      <c r="F1247">
        <v>6</v>
      </c>
      <c r="G1247">
        <v>4</v>
      </c>
      <c r="H1247">
        <v>11</v>
      </c>
      <c r="I1247">
        <v>39</v>
      </c>
      <c r="J1247" t="s">
        <v>11</v>
      </c>
    </row>
    <row r="1248" spans="1:10">
      <c r="A1248">
        <v>1247</v>
      </c>
      <c r="B1248" s="1">
        <v>45234</v>
      </c>
      <c r="C1248" t="s">
        <v>14</v>
      </c>
      <c r="D1248">
        <v>399</v>
      </c>
      <c r="E1248">
        <v>19.2</v>
      </c>
      <c r="F1248">
        <v>6</v>
      </c>
      <c r="G1248">
        <v>0</v>
      </c>
      <c r="H1248">
        <v>2</v>
      </c>
      <c r="I1248">
        <v>48</v>
      </c>
      <c r="J1248" t="s">
        <v>13</v>
      </c>
    </row>
    <row r="1249" spans="1:10">
      <c r="A1249">
        <v>1248</v>
      </c>
      <c r="B1249" s="1">
        <v>45391</v>
      </c>
      <c r="C1249" t="s">
        <v>10</v>
      </c>
      <c r="D1249">
        <v>699</v>
      </c>
      <c r="E1249">
        <v>4.2</v>
      </c>
      <c r="F1249">
        <v>2</v>
      </c>
      <c r="G1249">
        <v>2</v>
      </c>
      <c r="H1249">
        <v>35</v>
      </c>
      <c r="I1249">
        <v>24</v>
      </c>
      <c r="J1249" t="s">
        <v>11</v>
      </c>
    </row>
    <row r="1250" spans="1:10">
      <c r="A1250">
        <v>1249</v>
      </c>
      <c r="B1250" s="1">
        <v>45407</v>
      </c>
      <c r="C1250" t="s">
        <v>14</v>
      </c>
      <c r="D1250">
        <v>399</v>
      </c>
      <c r="E1250">
        <v>14.3</v>
      </c>
      <c r="F1250">
        <v>7</v>
      </c>
      <c r="G1250">
        <v>0</v>
      </c>
      <c r="H1250">
        <v>25</v>
      </c>
      <c r="I1250">
        <v>21</v>
      </c>
      <c r="J1250" t="s">
        <v>11</v>
      </c>
    </row>
    <row r="1251" spans="1:10">
      <c r="A1251">
        <v>1250</v>
      </c>
      <c r="B1251" s="1">
        <v>45310</v>
      </c>
      <c r="C1251" t="s">
        <v>12</v>
      </c>
      <c r="D1251">
        <v>199</v>
      </c>
      <c r="E1251">
        <v>22.9</v>
      </c>
      <c r="F1251">
        <v>0</v>
      </c>
      <c r="G1251">
        <v>0</v>
      </c>
      <c r="H1251">
        <v>10</v>
      </c>
      <c r="I1251">
        <v>55</v>
      </c>
      <c r="J1251" t="s">
        <v>13</v>
      </c>
    </row>
    <row r="1252" spans="1:10">
      <c r="A1252">
        <v>1251</v>
      </c>
      <c r="B1252" s="1">
        <v>45242</v>
      </c>
      <c r="C1252" t="s">
        <v>14</v>
      </c>
      <c r="D1252">
        <v>399</v>
      </c>
      <c r="E1252">
        <v>23.2</v>
      </c>
      <c r="F1252">
        <v>6</v>
      </c>
      <c r="G1252">
        <v>5</v>
      </c>
      <c r="H1252">
        <v>26</v>
      </c>
      <c r="I1252">
        <v>23</v>
      </c>
      <c r="J1252" t="s">
        <v>11</v>
      </c>
    </row>
    <row r="1253" spans="1:10">
      <c r="A1253">
        <v>1252</v>
      </c>
      <c r="B1253" s="1">
        <v>45093</v>
      </c>
      <c r="C1253" t="s">
        <v>10</v>
      </c>
      <c r="D1253">
        <v>699</v>
      </c>
      <c r="E1253">
        <v>10.5</v>
      </c>
      <c r="F1253">
        <v>0</v>
      </c>
      <c r="G1253">
        <v>0</v>
      </c>
      <c r="H1253">
        <v>5</v>
      </c>
      <c r="I1253">
        <v>24</v>
      </c>
      <c r="J1253" t="s">
        <v>13</v>
      </c>
    </row>
    <row r="1254" spans="1:10">
      <c r="A1254">
        <v>1253</v>
      </c>
      <c r="B1254" s="1">
        <v>45632</v>
      </c>
      <c r="C1254" t="s">
        <v>12</v>
      </c>
      <c r="D1254">
        <v>199</v>
      </c>
      <c r="E1254">
        <v>23.9</v>
      </c>
      <c r="F1254">
        <v>5</v>
      </c>
      <c r="G1254">
        <v>4</v>
      </c>
      <c r="H1254">
        <v>28</v>
      </c>
      <c r="I1254">
        <v>45</v>
      </c>
      <c r="J1254" t="s">
        <v>11</v>
      </c>
    </row>
    <row r="1255" spans="1:10">
      <c r="A1255">
        <v>1254</v>
      </c>
      <c r="B1255" s="1">
        <v>44962</v>
      </c>
      <c r="C1255" t="s">
        <v>14</v>
      </c>
      <c r="D1255">
        <v>399</v>
      </c>
      <c r="E1255">
        <v>16.399999999999999</v>
      </c>
      <c r="F1255">
        <v>6</v>
      </c>
      <c r="G1255">
        <v>5</v>
      </c>
      <c r="H1255">
        <v>4</v>
      </c>
      <c r="I1255">
        <v>15</v>
      </c>
      <c r="J1255" t="s">
        <v>11</v>
      </c>
    </row>
    <row r="1256" spans="1:10">
      <c r="A1256">
        <v>1255</v>
      </c>
      <c r="B1256" s="1">
        <v>45624</v>
      </c>
      <c r="C1256" t="s">
        <v>14</v>
      </c>
      <c r="D1256">
        <v>399</v>
      </c>
      <c r="E1256">
        <v>17.600000000000001</v>
      </c>
      <c r="F1256">
        <v>2</v>
      </c>
      <c r="G1256">
        <v>2</v>
      </c>
      <c r="H1256">
        <v>2</v>
      </c>
      <c r="I1256">
        <v>38</v>
      </c>
      <c r="J1256" t="s">
        <v>11</v>
      </c>
    </row>
    <row r="1257" spans="1:10">
      <c r="A1257">
        <v>1256</v>
      </c>
      <c r="B1257" s="1">
        <v>45586</v>
      </c>
      <c r="C1257" t="s">
        <v>12</v>
      </c>
      <c r="D1257">
        <v>199</v>
      </c>
      <c r="E1257">
        <v>6.6</v>
      </c>
      <c r="F1257">
        <v>2</v>
      </c>
      <c r="G1257">
        <v>0</v>
      </c>
      <c r="H1257">
        <v>17</v>
      </c>
      <c r="I1257">
        <v>7</v>
      </c>
      <c r="J1257" t="s">
        <v>13</v>
      </c>
    </row>
    <row r="1258" spans="1:10">
      <c r="A1258">
        <v>1257</v>
      </c>
      <c r="B1258" s="1">
        <v>45360</v>
      </c>
      <c r="C1258" t="s">
        <v>10</v>
      </c>
      <c r="D1258">
        <v>699</v>
      </c>
      <c r="E1258">
        <v>10.199999999999999</v>
      </c>
      <c r="F1258">
        <v>1</v>
      </c>
      <c r="G1258">
        <v>4</v>
      </c>
      <c r="H1258">
        <v>25</v>
      </c>
      <c r="I1258">
        <v>58</v>
      </c>
      <c r="J1258" t="s">
        <v>11</v>
      </c>
    </row>
    <row r="1259" spans="1:10">
      <c r="A1259">
        <v>1258</v>
      </c>
      <c r="B1259" s="1">
        <v>45318</v>
      </c>
      <c r="C1259" t="s">
        <v>12</v>
      </c>
      <c r="D1259">
        <v>199</v>
      </c>
      <c r="E1259">
        <v>6.7</v>
      </c>
      <c r="F1259">
        <v>4</v>
      </c>
      <c r="G1259">
        <v>4</v>
      </c>
      <c r="H1259">
        <v>28</v>
      </c>
      <c r="I1259">
        <v>34</v>
      </c>
      <c r="J1259" t="s">
        <v>11</v>
      </c>
    </row>
    <row r="1260" spans="1:10">
      <c r="A1260">
        <v>1259</v>
      </c>
      <c r="B1260" s="1">
        <v>45279</v>
      </c>
      <c r="C1260" t="s">
        <v>10</v>
      </c>
      <c r="D1260">
        <v>699</v>
      </c>
      <c r="E1260">
        <v>18.5</v>
      </c>
      <c r="F1260">
        <v>1</v>
      </c>
      <c r="G1260">
        <v>0</v>
      </c>
      <c r="H1260">
        <v>20</v>
      </c>
      <c r="I1260">
        <v>40</v>
      </c>
      <c r="J1260" t="s">
        <v>13</v>
      </c>
    </row>
    <row r="1261" spans="1:10">
      <c r="A1261">
        <v>1260</v>
      </c>
      <c r="B1261" s="1">
        <v>45099</v>
      </c>
      <c r="C1261" t="s">
        <v>12</v>
      </c>
      <c r="D1261">
        <v>199</v>
      </c>
      <c r="E1261">
        <v>18.8</v>
      </c>
      <c r="F1261">
        <v>6</v>
      </c>
      <c r="G1261">
        <v>5</v>
      </c>
      <c r="H1261">
        <v>18</v>
      </c>
      <c r="I1261">
        <v>19</v>
      </c>
      <c r="J1261" t="s">
        <v>11</v>
      </c>
    </row>
    <row r="1262" spans="1:10">
      <c r="A1262">
        <v>1261</v>
      </c>
      <c r="B1262" s="1">
        <v>45368</v>
      </c>
      <c r="C1262" t="s">
        <v>14</v>
      </c>
      <c r="D1262">
        <v>399</v>
      </c>
      <c r="E1262">
        <v>2.9</v>
      </c>
      <c r="F1262">
        <v>6</v>
      </c>
      <c r="G1262">
        <v>4</v>
      </c>
      <c r="H1262">
        <v>1</v>
      </c>
      <c r="I1262">
        <v>26</v>
      </c>
      <c r="J1262" t="s">
        <v>11</v>
      </c>
    </row>
    <row r="1263" spans="1:10">
      <c r="A1263">
        <v>1262</v>
      </c>
      <c r="B1263" s="1">
        <v>45039</v>
      </c>
      <c r="C1263" t="s">
        <v>12</v>
      </c>
      <c r="D1263">
        <v>199</v>
      </c>
      <c r="E1263">
        <v>9.6999999999999993</v>
      </c>
      <c r="F1263">
        <v>2</v>
      </c>
      <c r="G1263">
        <v>1</v>
      </c>
      <c r="H1263">
        <v>12</v>
      </c>
      <c r="I1263">
        <v>31</v>
      </c>
      <c r="J1263" t="s">
        <v>11</v>
      </c>
    </row>
    <row r="1264" spans="1:10">
      <c r="A1264">
        <v>1263</v>
      </c>
      <c r="B1264" s="1">
        <v>45123</v>
      </c>
      <c r="C1264" t="s">
        <v>14</v>
      </c>
      <c r="D1264">
        <v>399</v>
      </c>
      <c r="E1264">
        <v>5</v>
      </c>
      <c r="F1264">
        <v>0</v>
      </c>
      <c r="G1264">
        <v>5</v>
      </c>
      <c r="H1264">
        <v>14</v>
      </c>
      <c r="I1264">
        <v>11</v>
      </c>
      <c r="J1264" t="s">
        <v>13</v>
      </c>
    </row>
    <row r="1265" spans="1:10">
      <c r="A1265">
        <v>1264</v>
      </c>
      <c r="B1265" s="1">
        <v>45014</v>
      </c>
      <c r="C1265" t="s">
        <v>14</v>
      </c>
      <c r="D1265">
        <v>399</v>
      </c>
      <c r="E1265">
        <v>11.3</v>
      </c>
      <c r="F1265">
        <v>1</v>
      </c>
      <c r="G1265">
        <v>5</v>
      </c>
      <c r="H1265">
        <v>27</v>
      </c>
      <c r="I1265">
        <v>10</v>
      </c>
      <c r="J1265" t="s">
        <v>11</v>
      </c>
    </row>
    <row r="1266" spans="1:10">
      <c r="A1266">
        <v>1265</v>
      </c>
      <c r="B1266" s="1">
        <v>45423</v>
      </c>
      <c r="C1266" t="s">
        <v>14</v>
      </c>
      <c r="D1266">
        <v>399</v>
      </c>
      <c r="E1266">
        <v>7.3</v>
      </c>
      <c r="F1266">
        <v>5</v>
      </c>
      <c r="G1266">
        <v>0</v>
      </c>
      <c r="H1266">
        <v>8</v>
      </c>
      <c r="I1266">
        <v>37</v>
      </c>
      <c r="J1266" t="s">
        <v>11</v>
      </c>
    </row>
    <row r="1267" spans="1:10">
      <c r="A1267">
        <v>1266</v>
      </c>
      <c r="B1267" s="1">
        <v>44969</v>
      </c>
      <c r="C1267" t="s">
        <v>10</v>
      </c>
      <c r="D1267">
        <v>699</v>
      </c>
      <c r="E1267">
        <v>0.7</v>
      </c>
      <c r="F1267">
        <v>4</v>
      </c>
      <c r="G1267">
        <v>0</v>
      </c>
      <c r="H1267">
        <v>7</v>
      </c>
      <c r="I1267">
        <v>42</v>
      </c>
      <c r="J1267" t="s">
        <v>11</v>
      </c>
    </row>
    <row r="1268" spans="1:10">
      <c r="A1268">
        <v>1267</v>
      </c>
      <c r="B1268" s="1">
        <v>45199</v>
      </c>
      <c r="C1268" t="s">
        <v>12</v>
      </c>
      <c r="D1268">
        <v>199</v>
      </c>
      <c r="E1268">
        <v>13.3</v>
      </c>
      <c r="F1268">
        <v>0</v>
      </c>
      <c r="G1268">
        <v>3</v>
      </c>
      <c r="H1268">
        <v>14</v>
      </c>
      <c r="I1268">
        <v>38</v>
      </c>
      <c r="J1268" t="s">
        <v>11</v>
      </c>
    </row>
    <row r="1269" spans="1:10">
      <c r="A1269">
        <v>1268</v>
      </c>
      <c r="B1269" s="1">
        <v>45278</v>
      </c>
      <c r="C1269" t="s">
        <v>14</v>
      </c>
      <c r="D1269">
        <v>399</v>
      </c>
      <c r="E1269">
        <v>19</v>
      </c>
      <c r="F1269">
        <v>6</v>
      </c>
      <c r="G1269">
        <v>2</v>
      </c>
      <c r="H1269">
        <v>31</v>
      </c>
      <c r="I1269">
        <v>23</v>
      </c>
      <c r="J1269" t="s">
        <v>11</v>
      </c>
    </row>
    <row r="1270" spans="1:10">
      <c r="A1270">
        <v>1269</v>
      </c>
      <c r="B1270" s="1">
        <v>45291</v>
      </c>
      <c r="C1270" t="s">
        <v>14</v>
      </c>
      <c r="D1270">
        <v>399</v>
      </c>
      <c r="E1270">
        <v>23.6</v>
      </c>
      <c r="F1270">
        <v>6</v>
      </c>
      <c r="G1270">
        <v>3</v>
      </c>
      <c r="H1270">
        <v>16</v>
      </c>
      <c r="I1270">
        <v>39</v>
      </c>
      <c r="J1270" t="s">
        <v>11</v>
      </c>
    </row>
    <row r="1271" spans="1:10">
      <c r="A1271">
        <v>1270</v>
      </c>
      <c r="B1271" s="1">
        <v>45069</v>
      </c>
      <c r="C1271" t="s">
        <v>14</v>
      </c>
      <c r="D1271">
        <v>399</v>
      </c>
      <c r="E1271">
        <v>0.6</v>
      </c>
      <c r="F1271">
        <v>6</v>
      </c>
      <c r="G1271">
        <v>5</v>
      </c>
      <c r="H1271">
        <v>7</v>
      </c>
      <c r="I1271">
        <v>53</v>
      </c>
      <c r="J1271" t="s">
        <v>11</v>
      </c>
    </row>
    <row r="1272" spans="1:10">
      <c r="A1272">
        <v>1271</v>
      </c>
      <c r="B1272" s="1">
        <v>45304</v>
      </c>
      <c r="C1272" t="s">
        <v>12</v>
      </c>
      <c r="D1272">
        <v>199</v>
      </c>
      <c r="E1272">
        <v>21.8</v>
      </c>
      <c r="F1272">
        <v>4</v>
      </c>
      <c r="G1272">
        <v>5</v>
      </c>
      <c r="H1272">
        <v>8</v>
      </c>
      <c r="I1272">
        <v>48</v>
      </c>
      <c r="J1272" t="s">
        <v>13</v>
      </c>
    </row>
    <row r="1273" spans="1:10">
      <c r="A1273">
        <v>1272</v>
      </c>
      <c r="B1273" s="1">
        <v>45256</v>
      </c>
      <c r="C1273" t="s">
        <v>14</v>
      </c>
      <c r="D1273">
        <v>399</v>
      </c>
      <c r="E1273">
        <v>13.1</v>
      </c>
      <c r="F1273">
        <v>3</v>
      </c>
      <c r="G1273">
        <v>0</v>
      </c>
      <c r="H1273">
        <v>31</v>
      </c>
      <c r="I1273">
        <v>40</v>
      </c>
      <c r="J1273" t="s">
        <v>13</v>
      </c>
    </row>
    <row r="1274" spans="1:10">
      <c r="A1274">
        <v>1273</v>
      </c>
      <c r="B1274" s="1">
        <v>45423</v>
      </c>
      <c r="C1274" t="s">
        <v>12</v>
      </c>
      <c r="D1274">
        <v>199</v>
      </c>
      <c r="E1274">
        <v>21.9</v>
      </c>
      <c r="F1274">
        <v>5</v>
      </c>
      <c r="G1274">
        <v>5</v>
      </c>
      <c r="H1274">
        <v>24</v>
      </c>
      <c r="I1274">
        <v>28</v>
      </c>
      <c r="J1274" t="s">
        <v>11</v>
      </c>
    </row>
    <row r="1275" spans="1:10">
      <c r="A1275">
        <v>1274</v>
      </c>
      <c r="B1275" s="1">
        <v>45029</v>
      </c>
      <c r="C1275" t="s">
        <v>14</v>
      </c>
      <c r="D1275">
        <v>399</v>
      </c>
      <c r="E1275">
        <v>9</v>
      </c>
      <c r="F1275">
        <v>7</v>
      </c>
      <c r="G1275">
        <v>5</v>
      </c>
      <c r="H1275">
        <v>6</v>
      </c>
      <c r="I1275">
        <v>54</v>
      </c>
      <c r="J1275" t="s">
        <v>11</v>
      </c>
    </row>
    <row r="1276" spans="1:10">
      <c r="A1276">
        <v>1275</v>
      </c>
      <c r="B1276" s="1">
        <v>45512</v>
      </c>
      <c r="C1276" t="s">
        <v>10</v>
      </c>
      <c r="D1276">
        <v>699</v>
      </c>
      <c r="E1276">
        <v>7.7</v>
      </c>
      <c r="F1276">
        <v>3</v>
      </c>
      <c r="G1276">
        <v>5</v>
      </c>
      <c r="H1276">
        <v>25</v>
      </c>
      <c r="I1276">
        <v>9</v>
      </c>
      <c r="J1276" t="s">
        <v>13</v>
      </c>
    </row>
    <row r="1277" spans="1:10">
      <c r="A1277">
        <v>1276</v>
      </c>
      <c r="B1277" s="1">
        <v>45488</v>
      </c>
      <c r="C1277" t="s">
        <v>10</v>
      </c>
      <c r="D1277">
        <v>699</v>
      </c>
      <c r="E1277">
        <v>1.3</v>
      </c>
      <c r="F1277">
        <v>7</v>
      </c>
      <c r="G1277">
        <v>0</v>
      </c>
      <c r="H1277">
        <v>33</v>
      </c>
      <c r="I1277">
        <v>19</v>
      </c>
      <c r="J1277" t="s">
        <v>13</v>
      </c>
    </row>
    <row r="1278" spans="1:10">
      <c r="A1278">
        <v>1277</v>
      </c>
      <c r="B1278" s="1">
        <v>45176</v>
      </c>
      <c r="C1278" t="s">
        <v>14</v>
      </c>
      <c r="D1278">
        <v>399</v>
      </c>
      <c r="E1278">
        <v>22.5</v>
      </c>
      <c r="F1278">
        <v>1</v>
      </c>
      <c r="G1278">
        <v>3</v>
      </c>
      <c r="H1278">
        <v>11</v>
      </c>
      <c r="I1278">
        <v>42</v>
      </c>
      <c r="J1278" t="s">
        <v>11</v>
      </c>
    </row>
    <row r="1279" spans="1:10">
      <c r="A1279">
        <v>1278</v>
      </c>
      <c r="B1279" s="1">
        <v>44956</v>
      </c>
      <c r="C1279" t="s">
        <v>12</v>
      </c>
      <c r="D1279">
        <v>199</v>
      </c>
      <c r="E1279">
        <v>19</v>
      </c>
      <c r="F1279">
        <v>1</v>
      </c>
      <c r="G1279">
        <v>0</v>
      </c>
      <c r="H1279">
        <v>11</v>
      </c>
      <c r="I1279">
        <v>27</v>
      </c>
      <c r="J1279" t="s">
        <v>13</v>
      </c>
    </row>
    <row r="1280" spans="1:10">
      <c r="A1280">
        <v>1279</v>
      </c>
      <c r="B1280" s="1">
        <v>45414</v>
      </c>
      <c r="C1280" t="s">
        <v>12</v>
      </c>
      <c r="D1280">
        <v>199</v>
      </c>
      <c r="E1280">
        <v>22.6</v>
      </c>
      <c r="F1280">
        <v>4</v>
      </c>
      <c r="G1280">
        <v>1</v>
      </c>
      <c r="H1280">
        <v>21</v>
      </c>
      <c r="I1280">
        <v>46</v>
      </c>
      <c r="J1280" t="s">
        <v>11</v>
      </c>
    </row>
    <row r="1281" spans="1:10">
      <c r="A1281">
        <v>1280</v>
      </c>
      <c r="B1281" s="1">
        <v>45635</v>
      </c>
      <c r="C1281" t="s">
        <v>10</v>
      </c>
      <c r="D1281">
        <v>699</v>
      </c>
      <c r="E1281">
        <v>16.8</v>
      </c>
      <c r="F1281">
        <v>8</v>
      </c>
      <c r="G1281">
        <v>5</v>
      </c>
      <c r="H1281">
        <v>8</v>
      </c>
      <c r="I1281">
        <v>46</v>
      </c>
      <c r="J1281" t="s">
        <v>11</v>
      </c>
    </row>
    <row r="1282" spans="1:10">
      <c r="A1282">
        <v>1281</v>
      </c>
      <c r="B1282" s="1">
        <v>45317</v>
      </c>
      <c r="C1282" t="s">
        <v>14</v>
      </c>
      <c r="D1282">
        <v>399</v>
      </c>
      <c r="E1282">
        <v>23.3</v>
      </c>
      <c r="F1282">
        <v>1</v>
      </c>
      <c r="G1282">
        <v>5</v>
      </c>
      <c r="H1282">
        <v>15</v>
      </c>
      <c r="I1282">
        <v>21</v>
      </c>
      <c r="J1282" t="s">
        <v>11</v>
      </c>
    </row>
    <row r="1283" spans="1:10">
      <c r="A1283">
        <v>1282</v>
      </c>
      <c r="B1283" s="1">
        <v>45224</v>
      </c>
      <c r="C1283" t="s">
        <v>10</v>
      </c>
      <c r="D1283">
        <v>699</v>
      </c>
      <c r="E1283">
        <v>24.2</v>
      </c>
      <c r="F1283">
        <v>6</v>
      </c>
      <c r="G1283">
        <v>1</v>
      </c>
      <c r="H1283">
        <v>36</v>
      </c>
      <c r="I1283">
        <v>14</v>
      </c>
      <c r="J1283" t="s">
        <v>13</v>
      </c>
    </row>
    <row r="1284" spans="1:10">
      <c r="A1284">
        <v>1283</v>
      </c>
      <c r="B1284" s="1">
        <v>45303</v>
      </c>
      <c r="C1284" t="s">
        <v>12</v>
      </c>
      <c r="D1284">
        <v>199</v>
      </c>
      <c r="E1284">
        <v>2.7</v>
      </c>
      <c r="F1284">
        <v>3</v>
      </c>
      <c r="G1284">
        <v>5</v>
      </c>
      <c r="H1284">
        <v>8</v>
      </c>
      <c r="I1284">
        <v>60</v>
      </c>
      <c r="J1284" t="s">
        <v>11</v>
      </c>
    </row>
    <row r="1285" spans="1:10">
      <c r="A1285">
        <v>1284</v>
      </c>
      <c r="B1285" s="1">
        <v>45121</v>
      </c>
      <c r="C1285" t="s">
        <v>12</v>
      </c>
      <c r="D1285">
        <v>199</v>
      </c>
      <c r="E1285">
        <v>23.9</v>
      </c>
      <c r="F1285">
        <v>0</v>
      </c>
      <c r="G1285">
        <v>2</v>
      </c>
      <c r="H1285">
        <v>21</v>
      </c>
      <c r="I1285">
        <v>3</v>
      </c>
      <c r="J1285" t="s">
        <v>13</v>
      </c>
    </row>
    <row r="1286" spans="1:10">
      <c r="A1286">
        <v>1285</v>
      </c>
      <c r="B1286" s="1">
        <v>45459</v>
      </c>
      <c r="C1286" t="s">
        <v>14</v>
      </c>
      <c r="D1286">
        <v>399</v>
      </c>
      <c r="E1286">
        <v>8.3000000000000007</v>
      </c>
      <c r="F1286">
        <v>5</v>
      </c>
      <c r="G1286">
        <v>5</v>
      </c>
      <c r="H1286">
        <v>28</v>
      </c>
      <c r="I1286">
        <v>59</v>
      </c>
      <c r="J1286" t="s">
        <v>13</v>
      </c>
    </row>
    <row r="1287" spans="1:10">
      <c r="A1287">
        <v>1286</v>
      </c>
      <c r="B1287" s="1">
        <v>45075</v>
      </c>
      <c r="C1287" t="s">
        <v>10</v>
      </c>
      <c r="D1287">
        <v>699</v>
      </c>
      <c r="E1287">
        <v>3.1</v>
      </c>
      <c r="F1287">
        <v>0</v>
      </c>
      <c r="G1287">
        <v>4</v>
      </c>
      <c r="H1287">
        <v>15</v>
      </c>
      <c r="I1287">
        <v>54</v>
      </c>
      <c r="J1287" t="s">
        <v>11</v>
      </c>
    </row>
    <row r="1288" spans="1:10">
      <c r="A1288">
        <v>1287</v>
      </c>
      <c r="B1288" s="1">
        <v>45608</v>
      </c>
      <c r="C1288" t="s">
        <v>14</v>
      </c>
      <c r="D1288">
        <v>399</v>
      </c>
      <c r="E1288">
        <v>12.7</v>
      </c>
      <c r="F1288">
        <v>7</v>
      </c>
      <c r="G1288">
        <v>1</v>
      </c>
      <c r="H1288">
        <v>15</v>
      </c>
      <c r="I1288">
        <v>38</v>
      </c>
      <c r="J1288" t="s">
        <v>11</v>
      </c>
    </row>
    <row r="1289" spans="1:10">
      <c r="A1289">
        <v>1288</v>
      </c>
      <c r="B1289" s="1">
        <v>45650</v>
      </c>
      <c r="C1289" t="s">
        <v>10</v>
      </c>
      <c r="D1289">
        <v>699</v>
      </c>
      <c r="E1289">
        <v>15.2</v>
      </c>
      <c r="F1289">
        <v>4</v>
      </c>
      <c r="G1289">
        <v>4</v>
      </c>
      <c r="H1289">
        <v>3</v>
      </c>
      <c r="I1289">
        <v>44</v>
      </c>
      <c r="J1289" t="s">
        <v>11</v>
      </c>
    </row>
    <row r="1290" spans="1:10">
      <c r="A1290">
        <v>1289</v>
      </c>
      <c r="B1290" s="1">
        <v>45312</v>
      </c>
      <c r="C1290" t="s">
        <v>10</v>
      </c>
      <c r="D1290">
        <v>699</v>
      </c>
      <c r="E1290">
        <v>16</v>
      </c>
      <c r="F1290">
        <v>3</v>
      </c>
      <c r="G1290">
        <v>3</v>
      </c>
      <c r="H1290">
        <v>31</v>
      </c>
      <c r="I1290">
        <v>18</v>
      </c>
      <c r="J1290" t="s">
        <v>13</v>
      </c>
    </row>
    <row r="1291" spans="1:10">
      <c r="A1291">
        <v>1290</v>
      </c>
      <c r="B1291" s="1">
        <v>45644</v>
      </c>
      <c r="C1291" t="s">
        <v>12</v>
      </c>
      <c r="D1291">
        <v>199</v>
      </c>
      <c r="E1291">
        <v>4.2</v>
      </c>
      <c r="F1291">
        <v>3</v>
      </c>
      <c r="G1291">
        <v>5</v>
      </c>
      <c r="H1291">
        <v>22</v>
      </c>
      <c r="I1291">
        <v>59</v>
      </c>
      <c r="J1291" t="s">
        <v>11</v>
      </c>
    </row>
    <row r="1292" spans="1:10">
      <c r="A1292">
        <v>1291</v>
      </c>
      <c r="B1292" s="1">
        <v>45602</v>
      </c>
      <c r="C1292" t="s">
        <v>10</v>
      </c>
      <c r="D1292">
        <v>699</v>
      </c>
      <c r="E1292">
        <v>23.1</v>
      </c>
      <c r="F1292">
        <v>2</v>
      </c>
      <c r="G1292">
        <v>3</v>
      </c>
      <c r="H1292">
        <v>4</v>
      </c>
      <c r="I1292">
        <v>46</v>
      </c>
      <c r="J1292" t="s">
        <v>11</v>
      </c>
    </row>
    <row r="1293" spans="1:10">
      <c r="A1293">
        <v>1292</v>
      </c>
      <c r="B1293" s="1">
        <v>45283</v>
      </c>
      <c r="C1293" t="s">
        <v>12</v>
      </c>
      <c r="D1293">
        <v>199</v>
      </c>
      <c r="E1293">
        <v>13.9</v>
      </c>
      <c r="F1293">
        <v>5</v>
      </c>
      <c r="G1293">
        <v>3</v>
      </c>
      <c r="H1293">
        <v>2</v>
      </c>
      <c r="I1293">
        <v>43</v>
      </c>
      <c r="J1293" t="s">
        <v>11</v>
      </c>
    </row>
    <row r="1294" spans="1:10">
      <c r="A1294">
        <v>1293</v>
      </c>
      <c r="B1294" s="1">
        <v>45644</v>
      </c>
      <c r="C1294" t="s">
        <v>14</v>
      </c>
      <c r="D1294">
        <v>399</v>
      </c>
      <c r="E1294">
        <v>2.2999999999999998</v>
      </c>
      <c r="F1294">
        <v>4</v>
      </c>
      <c r="G1294">
        <v>2</v>
      </c>
      <c r="H1294">
        <v>26</v>
      </c>
      <c r="I1294">
        <v>44</v>
      </c>
      <c r="J1294" t="s">
        <v>11</v>
      </c>
    </row>
    <row r="1295" spans="1:10">
      <c r="A1295">
        <v>1294</v>
      </c>
      <c r="B1295" s="1">
        <v>45653</v>
      </c>
      <c r="C1295" t="s">
        <v>10</v>
      </c>
      <c r="D1295">
        <v>699</v>
      </c>
      <c r="E1295">
        <v>2.9</v>
      </c>
      <c r="F1295">
        <v>5</v>
      </c>
      <c r="G1295">
        <v>4</v>
      </c>
      <c r="H1295">
        <v>26</v>
      </c>
      <c r="I1295">
        <v>55</v>
      </c>
      <c r="J1295" t="s">
        <v>11</v>
      </c>
    </row>
    <row r="1296" spans="1:10">
      <c r="A1296">
        <v>1295</v>
      </c>
      <c r="B1296" s="1">
        <v>45075</v>
      </c>
      <c r="C1296" t="s">
        <v>14</v>
      </c>
      <c r="D1296">
        <v>399</v>
      </c>
      <c r="E1296">
        <v>16.5</v>
      </c>
      <c r="F1296">
        <v>2</v>
      </c>
      <c r="G1296">
        <v>3</v>
      </c>
      <c r="H1296">
        <v>30</v>
      </c>
      <c r="I1296">
        <v>44</v>
      </c>
      <c r="J1296" t="s">
        <v>11</v>
      </c>
    </row>
    <row r="1297" spans="1:10">
      <c r="A1297">
        <v>1296</v>
      </c>
      <c r="B1297" s="1">
        <v>45516</v>
      </c>
      <c r="C1297" t="s">
        <v>12</v>
      </c>
      <c r="D1297">
        <v>199</v>
      </c>
      <c r="E1297">
        <v>20.2</v>
      </c>
      <c r="F1297">
        <v>3</v>
      </c>
      <c r="G1297">
        <v>5</v>
      </c>
      <c r="H1297">
        <v>14</v>
      </c>
      <c r="I1297">
        <v>41</v>
      </c>
      <c r="J1297" t="s">
        <v>11</v>
      </c>
    </row>
    <row r="1298" spans="1:10">
      <c r="A1298">
        <v>1297</v>
      </c>
      <c r="B1298" s="1">
        <v>44984</v>
      </c>
      <c r="C1298" t="s">
        <v>12</v>
      </c>
      <c r="D1298">
        <v>199</v>
      </c>
      <c r="E1298">
        <v>9.6999999999999993</v>
      </c>
      <c r="F1298">
        <v>6</v>
      </c>
      <c r="G1298">
        <v>5</v>
      </c>
      <c r="H1298">
        <v>10</v>
      </c>
      <c r="I1298">
        <v>53</v>
      </c>
      <c r="J1298" t="s">
        <v>11</v>
      </c>
    </row>
    <row r="1299" spans="1:10">
      <c r="A1299">
        <v>1298</v>
      </c>
      <c r="B1299" s="1">
        <v>45592</v>
      </c>
      <c r="C1299" t="s">
        <v>12</v>
      </c>
      <c r="D1299">
        <v>199</v>
      </c>
      <c r="E1299">
        <v>24.4</v>
      </c>
      <c r="F1299">
        <v>2</v>
      </c>
      <c r="G1299">
        <v>0</v>
      </c>
      <c r="H1299">
        <v>23</v>
      </c>
      <c r="I1299">
        <v>7</v>
      </c>
      <c r="J1299" t="s">
        <v>13</v>
      </c>
    </row>
    <row r="1300" spans="1:10">
      <c r="A1300">
        <v>1299</v>
      </c>
      <c r="B1300" s="1">
        <v>45333</v>
      </c>
      <c r="C1300" t="s">
        <v>14</v>
      </c>
      <c r="D1300">
        <v>399</v>
      </c>
      <c r="E1300">
        <v>24.3</v>
      </c>
      <c r="F1300">
        <v>6</v>
      </c>
      <c r="G1300">
        <v>1</v>
      </c>
      <c r="H1300">
        <v>28</v>
      </c>
      <c r="I1300">
        <v>2</v>
      </c>
      <c r="J1300" t="s">
        <v>11</v>
      </c>
    </row>
    <row r="1301" spans="1:10">
      <c r="A1301">
        <v>1300</v>
      </c>
      <c r="B1301" s="1">
        <v>45635</v>
      </c>
      <c r="C1301" t="s">
        <v>14</v>
      </c>
      <c r="D1301">
        <v>399</v>
      </c>
      <c r="E1301">
        <v>17.399999999999999</v>
      </c>
      <c r="F1301">
        <v>2</v>
      </c>
      <c r="G1301">
        <v>5</v>
      </c>
      <c r="H1301">
        <v>20</v>
      </c>
      <c r="I1301">
        <v>47</v>
      </c>
      <c r="J1301" t="s">
        <v>11</v>
      </c>
    </row>
    <row r="1302" spans="1:10">
      <c r="A1302">
        <v>1301</v>
      </c>
      <c r="B1302" s="1">
        <v>45303</v>
      </c>
      <c r="C1302" t="s">
        <v>10</v>
      </c>
      <c r="D1302">
        <v>699</v>
      </c>
      <c r="E1302">
        <v>19.600000000000001</v>
      </c>
      <c r="F1302">
        <v>6</v>
      </c>
      <c r="G1302">
        <v>2</v>
      </c>
      <c r="H1302">
        <v>6</v>
      </c>
      <c r="I1302">
        <v>40</v>
      </c>
      <c r="J1302" t="s">
        <v>11</v>
      </c>
    </row>
    <row r="1303" spans="1:10">
      <c r="A1303">
        <v>1302</v>
      </c>
      <c r="B1303" s="1">
        <v>45448</v>
      </c>
      <c r="C1303" t="s">
        <v>12</v>
      </c>
      <c r="D1303">
        <v>199</v>
      </c>
      <c r="E1303">
        <v>3.4</v>
      </c>
      <c r="F1303">
        <v>1</v>
      </c>
      <c r="G1303">
        <v>3</v>
      </c>
      <c r="H1303">
        <v>8</v>
      </c>
      <c r="I1303">
        <v>41</v>
      </c>
      <c r="J1303" t="s">
        <v>11</v>
      </c>
    </row>
    <row r="1304" spans="1:10">
      <c r="A1304">
        <v>1303</v>
      </c>
      <c r="B1304" s="1">
        <v>45534</v>
      </c>
      <c r="C1304" t="s">
        <v>12</v>
      </c>
      <c r="D1304">
        <v>199</v>
      </c>
      <c r="E1304">
        <v>14.9</v>
      </c>
      <c r="F1304">
        <v>7</v>
      </c>
      <c r="G1304">
        <v>2</v>
      </c>
      <c r="H1304">
        <v>2</v>
      </c>
      <c r="I1304">
        <v>44</v>
      </c>
      <c r="J1304" t="s">
        <v>11</v>
      </c>
    </row>
    <row r="1305" spans="1:10">
      <c r="A1305">
        <v>1304</v>
      </c>
      <c r="B1305" s="1">
        <v>45260</v>
      </c>
      <c r="C1305" t="s">
        <v>12</v>
      </c>
      <c r="D1305">
        <v>199</v>
      </c>
      <c r="E1305">
        <v>12.4</v>
      </c>
      <c r="F1305">
        <v>6</v>
      </c>
      <c r="G1305">
        <v>2</v>
      </c>
      <c r="H1305">
        <v>25</v>
      </c>
      <c r="I1305">
        <v>36</v>
      </c>
      <c r="J1305" t="s">
        <v>11</v>
      </c>
    </row>
    <row r="1306" spans="1:10">
      <c r="A1306">
        <v>1305</v>
      </c>
      <c r="B1306" s="1">
        <v>45469</v>
      </c>
      <c r="C1306" t="s">
        <v>12</v>
      </c>
      <c r="D1306">
        <v>199</v>
      </c>
      <c r="E1306">
        <v>5</v>
      </c>
      <c r="F1306">
        <v>0</v>
      </c>
      <c r="G1306">
        <v>3</v>
      </c>
      <c r="H1306">
        <v>35</v>
      </c>
      <c r="I1306">
        <v>35</v>
      </c>
      <c r="J1306" t="s">
        <v>13</v>
      </c>
    </row>
    <row r="1307" spans="1:10">
      <c r="A1307">
        <v>1306</v>
      </c>
      <c r="B1307" s="1">
        <v>45054</v>
      </c>
      <c r="C1307" t="s">
        <v>14</v>
      </c>
      <c r="D1307">
        <v>399</v>
      </c>
      <c r="E1307">
        <v>13.2</v>
      </c>
      <c r="F1307">
        <v>8</v>
      </c>
      <c r="G1307">
        <v>5</v>
      </c>
      <c r="H1307">
        <v>5</v>
      </c>
      <c r="I1307">
        <v>52</v>
      </c>
      <c r="J1307" t="s">
        <v>13</v>
      </c>
    </row>
    <row r="1308" spans="1:10">
      <c r="A1308">
        <v>1307</v>
      </c>
      <c r="B1308" s="1">
        <v>45248</v>
      </c>
      <c r="C1308" t="s">
        <v>12</v>
      </c>
      <c r="D1308">
        <v>199</v>
      </c>
      <c r="E1308">
        <v>4.9000000000000004</v>
      </c>
      <c r="F1308">
        <v>2</v>
      </c>
      <c r="G1308">
        <v>0</v>
      </c>
      <c r="H1308">
        <v>8</v>
      </c>
      <c r="I1308">
        <v>35</v>
      </c>
      <c r="J1308" t="s">
        <v>11</v>
      </c>
    </row>
    <row r="1309" spans="1:10">
      <c r="A1309">
        <v>1308</v>
      </c>
      <c r="B1309" s="1">
        <v>45189</v>
      </c>
      <c r="C1309" t="s">
        <v>12</v>
      </c>
      <c r="D1309">
        <v>199</v>
      </c>
      <c r="E1309">
        <v>3.7</v>
      </c>
      <c r="F1309">
        <v>3</v>
      </c>
      <c r="G1309">
        <v>5</v>
      </c>
      <c r="H1309">
        <v>3</v>
      </c>
      <c r="I1309">
        <v>10</v>
      </c>
      <c r="J1309" t="s">
        <v>11</v>
      </c>
    </row>
    <row r="1310" spans="1:10">
      <c r="A1310">
        <v>1309</v>
      </c>
      <c r="B1310" s="1">
        <v>45102</v>
      </c>
      <c r="C1310" t="s">
        <v>12</v>
      </c>
      <c r="D1310">
        <v>199</v>
      </c>
      <c r="E1310">
        <v>24.5</v>
      </c>
      <c r="F1310">
        <v>8</v>
      </c>
      <c r="G1310">
        <v>2</v>
      </c>
      <c r="H1310">
        <v>6</v>
      </c>
      <c r="I1310">
        <v>23</v>
      </c>
      <c r="J1310" t="s">
        <v>13</v>
      </c>
    </row>
    <row r="1311" spans="1:10">
      <c r="A1311">
        <v>1310</v>
      </c>
      <c r="B1311" s="1">
        <v>45601</v>
      </c>
      <c r="C1311" t="s">
        <v>14</v>
      </c>
      <c r="D1311">
        <v>399</v>
      </c>
      <c r="E1311">
        <v>6.6</v>
      </c>
      <c r="F1311">
        <v>0</v>
      </c>
      <c r="G1311">
        <v>4</v>
      </c>
      <c r="H1311">
        <v>1</v>
      </c>
      <c r="I1311">
        <v>57</v>
      </c>
      <c r="J1311" t="s">
        <v>13</v>
      </c>
    </row>
    <row r="1312" spans="1:10">
      <c r="A1312">
        <v>1311</v>
      </c>
      <c r="B1312" s="1">
        <v>45287</v>
      </c>
      <c r="C1312" t="s">
        <v>10</v>
      </c>
      <c r="D1312">
        <v>699</v>
      </c>
      <c r="E1312">
        <v>3.9</v>
      </c>
      <c r="F1312">
        <v>7</v>
      </c>
      <c r="G1312">
        <v>5</v>
      </c>
      <c r="H1312">
        <v>29</v>
      </c>
      <c r="I1312">
        <v>20</v>
      </c>
      <c r="J1312" t="s">
        <v>11</v>
      </c>
    </row>
    <row r="1313" spans="1:10">
      <c r="A1313">
        <v>1312</v>
      </c>
      <c r="B1313" s="1">
        <v>44964</v>
      </c>
      <c r="C1313" t="s">
        <v>10</v>
      </c>
      <c r="D1313">
        <v>699</v>
      </c>
      <c r="E1313">
        <v>13</v>
      </c>
      <c r="F1313">
        <v>1</v>
      </c>
      <c r="G1313">
        <v>5</v>
      </c>
      <c r="H1313">
        <v>35</v>
      </c>
      <c r="I1313">
        <v>52</v>
      </c>
      <c r="J1313" t="s">
        <v>11</v>
      </c>
    </row>
    <row r="1314" spans="1:10">
      <c r="A1314">
        <v>1313</v>
      </c>
      <c r="B1314" s="1">
        <v>45532</v>
      </c>
      <c r="C1314" t="s">
        <v>12</v>
      </c>
      <c r="D1314">
        <v>199</v>
      </c>
      <c r="E1314">
        <v>7.8</v>
      </c>
      <c r="F1314">
        <v>3</v>
      </c>
      <c r="G1314">
        <v>1</v>
      </c>
      <c r="H1314">
        <v>10</v>
      </c>
      <c r="I1314">
        <v>38</v>
      </c>
      <c r="J1314" t="s">
        <v>13</v>
      </c>
    </row>
    <row r="1315" spans="1:10">
      <c r="A1315">
        <v>1314</v>
      </c>
      <c r="B1315" s="1">
        <v>45317</v>
      </c>
      <c r="C1315" t="s">
        <v>14</v>
      </c>
      <c r="D1315">
        <v>399</v>
      </c>
      <c r="E1315">
        <v>3.6</v>
      </c>
      <c r="F1315">
        <v>6</v>
      </c>
      <c r="G1315">
        <v>0</v>
      </c>
      <c r="H1315">
        <v>18</v>
      </c>
      <c r="I1315">
        <v>35</v>
      </c>
      <c r="J1315" t="s">
        <v>11</v>
      </c>
    </row>
    <row r="1316" spans="1:10">
      <c r="A1316">
        <v>1315</v>
      </c>
      <c r="B1316" s="1">
        <v>45638</v>
      </c>
      <c r="C1316" t="s">
        <v>10</v>
      </c>
      <c r="D1316">
        <v>699</v>
      </c>
      <c r="E1316">
        <v>10.3</v>
      </c>
      <c r="F1316">
        <v>1</v>
      </c>
      <c r="G1316">
        <v>2</v>
      </c>
      <c r="H1316">
        <v>11</v>
      </c>
      <c r="I1316">
        <v>43</v>
      </c>
      <c r="J1316" t="s">
        <v>11</v>
      </c>
    </row>
    <row r="1317" spans="1:10">
      <c r="A1317">
        <v>1316</v>
      </c>
      <c r="B1317" s="1">
        <v>45308</v>
      </c>
      <c r="C1317" t="s">
        <v>12</v>
      </c>
      <c r="D1317">
        <v>199</v>
      </c>
      <c r="E1317">
        <v>5.5</v>
      </c>
      <c r="F1317">
        <v>4</v>
      </c>
      <c r="G1317">
        <v>5</v>
      </c>
      <c r="H1317">
        <v>35</v>
      </c>
      <c r="I1317">
        <v>44</v>
      </c>
      <c r="J1317" t="s">
        <v>11</v>
      </c>
    </row>
    <row r="1318" spans="1:10">
      <c r="A1318">
        <v>1317</v>
      </c>
      <c r="B1318" s="1">
        <v>45371</v>
      </c>
      <c r="C1318" t="s">
        <v>10</v>
      </c>
      <c r="D1318">
        <v>699</v>
      </c>
      <c r="E1318">
        <v>15.3</v>
      </c>
      <c r="F1318">
        <v>6</v>
      </c>
      <c r="G1318">
        <v>1</v>
      </c>
      <c r="H1318">
        <v>33</v>
      </c>
      <c r="I1318">
        <v>20</v>
      </c>
      <c r="J1318" t="s">
        <v>13</v>
      </c>
    </row>
    <row r="1319" spans="1:10">
      <c r="A1319">
        <v>1318</v>
      </c>
      <c r="B1319" s="1">
        <v>45039</v>
      </c>
      <c r="C1319" t="s">
        <v>14</v>
      </c>
      <c r="D1319">
        <v>399</v>
      </c>
      <c r="E1319">
        <v>24.1</v>
      </c>
      <c r="F1319">
        <v>3</v>
      </c>
      <c r="G1319">
        <v>0</v>
      </c>
      <c r="H1319">
        <v>2</v>
      </c>
      <c r="I1319">
        <v>17</v>
      </c>
      <c r="J1319" t="s">
        <v>13</v>
      </c>
    </row>
    <row r="1320" spans="1:10">
      <c r="A1320">
        <v>1319</v>
      </c>
      <c r="B1320" s="1">
        <v>45268</v>
      </c>
      <c r="C1320" t="s">
        <v>10</v>
      </c>
      <c r="D1320">
        <v>699</v>
      </c>
      <c r="E1320">
        <v>10.5</v>
      </c>
      <c r="F1320">
        <v>5</v>
      </c>
      <c r="G1320">
        <v>5</v>
      </c>
      <c r="H1320">
        <v>36</v>
      </c>
      <c r="I1320">
        <v>5</v>
      </c>
      <c r="J1320" t="s">
        <v>11</v>
      </c>
    </row>
    <row r="1321" spans="1:10">
      <c r="A1321">
        <v>1320</v>
      </c>
      <c r="B1321" s="1">
        <v>45154</v>
      </c>
      <c r="C1321" t="s">
        <v>14</v>
      </c>
      <c r="D1321">
        <v>399</v>
      </c>
      <c r="E1321">
        <v>21.8</v>
      </c>
      <c r="F1321">
        <v>3</v>
      </c>
      <c r="G1321">
        <v>2</v>
      </c>
      <c r="H1321">
        <v>10</v>
      </c>
      <c r="I1321">
        <v>0</v>
      </c>
      <c r="J1321" t="s">
        <v>11</v>
      </c>
    </row>
    <row r="1322" spans="1:10">
      <c r="A1322">
        <v>1321</v>
      </c>
      <c r="B1322" s="1">
        <v>45240</v>
      </c>
      <c r="C1322" t="s">
        <v>14</v>
      </c>
      <c r="D1322">
        <v>399</v>
      </c>
      <c r="E1322">
        <v>19.7</v>
      </c>
      <c r="F1322">
        <v>1</v>
      </c>
      <c r="G1322">
        <v>1</v>
      </c>
      <c r="H1322">
        <v>7</v>
      </c>
      <c r="I1322">
        <v>33</v>
      </c>
      <c r="J1322" t="s">
        <v>13</v>
      </c>
    </row>
    <row r="1323" spans="1:10">
      <c r="A1323">
        <v>1322</v>
      </c>
      <c r="B1323" s="1">
        <v>45491</v>
      </c>
      <c r="C1323" t="s">
        <v>10</v>
      </c>
      <c r="D1323">
        <v>699</v>
      </c>
      <c r="E1323">
        <v>2.8</v>
      </c>
      <c r="F1323">
        <v>5</v>
      </c>
      <c r="G1323">
        <v>5</v>
      </c>
      <c r="H1323">
        <v>32</v>
      </c>
      <c r="I1323">
        <v>36</v>
      </c>
      <c r="J1323" t="s">
        <v>11</v>
      </c>
    </row>
    <row r="1324" spans="1:10">
      <c r="A1324">
        <v>1323</v>
      </c>
      <c r="B1324" s="1">
        <v>45112</v>
      </c>
      <c r="C1324" t="s">
        <v>14</v>
      </c>
      <c r="D1324">
        <v>399</v>
      </c>
      <c r="E1324">
        <v>22.5</v>
      </c>
      <c r="F1324">
        <v>2</v>
      </c>
      <c r="G1324">
        <v>2</v>
      </c>
      <c r="H1324">
        <v>7</v>
      </c>
      <c r="I1324">
        <v>60</v>
      </c>
      <c r="J1324" t="s">
        <v>13</v>
      </c>
    </row>
    <row r="1325" spans="1:10">
      <c r="A1325">
        <v>1324</v>
      </c>
      <c r="B1325" s="1">
        <v>44936</v>
      </c>
      <c r="C1325" t="s">
        <v>14</v>
      </c>
      <c r="D1325">
        <v>399</v>
      </c>
      <c r="E1325">
        <v>14</v>
      </c>
      <c r="F1325">
        <v>6</v>
      </c>
      <c r="G1325">
        <v>3</v>
      </c>
      <c r="H1325">
        <v>35</v>
      </c>
      <c r="I1325">
        <v>37</v>
      </c>
      <c r="J1325" t="s">
        <v>11</v>
      </c>
    </row>
    <row r="1326" spans="1:10">
      <c r="A1326">
        <v>1325</v>
      </c>
      <c r="B1326" s="1">
        <v>45200</v>
      </c>
      <c r="C1326" t="s">
        <v>10</v>
      </c>
      <c r="D1326">
        <v>699</v>
      </c>
      <c r="E1326">
        <v>18</v>
      </c>
      <c r="F1326">
        <v>2</v>
      </c>
      <c r="G1326">
        <v>1</v>
      </c>
      <c r="H1326">
        <v>33</v>
      </c>
      <c r="I1326">
        <v>24</v>
      </c>
      <c r="J1326" t="s">
        <v>13</v>
      </c>
    </row>
    <row r="1327" spans="1:10">
      <c r="A1327">
        <v>1326</v>
      </c>
      <c r="B1327" s="1">
        <v>45395</v>
      </c>
      <c r="C1327" t="s">
        <v>12</v>
      </c>
      <c r="D1327">
        <v>199</v>
      </c>
      <c r="E1327">
        <v>17.8</v>
      </c>
      <c r="F1327">
        <v>3</v>
      </c>
      <c r="G1327">
        <v>5</v>
      </c>
      <c r="H1327">
        <v>24</v>
      </c>
      <c r="I1327">
        <v>38</v>
      </c>
      <c r="J1327" t="s">
        <v>11</v>
      </c>
    </row>
    <row r="1328" spans="1:10">
      <c r="A1328">
        <v>1327</v>
      </c>
      <c r="B1328" s="1">
        <v>45365</v>
      </c>
      <c r="C1328" t="s">
        <v>12</v>
      </c>
      <c r="D1328">
        <v>199</v>
      </c>
      <c r="E1328">
        <v>24.7</v>
      </c>
      <c r="F1328">
        <v>7</v>
      </c>
      <c r="G1328">
        <v>4</v>
      </c>
      <c r="H1328">
        <v>29</v>
      </c>
      <c r="I1328">
        <v>18</v>
      </c>
      <c r="J1328" t="s">
        <v>11</v>
      </c>
    </row>
    <row r="1329" spans="1:10">
      <c r="A1329">
        <v>1328</v>
      </c>
      <c r="B1329" s="1">
        <v>45019</v>
      </c>
      <c r="C1329" t="s">
        <v>10</v>
      </c>
      <c r="D1329">
        <v>699</v>
      </c>
      <c r="E1329">
        <v>8</v>
      </c>
      <c r="F1329">
        <v>1</v>
      </c>
      <c r="G1329">
        <v>2</v>
      </c>
      <c r="H1329">
        <v>15</v>
      </c>
      <c r="I1329">
        <v>26</v>
      </c>
      <c r="J1329" t="s">
        <v>13</v>
      </c>
    </row>
    <row r="1330" spans="1:10">
      <c r="A1330">
        <v>1329</v>
      </c>
      <c r="B1330" s="1">
        <v>45013</v>
      </c>
      <c r="C1330" t="s">
        <v>10</v>
      </c>
      <c r="D1330">
        <v>699</v>
      </c>
      <c r="E1330">
        <v>2.4</v>
      </c>
      <c r="F1330">
        <v>3</v>
      </c>
      <c r="G1330">
        <v>0</v>
      </c>
      <c r="H1330">
        <v>6</v>
      </c>
      <c r="I1330">
        <v>10</v>
      </c>
      <c r="J1330" t="s">
        <v>13</v>
      </c>
    </row>
    <row r="1331" spans="1:10">
      <c r="A1331">
        <v>1330</v>
      </c>
      <c r="B1331" s="1">
        <v>45447</v>
      </c>
      <c r="C1331" t="s">
        <v>10</v>
      </c>
      <c r="D1331">
        <v>699</v>
      </c>
      <c r="E1331">
        <v>14.1</v>
      </c>
      <c r="F1331">
        <v>7</v>
      </c>
      <c r="G1331">
        <v>0</v>
      </c>
      <c r="H1331">
        <v>19</v>
      </c>
      <c r="I1331">
        <v>60</v>
      </c>
      <c r="J1331" t="s">
        <v>11</v>
      </c>
    </row>
    <row r="1332" spans="1:10">
      <c r="A1332">
        <v>1331</v>
      </c>
      <c r="B1332" s="1">
        <v>45641</v>
      </c>
      <c r="C1332" t="s">
        <v>10</v>
      </c>
      <c r="D1332">
        <v>699</v>
      </c>
      <c r="E1332">
        <v>12.3</v>
      </c>
      <c r="F1332">
        <v>8</v>
      </c>
      <c r="G1332">
        <v>5</v>
      </c>
      <c r="H1332">
        <v>9</v>
      </c>
      <c r="I1332">
        <v>43</v>
      </c>
      <c r="J1332" t="s">
        <v>13</v>
      </c>
    </row>
    <row r="1333" spans="1:10">
      <c r="A1333">
        <v>1332</v>
      </c>
      <c r="B1333" s="1">
        <v>45646</v>
      </c>
      <c r="C1333" t="s">
        <v>12</v>
      </c>
      <c r="D1333">
        <v>199</v>
      </c>
      <c r="E1333">
        <v>0.8</v>
      </c>
      <c r="F1333">
        <v>3</v>
      </c>
      <c r="G1333">
        <v>5</v>
      </c>
      <c r="H1333">
        <v>26</v>
      </c>
      <c r="I1333">
        <v>0</v>
      </c>
      <c r="J1333" t="s">
        <v>13</v>
      </c>
    </row>
    <row r="1334" spans="1:10">
      <c r="A1334">
        <v>1333</v>
      </c>
      <c r="B1334" s="1">
        <v>45386</v>
      </c>
      <c r="C1334" t="s">
        <v>10</v>
      </c>
      <c r="D1334">
        <v>699</v>
      </c>
      <c r="E1334">
        <v>6.5</v>
      </c>
      <c r="F1334">
        <v>8</v>
      </c>
      <c r="G1334">
        <v>5</v>
      </c>
      <c r="H1334">
        <v>23</v>
      </c>
      <c r="I1334">
        <v>38</v>
      </c>
      <c r="J1334" t="s">
        <v>11</v>
      </c>
    </row>
    <row r="1335" spans="1:10">
      <c r="A1335">
        <v>1334</v>
      </c>
      <c r="B1335" s="1">
        <v>45453</v>
      </c>
      <c r="C1335" t="s">
        <v>12</v>
      </c>
      <c r="D1335">
        <v>199</v>
      </c>
      <c r="E1335">
        <v>22.6</v>
      </c>
      <c r="F1335">
        <v>2</v>
      </c>
      <c r="G1335">
        <v>0</v>
      </c>
      <c r="H1335">
        <v>34</v>
      </c>
      <c r="I1335">
        <v>23</v>
      </c>
      <c r="J1335" t="s">
        <v>13</v>
      </c>
    </row>
    <row r="1336" spans="1:10">
      <c r="A1336">
        <v>1335</v>
      </c>
      <c r="B1336" s="1">
        <v>45273</v>
      </c>
      <c r="C1336" t="s">
        <v>14</v>
      </c>
      <c r="D1336">
        <v>399</v>
      </c>
      <c r="E1336">
        <v>10.9</v>
      </c>
      <c r="F1336">
        <v>6</v>
      </c>
      <c r="G1336">
        <v>1</v>
      </c>
      <c r="H1336">
        <v>4</v>
      </c>
      <c r="I1336">
        <v>23</v>
      </c>
      <c r="J1336" t="s">
        <v>13</v>
      </c>
    </row>
    <row r="1337" spans="1:10">
      <c r="A1337">
        <v>1336</v>
      </c>
      <c r="B1337" s="1">
        <v>45198</v>
      </c>
      <c r="C1337" t="s">
        <v>10</v>
      </c>
      <c r="D1337">
        <v>699</v>
      </c>
      <c r="E1337">
        <v>20.9</v>
      </c>
      <c r="F1337">
        <v>1</v>
      </c>
      <c r="G1337">
        <v>2</v>
      </c>
      <c r="H1337">
        <v>16</v>
      </c>
      <c r="I1337">
        <v>19</v>
      </c>
      <c r="J1337" t="s">
        <v>13</v>
      </c>
    </row>
    <row r="1338" spans="1:10">
      <c r="A1338">
        <v>1337</v>
      </c>
      <c r="B1338" s="1">
        <v>45585</v>
      </c>
      <c r="C1338" t="s">
        <v>12</v>
      </c>
      <c r="D1338">
        <v>199</v>
      </c>
      <c r="E1338">
        <v>18.600000000000001</v>
      </c>
      <c r="F1338">
        <v>6</v>
      </c>
      <c r="G1338">
        <v>1</v>
      </c>
      <c r="H1338">
        <v>1</v>
      </c>
      <c r="I1338">
        <v>59</v>
      </c>
      <c r="J1338" t="s">
        <v>11</v>
      </c>
    </row>
    <row r="1339" spans="1:10">
      <c r="A1339">
        <v>1338</v>
      </c>
      <c r="B1339" s="1">
        <v>45398</v>
      </c>
      <c r="C1339" t="s">
        <v>10</v>
      </c>
      <c r="D1339">
        <v>699</v>
      </c>
      <c r="E1339">
        <v>23.4</v>
      </c>
      <c r="F1339">
        <v>7</v>
      </c>
      <c r="G1339">
        <v>0</v>
      </c>
      <c r="H1339">
        <v>3</v>
      </c>
      <c r="I1339">
        <v>22</v>
      </c>
      <c r="J1339" t="s">
        <v>11</v>
      </c>
    </row>
    <row r="1340" spans="1:10">
      <c r="A1340">
        <v>1339</v>
      </c>
      <c r="B1340" s="1">
        <v>45338</v>
      </c>
      <c r="C1340" t="s">
        <v>14</v>
      </c>
      <c r="D1340">
        <v>399</v>
      </c>
      <c r="E1340">
        <v>9.1999999999999993</v>
      </c>
      <c r="F1340">
        <v>0</v>
      </c>
      <c r="G1340">
        <v>2</v>
      </c>
      <c r="H1340">
        <v>20</v>
      </c>
      <c r="I1340">
        <v>56</v>
      </c>
      <c r="J1340" t="s">
        <v>13</v>
      </c>
    </row>
    <row r="1341" spans="1:10">
      <c r="A1341">
        <v>1340</v>
      </c>
      <c r="B1341" s="1">
        <v>45084</v>
      </c>
      <c r="C1341" t="s">
        <v>14</v>
      </c>
      <c r="D1341">
        <v>399</v>
      </c>
      <c r="E1341">
        <v>3</v>
      </c>
      <c r="F1341">
        <v>7</v>
      </c>
      <c r="G1341">
        <v>1</v>
      </c>
      <c r="H1341">
        <v>1</v>
      </c>
      <c r="I1341">
        <v>5</v>
      </c>
      <c r="J1341" t="s">
        <v>13</v>
      </c>
    </row>
    <row r="1342" spans="1:10">
      <c r="A1342">
        <v>1341</v>
      </c>
      <c r="B1342" s="1">
        <v>45158</v>
      </c>
      <c r="C1342" t="s">
        <v>14</v>
      </c>
      <c r="D1342">
        <v>399</v>
      </c>
      <c r="E1342">
        <v>22.9</v>
      </c>
      <c r="F1342">
        <v>0</v>
      </c>
      <c r="G1342">
        <v>1</v>
      </c>
      <c r="H1342">
        <v>8</v>
      </c>
      <c r="I1342">
        <v>49</v>
      </c>
      <c r="J1342" t="s">
        <v>13</v>
      </c>
    </row>
    <row r="1343" spans="1:10">
      <c r="A1343">
        <v>1342</v>
      </c>
      <c r="B1343" s="1">
        <v>45202</v>
      </c>
      <c r="C1343" t="s">
        <v>14</v>
      </c>
      <c r="D1343">
        <v>399</v>
      </c>
      <c r="E1343">
        <v>9.6999999999999993</v>
      </c>
      <c r="F1343">
        <v>5</v>
      </c>
      <c r="G1343">
        <v>3</v>
      </c>
      <c r="H1343">
        <v>26</v>
      </c>
      <c r="I1343">
        <v>57</v>
      </c>
      <c r="J1343" t="s">
        <v>11</v>
      </c>
    </row>
    <row r="1344" spans="1:10">
      <c r="A1344">
        <v>1343</v>
      </c>
      <c r="B1344" s="1">
        <v>45371</v>
      </c>
      <c r="C1344" t="s">
        <v>12</v>
      </c>
      <c r="D1344">
        <v>199</v>
      </c>
      <c r="E1344">
        <v>16.600000000000001</v>
      </c>
      <c r="F1344">
        <v>7</v>
      </c>
      <c r="G1344">
        <v>1</v>
      </c>
      <c r="H1344">
        <v>29</v>
      </c>
      <c r="I1344">
        <v>8</v>
      </c>
      <c r="J1344" t="s">
        <v>13</v>
      </c>
    </row>
    <row r="1345" spans="1:10">
      <c r="A1345">
        <v>1344</v>
      </c>
      <c r="B1345" s="1">
        <v>45063</v>
      </c>
      <c r="C1345" t="s">
        <v>12</v>
      </c>
      <c r="D1345">
        <v>199</v>
      </c>
      <c r="E1345">
        <v>22.1</v>
      </c>
      <c r="F1345">
        <v>3</v>
      </c>
      <c r="G1345">
        <v>0</v>
      </c>
      <c r="H1345">
        <v>23</v>
      </c>
      <c r="I1345">
        <v>12</v>
      </c>
      <c r="J1345" t="s">
        <v>13</v>
      </c>
    </row>
    <row r="1346" spans="1:10">
      <c r="A1346">
        <v>1345</v>
      </c>
      <c r="B1346" s="1">
        <v>45417</v>
      </c>
      <c r="C1346" t="s">
        <v>14</v>
      </c>
      <c r="D1346">
        <v>399</v>
      </c>
      <c r="E1346">
        <v>18.7</v>
      </c>
      <c r="F1346">
        <v>0</v>
      </c>
      <c r="G1346">
        <v>1</v>
      </c>
      <c r="H1346">
        <v>27</v>
      </c>
      <c r="I1346">
        <v>42</v>
      </c>
      <c r="J1346" t="s">
        <v>11</v>
      </c>
    </row>
    <row r="1347" spans="1:10">
      <c r="A1347">
        <v>1346</v>
      </c>
      <c r="B1347" s="1">
        <v>45057</v>
      </c>
      <c r="C1347" t="s">
        <v>10</v>
      </c>
      <c r="D1347">
        <v>699</v>
      </c>
      <c r="E1347">
        <v>3.4</v>
      </c>
      <c r="F1347">
        <v>7</v>
      </c>
      <c r="G1347">
        <v>4</v>
      </c>
      <c r="H1347">
        <v>18</v>
      </c>
      <c r="I1347">
        <v>31</v>
      </c>
      <c r="J1347" t="s">
        <v>11</v>
      </c>
    </row>
    <row r="1348" spans="1:10">
      <c r="A1348">
        <v>1347</v>
      </c>
      <c r="B1348" s="1">
        <v>44948</v>
      </c>
      <c r="C1348" t="s">
        <v>14</v>
      </c>
      <c r="D1348">
        <v>399</v>
      </c>
      <c r="E1348">
        <v>12.8</v>
      </c>
      <c r="F1348">
        <v>6</v>
      </c>
      <c r="G1348">
        <v>1</v>
      </c>
      <c r="H1348">
        <v>26</v>
      </c>
      <c r="I1348">
        <v>7</v>
      </c>
      <c r="J1348" t="s">
        <v>13</v>
      </c>
    </row>
    <row r="1349" spans="1:10">
      <c r="A1349">
        <v>1348</v>
      </c>
      <c r="B1349" s="1">
        <v>45277</v>
      </c>
      <c r="C1349" t="s">
        <v>12</v>
      </c>
      <c r="D1349">
        <v>199</v>
      </c>
      <c r="E1349">
        <v>8.9</v>
      </c>
      <c r="F1349">
        <v>0</v>
      </c>
      <c r="G1349">
        <v>5</v>
      </c>
      <c r="H1349">
        <v>10</v>
      </c>
      <c r="I1349">
        <v>15</v>
      </c>
      <c r="J1349" t="s">
        <v>11</v>
      </c>
    </row>
    <row r="1350" spans="1:10">
      <c r="A1350">
        <v>1349</v>
      </c>
      <c r="B1350" s="1">
        <v>45366</v>
      </c>
      <c r="C1350" t="s">
        <v>14</v>
      </c>
      <c r="D1350">
        <v>399</v>
      </c>
      <c r="E1350">
        <v>11.1</v>
      </c>
      <c r="F1350">
        <v>4</v>
      </c>
      <c r="G1350">
        <v>2</v>
      </c>
      <c r="H1350">
        <v>1</v>
      </c>
      <c r="I1350">
        <v>31</v>
      </c>
      <c r="J1350" t="s">
        <v>11</v>
      </c>
    </row>
    <row r="1351" spans="1:10">
      <c r="A1351">
        <v>1350</v>
      </c>
      <c r="B1351" s="1">
        <v>45196</v>
      </c>
      <c r="C1351" t="s">
        <v>12</v>
      </c>
      <c r="D1351">
        <v>199</v>
      </c>
      <c r="E1351">
        <v>18.399999999999999</v>
      </c>
      <c r="F1351">
        <v>2</v>
      </c>
      <c r="G1351">
        <v>1</v>
      </c>
      <c r="H1351">
        <v>10</v>
      </c>
      <c r="I1351">
        <v>17</v>
      </c>
      <c r="J1351" t="s">
        <v>13</v>
      </c>
    </row>
    <row r="1352" spans="1:10">
      <c r="A1352">
        <v>1351</v>
      </c>
      <c r="B1352" s="1">
        <v>45032</v>
      </c>
      <c r="C1352" t="s">
        <v>10</v>
      </c>
      <c r="D1352">
        <v>699</v>
      </c>
      <c r="E1352">
        <v>16.8</v>
      </c>
      <c r="F1352">
        <v>6</v>
      </c>
      <c r="G1352">
        <v>1</v>
      </c>
      <c r="H1352">
        <v>16</v>
      </c>
      <c r="I1352">
        <v>30</v>
      </c>
      <c r="J1352" t="s">
        <v>13</v>
      </c>
    </row>
    <row r="1353" spans="1:10">
      <c r="A1353">
        <v>1352</v>
      </c>
      <c r="B1353" s="1">
        <v>45161</v>
      </c>
      <c r="C1353" t="s">
        <v>10</v>
      </c>
      <c r="D1353">
        <v>699</v>
      </c>
      <c r="E1353">
        <v>15.5</v>
      </c>
      <c r="F1353">
        <v>3</v>
      </c>
      <c r="G1353">
        <v>4</v>
      </c>
      <c r="H1353">
        <v>33</v>
      </c>
      <c r="I1353">
        <v>40</v>
      </c>
      <c r="J1353" t="s">
        <v>13</v>
      </c>
    </row>
    <row r="1354" spans="1:10">
      <c r="A1354">
        <v>1353</v>
      </c>
      <c r="B1354" s="1">
        <v>44945</v>
      </c>
      <c r="C1354" t="s">
        <v>12</v>
      </c>
      <c r="D1354">
        <v>199</v>
      </c>
      <c r="E1354">
        <v>10.3</v>
      </c>
      <c r="F1354">
        <v>4</v>
      </c>
      <c r="G1354">
        <v>1</v>
      </c>
      <c r="H1354">
        <v>9</v>
      </c>
      <c r="I1354">
        <v>59</v>
      </c>
      <c r="J1354" t="s">
        <v>11</v>
      </c>
    </row>
    <row r="1355" spans="1:10">
      <c r="A1355">
        <v>1354</v>
      </c>
      <c r="B1355" s="1">
        <v>45643</v>
      </c>
      <c r="C1355" t="s">
        <v>10</v>
      </c>
      <c r="D1355">
        <v>699</v>
      </c>
      <c r="E1355">
        <v>2.7</v>
      </c>
      <c r="F1355">
        <v>0</v>
      </c>
      <c r="G1355">
        <v>3</v>
      </c>
      <c r="H1355">
        <v>13</v>
      </c>
      <c r="I1355">
        <v>26</v>
      </c>
      <c r="J1355" t="s">
        <v>11</v>
      </c>
    </row>
    <row r="1356" spans="1:10">
      <c r="A1356">
        <v>1355</v>
      </c>
      <c r="B1356" s="1">
        <v>45586</v>
      </c>
      <c r="C1356" t="s">
        <v>10</v>
      </c>
      <c r="D1356">
        <v>699</v>
      </c>
      <c r="E1356">
        <v>5.9</v>
      </c>
      <c r="F1356">
        <v>6</v>
      </c>
      <c r="G1356">
        <v>3</v>
      </c>
      <c r="H1356">
        <v>15</v>
      </c>
      <c r="I1356">
        <v>3</v>
      </c>
      <c r="J1356" t="s">
        <v>13</v>
      </c>
    </row>
    <row r="1357" spans="1:10">
      <c r="A1357">
        <v>1356</v>
      </c>
      <c r="B1357" s="1">
        <v>45355</v>
      </c>
      <c r="C1357" t="s">
        <v>12</v>
      </c>
      <c r="D1357">
        <v>199</v>
      </c>
      <c r="E1357">
        <v>3.2</v>
      </c>
      <c r="F1357">
        <v>5</v>
      </c>
      <c r="G1357">
        <v>2</v>
      </c>
      <c r="H1357">
        <v>20</v>
      </c>
      <c r="I1357">
        <v>60</v>
      </c>
      <c r="J1357" t="s">
        <v>11</v>
      </c>
    </row>
    <row r="1358" spans="1:10">
      <c r="A1358">
        <v>1357</v>
      </c>
      <c r="B1358" s="1">
        <v>45256</v>
      </c>
      <c r="C1358" t="s">
        <v>12</v>
      </c>
      <c r="D1358">
        <v>199</v>
      </c>
      <c r="E1358">
        <v>22.4</v>
      </c>
      <c r="F1358">
        <v>2</v>
      </c>
      <c r="G1358">
        <v>0</v>
      </c>
      <c r="H1358">
        <v>21</v>
      </c>
      <c r="I1358">
        <v>0</v>
      </c>
      <c r="J1358" t="s">
        <v>11</v>
      </c>
    </row>
    <row r="1359" spans="1:10">
      <c r="A1359">
        <v>1358</v>
      </c>
      <c r="B1359" s="1">
        <v>45430</v>
      </c>
      <c r="C1359" t="s">
        <v>12</v>
      </c>
      <c r="D1359">
        <v>199</v>
      </c>
      <c r="E1359">
        <v>12.1</v>
      </c>
      <c r="F1359">
        <v>1</v>
      </c>
      <c r="G1359">
        <v>3</v>
      </c>
      <c r="H1359">
        <v>19</v>
      </c>
      <c r="I1359">
        <v>11</v>
      </c>
      <c r="J1359" t="s">
        <v>11</v>
      </c>
    </row>
    <row r="1360" spans="1:10">
      <c r="A1360">
        <v>1359</v>
      </c>
      <c r="B1360" s="1">
        <v>45060</v>
      </c>
      <c r="C1360" t="s">
        <v>14</v>
      </c>
      <c r="D1360">
        <v>399</v>
      </c>
      <c r="E1360">
        <v>8</v>
      </c>
      <c r="F1360">
        <v>1</v>
      </c>
      <c r="G1360">
        <v>5</v>
      </c>
      <c r="H1360">
        <v>22</v>
      </c>
      <c r="I1360">
        <v>0</v>
      </c>
      <c r="J1360" t="s">
        <v>13</v>
      </c>
    </row>
    <row r="1361" spans="1:10">
      <c r="A1361">
        <v>1360</v>
      </c>
      <c r="B1361" s="1">
        <v>45546</v>
      </c>
      <c r="C1361" t="s">
        <v>14</v>
      </c>
      <c r="D1361">
        <v>399</v>
      </c>
      <c r="E1361">
        <v>18.7</v>
      </c>
      <c r="F1361">
        <v>5</v>
      </c>
      <c r="G1361">
        <v>5</v>
      </c>
      <c r="H1361">
        <v>24</v>
      </c>
      <c r="I1361">
        <v>49</v>
      </c>
      <c r="J1361" t="s">
        <v>11</v>
      </c>
    </row>
    <row r="1362" spans="1:10">
      <c r="A1362">
        <v>1361</v>
      </c>
      <c r="B1362" s="1">
        <v>45035</v>
      </c>
      <c r="C1362" t="s">
        <v>14</v>
      </c>
      <c r="D1362">
        <v>399</v>
      </c>
      <c r="E1362">
        <v>16.399999999999999</v>
      </c>
      <c r="F1362">
        <v>3</v>
      </c>
      <c r="G1362">
        <v>4</v>
      </c>
      <c r="H1362">
        <v>16</v>
      </c>
      <c r="I1362">
        <v>24</v>
      </c>
      <c r="J1362" t="s">
        <v>11</v>
      </c>
    </row>
    <row r="1363" spans="1:10">
      <c r="A1363">
        <v>1362</v>
      </c>
      <c r="B1363" s="1">
        <v>45028</v>
      </c>
      <c r="C1363" t="s">
        <v>12</v>
      </c>
      <c r="D1363">
        <v>199</v>
      </c>
      <c r="E1363">
        <v>1.5</v>
      </c>
      <c r="F1363">
        <v>3</v>
      </c>
      <c r="G1363">
        <v>1</v>
      </c>
      <c r="H1363">
        <v>8</v>
      </c>
      <c r="I1363">
        <v>45</v>
      </c>
      <c r="J1363" t="s">
        <v>11</v>
      </c>
    </row>
    <row r="1364" spans="1:10">
      <c r="A1364">
        <v>1363</v>
      </c>
      <c r="B1364" s="1">
        <v>45133</v>
      </c>
      <c r="C1364" t="s">
        <v>12</v>
      </c>
      <c r="D1364">
        <v>199</v>
      </c>
      <c r="E1364">
        <v>15.7</v>
      </c>
      <c r="F1364">
        <v>4</v>
      </c>
      <c r="G1364">
        <v>5</v>
      </c>
      <c r="H1364">
        <v>35</v>
      </c>
      <c r="I1364">
        <v>30</v>
      </c>
      <c r="J1364" t="s">
        <v>13</v>
      </c>
    </row>
    <row r="1365" spans="1:10">
      <c r="A1365">
        <v>1364</v>
      </c>
      <c r="B1365" s="1">
        <v>45500</v>
      </c>
      <c r="C1365" t="s">
        <v>10</v>
      </c>
      <c r="D1365">
        <v>699</v>
      </c>
      <c r="E1365">
        <v>1.6</v>
      </c>
      <c r="F1365">
        <v>3</v>
      </c>
      <c r="G1365">
        <v>3</v>
      </c>
      <c r="H1365">
        <v>10</v>
      </c>
      <c r="I1365">
        <v>35</v>
      </c>
      <c r="J1365" t="s">
        <v>11</v>
      </c>
    </row>
    <row r="1366" spans="1:10">
      <c r="A1366">
        <v>1365</v>
      </c>
      <c r="B1366" s="1">
        <v>45463</v>
      </c>
      <c r="C1366" t="s">
        <v>14</v>
      </c>
      <c r="D1366">
        <v>399</v>
      </c>
      <c r="E1366">
        <v>11.5</v>
      </c>
      <c r="F1366">
        <v>1</v>
      </c>
      <c r="G1366">
        <v>3</v>
      </c>
      <c r="H1366">
        <v>24</v>
      </c>
      <c r="I1366">
        <v>4</v>
      </c>
      <c r="J1366" t="s">
        <v>13</v>
      </c>
    </row>
    <row r="1367" spans="1:10">
      <c r="A1367">
        <v>1366</v>
      </c>
      <c r="B1367" s="1">
        <v>45506</v>
      </c>
      <c r="C1367" t="s">
        <v>10</v>
      </c>
      <c r="D1367">
        <v>699</v>
      </c>
      <c r="E1367">
        <v>4.5999999999999996</v>
      </c>
      <c r="F1367">
        <v>4</v>
      </c>
      <c r="G1367">
        <v>5</v>
      </c>
      <c r="H1367">
        <v>2</v>
      </c>
      <c r="I1367">
        <v>8</v>
      </c>
      <c r="J1367" t="s">
        <v>11</v>
      </c>
    </row>
    <row r="1368" spans="1:10">
      <c r="A1368">
        <v>1367</v>
      </c>
      <c r="B1368" s="1">
        <v>45452</v>
      </c>
      <c r="C1368" t="s">
        <v>12</v>
      </c>
      <c r="D1368">
        <v>199</v>
      </c>
      <c r="E1368">
        <v>18.600000000000001</v>
      </c>
      <c r="F1368">
        <v>6</v>
      </c>
      <c r="G1368">
        <v>3</v>
      </c>
      <c r="H1368">
        <v>13</v>
      </c>
      <c r="I1368">
        <v>43</v>
      </c>
      <c r="J1368" t="s">
        <v>11</v>
      </c>
    </row>
    <row r="1369" spans="1:10">
      <c r="A1369">
        <v>1368</v>
      </c>
      <c r="B1369" s="1">
        <v>45337</v>
      </c>
      <c r="C1369" t="s">
        <v>12</v>
      </c>
      <c r="D1369">
        <v>199</v>
      </c>
      <c r="E1369">
        <v>11.2</v>
      </c>
      <c r="F1369">
        <v>8</v>
      </c>
      <c r="G1369">
        <v>3</v>
      </c>
      <c r="H1369">
        <v>11</v>
      </c>
      <c r="I1369">
        <v>35</v>
      </c>
      <c r="J1369" t="s">
        <v>13</v>
      </c>
    </row>
    <row r="1370" spans="1:10">
      <c r="A1370">
        <v>1369</v>
      </c>
      <c r="B1370" s="1">
        <v>45640</v>
      </c>
      <c r="C1370" t="s">
        <v>10</v>
      </c>
      <c r="D1370">
        <v>699</v>
      </c>
      <c r="E1370">
        <v>5.6</v>
      </c>
      <c r="F1370">
        <v>0</v>
      </c>
      <c r="G1370">
        <v>1</v>
      </c>
      <c r="H1370">
        <v>18</v>
      </c>
      <c r="I1370">
        <v>36</v>
      </c>
      <c r="J1370" t="s">
        <v>11</v>
      </c>
    </row>
    <row r="1371" spans="1:10">
      <c r="A1371">
        <v>1370</v>
      </c>
      <c r="B1371" s="1">
        <v>45230</v>
      </c>
      <c r="C1371" t="s">
        <v>12</v>
      </c>
      <c r="D1371">
        <v>199</v>
      </c>
      <c r="E1371">
        <v>11.7</v>
      </c>
      <c r="F1371">
        <v>8</v>
      </c>
      <c r="G1371">
        <v>2</v>
      </c>
      <c r="H1371">
        <v>33</v>
      </c>
      <c r="I1371">
        <v>19</v>
      </c>
      <c r="J1371" t="s">
        <v>13</v>
      </c>
    </row>
    <row r="1372" spans="1:10">
      <c r="A1372">
        <v>1371</v>
      </c>
      <c r="B1372" s="1">
        <v>45225</v>
      </c>
      <c r="C1372" t="s">
        <v>10</v>
      </c>
      <c r="D1372">
        <v>699</v>
      </c>
      <c r="E1372">
        <v>14</v>
      </c>
      <c r="F1372">
        <v>2</v>
      </c>
      <c r="G1372">
        <v>1</v>
      </c>
      <c r="H1372">
        <v>18</v>
      </c>
      <c r="I1372">
        <v>2</v>
      </c>
      <c r="J1372" t="s">
        <v>13</v>
      </c>
    </row>
    <row r="1373" spans="1:10">
      <c r="A1373">
        <v>1372</v>
      </c>
      <c r="B1373" s="1">
        <v>44979</v>
      </c>
      <c r="C1373" t="s">
        <v>12</v>
      </c>
      <c r="D1373">
        <v>199</v>
      </c>
      <c r="E1373">
        <v>23.6</v>
      </c>
      <c r="F1373">
        <v>4</v>
      </c>
      <c r="G1373">
        <v>1</v>
      </c>
      <c r="H1373">
        <v>10</v>
      </c>
      <c r="I1373">
        <v>17</v>
      </c>
      <c r="J1373" t="s">
        <v>13</v>
      </c>
    </row>
    <row r="1374" spans="1:10">
      <c r="A1374">
        <v>1373</v>
      </c>
      <c r="B1374" s="1">
        <v>45282</v>
      </c>
      <c r="C1374" t="s">
        <v>10</v>
      </c>
      <c r="D1374">
        <v>699</v>
      </c>
      <c r="E1374">
        <v>24.7</v>
      </c>
      <c r="F1374">
        <v>3</v>
      </c>
      <c r="G1374">
        <v>4</v>
      </c>
      <c r="H1374">
        <v>16</v>
      </c>
      <c r="I1374">
        <v>7</v>
      </c>
      <c r="J1374" t="s">
        <v>11</v>
      </c>
    </row>
    <row r="1375" spans="1:10">
      <c r="A1375">
        <v>1374</v>
      </c>
      <c r="B1375" s="1">
        <v>45553</v>
      </c>
      <c r="C1375" t="s">
        <v>10</v>
      </c>
      <c r="D1375">
        <v>699</v>
      </c>
      <c r="E1375">
        <v>8.5</v>
      </c>
      <c r="F1375">
        <v>8</v>
      </c>
      <c r="G1375">
        <v>2</v>
      </c>
      <c r="H1375">
        <v>24</v>
      </c>
      <c r="I1375">
        <v>46</v>
      </c>
      <c r="J1375" t="s">
        <v>11</v>
      </c>
    </row>
    <row r="1376" spans="1:10">
      <c r="A1376">
        <v>1375</v>
      </c>
      <c r="B1376" s="1">
        <v>45213</v>
      </c>
      <c r="C1376" t="s">
        <v>14</v>
      </c>
      <c r="D1376">
        <v>399</v>
      </c>
      <c r="E1376">
        <v>24.6</v>
      </c>
      <c r="F1376">
        <v>0</v>
      </c>
      <c r="G1376">
        <v>2</v>
      </c>
      <c r="H1376">
        <v>21</v>
      </c>
      <c r="I1376">
        <v>14</v>
      </c>
      <c r="J1376" t="s">
        <v>13</v>
      </c>
    </row>
    <row r="1377" spans="1:10">
      <c r="A1377">
        <v>1376</v>
      </c>
      <c r="B1377" s="1">
        <v>45524</v>
      </c>
      <c r="C1377" t="s">
        <v>12</v>
      </c>
      <c r="D1377">
        <v>199</v>
      </c>
      <c r="E1377">
        <v>24.3</v>
      </c>
      <c r="F1377">
        <v>8</v>
      </c>
      <c r="G1377">
        <v>5</v>
      </c>
      <c r="H1377">
        <v>17</v>
      </c>
      <c r="I1377">
        <v>55</v>
      </c>
      <c r="J1377" t="s">
        <v>13</v>
      </c>
    </row>
    <row r="1378" spans="1:10">
      <c r="A1378">
        <v>1377</v>
      </c>
      <c r="B1378" s="1">
        <v>45138</v>
      </c>
      <c r="C1378" t="s">
        <v>12</v>
      </c>
      <c r="D1378">
        <v>199</v>
      </c>
      <c r="E1378">
        <v>23.7</v>
      </c>
      <c r="F1378">
        <v>4</v>
      </c>
      <c r="G1378">
        <v>5</v>
      </c>
      <c r="H1378">
        <v>25</v>
      </c>
      <c r="I1378">
        <v>40</v>
      </c>
      <c r="J1378" t="s">
        <v>11</v>
      </c>
    </row>
    <row r="1379" spans="1:10">
      <c r="A1379">
        <v>1378</v>
      </c>
      <c r="B1379" s="1">
        <v>45331</v>
      </c>
      <c r="C1379" t="s">
        <v>14</v>
      </c>
      <c r="D1379">
        <v>399</v>
      </c>
      <c r="E1379">
        <v>8.4</v>
      </c>
      <c r="F1379">
        <v>3</v>
      </c>
      <c r="G1379">
        <v>4</v>
      </c>
      <c r="H1379">
        <v>15</v>
      </c>
      <c r="I1379">
        <v>40</v>
      </c>
      <c r="J1379" t="s">
        <v>13</v>
      </c>
    </row>
    <row r="1380" spans="1:10">
      <c r="A1380">
        <v>1379</v>
      </c>
      <c r="B1380" s="1">
        <v>45022</v>
      </c>
      <c r="C1380" t="s">
        <v>12</v>
      </c>
      <c r="D1380">
        <v>199</v>
      </c>
      <c r="E1380">
        <v>6.2</v>
      </c>
      <c r="F1380">
        <v>6</v>
      </c>
      <c r="G1380">
        <v>2</v>
      </c>
      <c r="H1380">
        <v>29</v>
      </c>
      <c r="I1380">
        <v>9</v>
      </c>
      <c r="J1380" t="s">
        <v>13</v>
      </c>
    </row>
    <row r="1381" spans="1:10">
      <c r="A1381">
        <v>1380</v>
      </c>
      <c r="B1381" s="1">
        <v>45111</v>
      </c>
      <c r="C1381" t="s">
        <v>14</v>
      </c>
      <c r="D1381">
        <v>399</v>
      </c>
      <c r="E1381">
        <v>11.8</v>
      </c>
      <c r="F1381">
        <v>2</v>
      </c>
      <c r="G1381">
        <v>1</v>
      </c>
      <c r="H1381">
        <v>12</v>
      </c>
      <c r="I1381">
        <v>36</v>
      </c>
      <c r="J1381" t="s">
        <v>13</v>
      </c>
    </row>
    <row r="1382" spans="1:10">
      <c r="A1382">
        <v>1381</v>
      </c>
      <c r="B1382" s="1">
        <v>45549</v>
      </c>
      <c r="C1382" t="s">
        <v>10</v>
      </c>
      <c r="D1382">
        <v>699</v>
      </c>
      <c r="E1382">
        <v>1</v>
      </c>
      <c r="F1382">
        <v>2</v>
      </c>
      <c r="G1382">
        <v>1</v>
      </c>
      <c r="H1382">
        <v>19</v>
      </c>
      <c r="I1382">
        <v>52</v>
      </c>
      <c r="J1382" t="s">
        <v>11</v>
      </c>
    </row>
    <row r="1383" spans="1:10">
      <c r="A1383">
        <v>1382</v>
      </c>
      <c r="B1383" s="1">
        <v>45339</v>
      </c>
      <c r="C1383" t="s">
        <v>12</v>
      </c>
      <c r="D1383">
        <v>199</v>
      </c>
      <c r="E1383">
        <v>4</v>
      </c>
      <c r="F1383">
        <v>6</v>
      </c>
      <c r="G1383">
        <v>1</v>
      </c>
      <c r="H1383">
        <v>5</v>
      </c>
      <c r="I1383">
        <v>29</v>
      </c>
      <c r="J1383" t="s">
        <v>13</v>
      </c>
    </row>
    <row r="1384" spans="1:10">
      <c r="A1384">
        <v>1383</v>
      </c>
      <c r="B1384" s="1">
        <v>44948</v>
      </c>
      <c r="C1384" t="s">
        <v>12</v>
      </c>
      <c r="D1384">
        <v>199</v>
      </c>
      <c r="E1384">
        <v>3.9</v>
      </c>
      <c r="F1384">
        <v>0</v>
      </c>
      <c r="G1384">
        <v>4</v>
      </c>
      <c r="H1384">
        <v>34</v>
      </c>
      <c r="I1384">
        <v>6</v>
      </c>
      <c r="J1384" t="s">
        <v>11</v>
      </c>
    </row>
    <row r="1385" spans="1:10">
      <c r="A1385">
        <v>1384</v>
      </c>
      <c r="B1385" s="1">
        <v>45201</v>
      </c>
      <c r="C1385" t="s">
        <v>12</v>
      </c>
      <c r="D1385">
        <v>199</v>
      </c>
      <c r="E1385">
        <v>19.2</v>
      </c>
      <c r="F1385">
        <v>0</v>
      </c>
      <c r="G1385">
        <v>1</v>
      </c>
      <c r="H1385">
        <v>1</v>
      </c>
      <c r="I1385">
        <v>15</v>
      </c>
      <c r="J1385" t="s">
        <v>13</v>
      </c>
    </row>
    <row r="1386" spans="1:10">
      <c r="A1386">
        <v>1385</v>
      </c>
      <c r="B1386" s="1">
        <v>45273</v>
      </c>
      <c r="C1386" t="s">
        <v>12</v>
      </c>
      <c r="D1386">
        <v>199</v>
      </c>
      <c r="E1386">
        <v>19.899999999999999</v>
      </c>
      <c r="F1386">
        <v>0</v>
      </c>
      <c r="G1386">
        <v>0</v>
      </c>
      <c r="H1386">
        <v>1</v>
      </c>
      <c r="I1386">
        <v>34</v>
      </c>
      <c r="J1386" t="s">
        <v>13</v>
      </c>
    </row>
    <row r="1387" spans="1:10">
      <c r="A1387">
        <v>1386</v>
      </c>
      <c r="B1387" s="1">
        <v>45094</v>
      </c>
      <c r="C1387" t="s">
        <v>10</v>
      </c>
      <c r="D1387">
        <v>699</v>
      </c>
      <c r="E1387">
        <v>5.5</v>
      </c>
      <c r="F1387">
        <v>7</v>
      </c>
      <c r="G1387">
        <v>4</v>
      </c>
      <c r="H1387">
        <v>6</v>
      </c>
      <c r="I1387">
        <v>57</v>
      </c>
      <c r="J1387" t="s">
        <v>11</v>
      </c>
    </row>
    <row r="1388" spans="1:10">
      <c r="A1388">
        <v>1387</v>
      </c>
      <c r="B1388" s="1">
        <v>45569</v>
      </c>
      <c r="C1388" t="s">
        <v>14</v>
      </c>
      <c r="D1388">
        <v>399</v>
      </c>
      <c r="E1388">
        <v>12.2</v>
      </c>
      <c r="F1388">
        <v>3</v>
      </c>
      <c r="G1388">
        <v>0</v>
      </c>
      <c r="H1388">
        <v>22</v>
      </c>
      <c r="I1388">
        <v>34</v>
      </c>
      <c r="J1388" t="s">
        <v>13</v>
      </c>
    </row>
    <row r="1389" spans="1:10">
      <c r="A1389">
        <v>1388</v>
      </c>
      <c r="B1389" s="1">
        <v>45450</v>
      </c>
      <c r="C1389" t="s">
        <v>10</v>
      </c>
      <c r="D1389">
        <v>699</v>
      </c>
      <c r="E1389">
        <v>1</v>
      </c>
      <c r="F1389">
        <v>0</v>
      </c>
      <c r="G1389">
        <v>0</v>
      </c>
      <c r="H1389">
        <v>8</v>
      </c>
      <c r="I1389">
        <v>34</v>
      </c>
      <c r="J1389" t="s">
        <v>11</v>
      </c>
    </row>
    <row r="1390" spans="1:10">
      <c r="A1390">
        <v>1389</v>
      </c>
      <c r="B1390" s="1">
        <v>45077</v>
      </c>
      <c r="C1390" t="s">
        <v>14</v>
      </c>
      <c r="D1390">
        <v>399</v>
      </c>
      <c r="E1390">
        <v>0.5</v>
      </c>
      <c r="F1390">
        <v>3</v>
      </c>
      <c r="G1390">
        <v>0</v>
      </c>
      <c r="H1390">
        <v>10</v>
      </c>
      <c r="I1390">
        <v>14</v>
      </c>
      <c r="J1390" t="s">
        <v>13</v>
      </c>
    </row>
    <row r="1391" spans="1:10">
      <c r="A1391">
        <v>1390</v>
      </c>
      <c r="B1391" s="1">
        <v>45042</v>
      </c>
      <c r="C1391" t="s">
        <v>14</v>
      </c>
      <c r="D1391">
        <v>399</v>
      </c>
      <c r="E1391">
        <v>6</v>
      </c>
      <c r="F1391">
        <v>6</v>
      </c>
      <c r="G1391">
        <v>5</v>
      </c>
      <c r="H1391">
        <v>19</v>
      </c>
      <c r="I1391">
        <v>56</v>
      </c>
      <c r="J1391" t="s">
        <v>11</v>
      </c>
    </row>
    <row r="1392" spans="1:10">
      <c r="A1392">
        <v>1391</v>
      </c>
      <c r="B1392" s="1">
        <v>45557</v>
      </c>
      <c r="C1392" t="s">
        <v>14</v>
      </c>
      <c r="D1392">
        <v>399</v>
      </c>
      <c r="E1392">
        <v>24.8</v>
      </c>
      <c r="F1392">
        <v>3</v>
      </c>
      <c r="G1392">
        <v>0</v>
      </c>
      <c r="H1392">
        <v>11</v>
      </c>
      <c r="I1392">
        <v>18</v>
      </c>
      <c r="J1392" t="s">
        <v>13</v>
      </c>
    </row>
    <row r="1393" spans="1:10">
      <c r="A1393">
        <v>1392</v>
      </c>
      <c r="B1393" s="1">
        <v>45365</v>
      </c>
      <c r="C1393" t="s">
        <v>14</v>
      </c>
      <c r="D1393">
        <v>399</v>
      </c>
      <c r="E1393">
        <v>9.3000000000000007</v>
      </c>
      <c r="F1393">
        <v>1</v>
      </c>
      <c r="G1393">
        <v>0</v>
      </c>
      <c r="H1393">
        <v>8</v>
      </c>
      <c r="I1393">
        <v>38</v>
      </c>
      <c r="J1393" t="s">
        <v>11</v>
      </c>
    </row>
    <row r="1394" spans="1:10">
      <c r="A1394">
        <v>1393</v>
      </c>
      <c r="B1394" s="1">
        <v>45235</v>
      </c>
      <c r="C1394" t="s">
        <v>10</v>
      </c>
      <c r="D1394">
        <v>699</v>
      </c>
      <c r="E1394">
        <v>15.2</v>
      </c>
      <c r="F1394">
        <v>6</v>
      </c>
      <c r="G1394">
        <v>1</v>
      </c>
      <c r="H1394">
        <v>22</v>
      </c>
      <c r="I1394">
        <v>57</v>
      </c>
      <c r="J1394" t="s">
        <v>13</v>
      </c>
    </row>
    <row r="1395" spans="1:10">
      <c r="A1395">
        <v>1394</v>
      </c>
      <c r="B1395" s="1">
        <v>45304</v>
      </c>
      <c r="C1395" t="s">
        <v>10</v>
      </c>
      <c r="D1395">
        <v>699</v>
      </c>
      <c r="E1395">
        <v>9</v>
      </c>
      <c r="F1395">
        <v>1</v>
      </c>
      <c r="G1395">
        <v>2</v>
      </c>
      <c r="H1395">
        <v>19</v>
      </c>
      <c r="I1395">
        <v>58</v>
      </c>
      <c r="J1395" t="s">
        <v>11</v>
      </c>
    </row>
    <row r="1396" spans="1:10">
      <c r="A1396">
        <v>1395</v>
      </c>
      <c r="B1396" s="1">
        <v>45326</v>
      </c>
      <c r="C1396" t="s">
        <v>14</v>
      </c>
      <c r="D1396">
        <v>399</v>
      </c>
      <c r="E1396">
        <v>19.8</v>
      </c>
      <c r="F1396">
        <v>2</v>
      </c>
      <c r="G1396">
        <v>5</v>
      </c>
      <c r="H1396">
        <v>5</v>
      </c>
      <c r="I1396">
        <v>9</v>
      </c>
      <c r="J1396" t="s">
        <v>11</v>
      </c>
    </row>
    <row r="1397" spans="1:10">
      <c r="A1397">
        <v>1396</v>
      </c>
      <c r="B1397" s="1">
        <v>45212</v>
      </c>
      <c r="C1397" t="s">
        <v>14</v>
      </c>
      <c r="D1397">
        <v>399</v>
      </c>
      <c r="E1397">
        <v>20.5</v>
      </c>
      <c r="F1397">
        <v>1</v>
      </c>
      <c r="G1397">
        <v>4</v>
      </c>
      <c r="H1397">
        <v>31</v>
      </c>
      <c r="I1397">
        <v>27</v>
      </c>
      <c r="J1397" t="s">
        <v>13</v>
      </c>
    </row>
    <row r="1398" spans="1:10">
      <c r="A1398">
        <v>1397</v>
      </c>
      <c r="B1398" s="1">
        <v>45253</v>
      </c>
      <c r="C1398" t="s">
        <v>12</v>
      </c>
      <c r="D1398">
        <v>199</v>
      </c>
      <c r="E1398">
        <v>8.4</v>
      </c>
      <c r="F1398">
        <v>2</v>
      </c>
      <c r="G1398">
        <v>1</v>
      </c>
      <c r="H1398">
        <v>6</v>
      </c>
      <c r="I1398">
        <v>49</v>
      </c>
      <c r="J1398" t="s">
        <v>13</v>
      </c>
    </row>
    <row r="1399" spans="1:10">
      <c r="A1399">
        <v>1398</v>
      </c>
      <c r="B1399" s="1">
        <v>45068</v>
      </c>
      <c r="C1399" t="s">
        <v>14</v>
      </c>
      <c r="D1399">
        <v>399</v>
      </c>
      <c r="E1399">
        <v>12.3</v>
      </c>
      <c r="F1399">
        <v>6</v>
      </c>
      <c r="G1399">
        <v>4</v>
      </c>
      <c r="H1399">
        <v>28</v>
      </c>
      <c r="I1399">
        <v>50</v>
      </c>
      <c r="J1399" t="s">
        <v>11</v>
      </c>
    </row>
    <row r="1400" spans="1:10">
      <c r="A1400">
        <v>1399</v>
      </c>
      <c r="B1400" s="1">
        <v>45472</v>
      </c>
      <c r="C1400" t="s">
        <v>10</v>
      </c>
      <c r="D1400">
        <v>699</v>
      </c>
      <c r="E1400">
        <v>9.9</v>
      </c>
      <c r="F1400">
        <v>8</v>
      </c>
      <c r="G1400">
        <v>3</v>
      </c>
      <c r="H1400">
        <v>16</v>
      </c>
      <c r="I1400">
        <v>34</v>
      </c>
      <c r="J1400" t="s">
        <v>11</v>
      </c>
    </row>
    <row r="1401" spans="1:10">
      <c r="A1401">
        <v>1400</v>
      </c>
      <c r="B1401" s="1">
        <v>45151</v>
      </c>
      <c r="C1401" t="s">
        <v>10</v>
      </c>
      <c r="D1401">
        <v>699</v>
      </c>
      <c r="E1401">
        <v>9.9</v>
      </c>
      <c r="F1401">
        <v>6</v>
      </c>
      <c r="G1401">
        <v>4</v>
      </c>
      <c r="H1401">
        <v>15</v>
      </c>
      <c r="I1401">
        <v>36</v>
      </c>
      <c r="J1401" t="s">
        <v>13</v>
      </c>
    </row>
    <row r="1402" spans="1:10">
      <c r="A1402">
        <v>1401</v>
      </c>
      <c r="B1402" s="1">
        <v>45498</v>
      </c>
      <c r="C1402" t="s">
        <v>10</v>
      </c>
      <c r="D1402">
        <v>699</v>
      </c>
      <c r="E1402">
        <v>6.3</v>
      </c>
      <c r="F1402">
        <v>0</v>
      </c>
      <c r="G1402">
        <v>1</v>
      </c>
      <c r="H1402">
        <v>6</v>
      </c>
      <c r="I1402">
        <v>54</v>
      </c>
      <c r="J1402" t="s">
        <v>11</v>
      </c>
    </row>
    <row r="1403" spans="1:10">
      <c r="A1403">
        <v>1402</v>
      </c>
      <c r="B1403" s="1">
        <v>45069</v>
      </c>
      <c r="C1403" t="s">
        <v>14</v>
      </c>
      <c r="D1403">
        <v>399</v>
      </c>
      <c r="E1403">
        <v>23.1</v>
      </c>
      <c r="F1403">
        <v>0</v>
      </c>
      <c r="G1403">
        <v>2</v>
      </c>
      <c r="H1403">
        <v>9</v>
      </c>
      <c r="I1403">
        <v>23</v>
      </c>
      <c r="J1403" t="s">
        <v>13</v>
      </c>
    </row>
    <row r="1404" spans="1:10">
      <c r="A1404">
        <v>1403</v>
      </c>
      <c r="B1404" s="1">
        <v>45156</v>
      </c>
      <c r="C1404" t="s">
        <v>14</v>
      </c>
      <c r="D1404">
        <v>399</v>
      </c>
      <c r="E1404">
        <v>4</v>
      </c>
      <c r="F1404">
        <v>8</v>
      </c>
      <c r="G1404">
        <v>3</v>
      </c>
      <c r="H1404">
        <v>30</v>
      </c>
      <c r="I1404">
        <v>15</v>
      </c>
      <c r="J1404" t="s">
        <v>11</v>
      </c>
    </row>
    <row r="1405" spans="1:10">
      <c r="A1405">
        <v>1404</v>
      </c>
      <c r="B1405" s="1">
        <v>45361</v>
      </c>
      <c r="C1405" t="s">
        <v>12</v>
      </c>
      <c r="D1405">
        <v>199</v>
      </c>
      <c r="E1405">
        <v>3.4</v>
      </c>
      <c r="F1405">
        <v>2</v>
      </c>
      <c r="G1405">
        <v>3</v>
      </c>
      <c r="H1405">
        <v>9</v>
      </c>
      <c r="I1405">
        <v>46</v>
      </c>
      <c r="J1405" t="s">
        <v>11</v>
      </c>
    </row>
    <row r="1406" spans="1:10">
      <c r="A1406">
        <v>1405</v>
      </c>
      <c r="B1406" s="1">
        <v>45088</v>
      </c>
      <c r="C1406" t="s">
        <v>14</v>
      </c>
      <c r="D1406">
        <v>399</v>
      </c>
      <c r="E1406">
        <v>17.7</v>
      </c>
      <c r="F1406">
        <v>1</v>
      </c>
      <c r="G1406">
        <v>3</v>
      </c>
      <c r="H1406">
        <v>4</v>
      </c>
      <c r="I1406">
        <v>53</v>
      </c>
      <c r="J1406" t="s">
        <v>11</v>
      </c>
    </row>
    <row r="1407" spans="1:10">
      <c r="A1407">
        <v>1406</v>
      </c>
      <c r="B1407" s="1">
        <v>45353</v>
      </c>
      <c r="C1407" t="s">
        <v>12</v>
      </c>
      <c r="D1407">
        <v>199</v>
      </c>
      <c r="E1407">
        <v>9.4</v>
      </c>
      <c r="F1407">
        <v>1</v>
      </c>
      <c r="G1407">
        <v>1</v>
      </c>
      <c r="H1407">
        <v>10</v>
      </c>
      <c r="I1407">
        <v>4</v>
      </c>
      <c r="J1407" t="s">
        <v>11</v>
      </c>
    </row>
    <row r="1408" spans="1:10">
      <c r="A1408">
        <v>1407</v>
      </c>
      <c r="B1408" s="1">
        <v>45233</v>
      </c>
      <c r="C1408" t="s">
        <v>12</v>
      </c>
      <c r="D1408">
        <v>199</v>
      </c>
      <c r="E1408">
        <v>12</v>
      </c>
      <c r="F1408">
        <v>2</v>
      </c>
      <c r="G1408">
        <v>5</v>
      </c>
      <c r="H1408">
        <v>12</v>
      </c>
      <c r="I1408">
        <v>33</v>
      </c>
      <c r="J1408" t="s">
        <v>13</v>
      </c>
    </row>
    <row r="1409" spans="1:10">
      <c r="A1409">
        <v>1408</v>
      </c>
      <c r="B1409" s="1">
        <v>45040</v>
      </c>
      <c r="C1409" t="s">
        <v>14</v>
      </c>
      <c r="D1409">
        <v>399</v>
      </c>
      <c r="E1409">
        <v>18.2</v>
      </c>
      <c r="F1409">
        <v>7</v>
      </c>
      <c r="G1409">
        <v>5</v>
      </c>
      <c r="H1409">
        <v>27</v>
      </c>
      <c r="I1409">
        <v>44</v>
      </c>
      <c r="J1409" t="s">
        <v>11</v>
      </c>
    </row>
    <row r="1410" spans="1:10">
      <c r="A1410">
        <v>1409</v>
      </c>
      <c r="B1410" s="1">
        <v>45091</v>
      </c>
      <c r="C1410" t="s">
        <v>12</v>
      </c>
      <c r="D1410">
        <v>199</v>
      </c>
      <c r="E1410">
        <v>22.1</v>
      </c>
      <c r="F1410">
        <v>0</v>
      </c>
      <c r="G1410">
        <v>4</v>
      </c>
      <c r="H1410">
        <v>4</v>
      </c>
      <c r="I1410">
        <v>48</v>
      </c>
      <c r="J1410" t="s">
        <v>11</v>
      </c>
    </row>
    <row r="1411" spans="1:10">
      <c r="A1411">
        <v>1410</v>
      </c>
      <c r="B1411" s="1">
        <v>45512</v>
      </c>
      <c r="C1411" t="s">
        <v>12</v>
      </c>
      <c r="D1411">
        <v>199</v>
      </c>
      <c r="E1411">
        <v>20.9</v>
      </c>
      <c r="F1411">
        <v>7</v>
      </c>
      <c r="G1411">
        <v>4</v>
      </c>
      <c r="H1411">
        <v>26</v>
      </c>
      <c r="I1411">
        <v>45</v>
      </c>
      <c r="J1411" t="s">
        <v>13</v>
      </c>
    </row>
    <row r="1412" spans="1:10">
      <c r="A1412">
        <v>1411</v>
      </c>
      <c r="B1412" s="1">
        <v>45461</v>
      </c>
      <c r="C1412" t="s">
        <v>10</v>
      </c>
      <c r="D1412">
        <v>699</v>
      </c>
      <c r="E1412">
        <v>17.899999999999999</v>
      </c>
      <c r="F1412">
        <v>6</v>
      </c>
      <c r="G1412">
        <v>1</v>
      </c>
      <c r="H1412">
        <v>20</v>
      </c>
      <c r="I1412">
        <v>17</v>
      </c>
      <c r="J1412" t="s">
        <v>13</v>
      </c>
    </row>
    <row r="1413" spans="1:10">
      <c r="A1413">
        <v>1412</v>
      </c>
      <c r="B1413" s="1">
        <v>45115</v>
      </c>
      <c r="C1413" t="s">
        <v>14</v>
      </c>
      <c r="D1413">
        <v>399</v>
      </c>
      <c r="E1413">
        <v>18.7</v>
      </c>
      <c r="F1413">
        <v>6</v>
      </c>
      <c r="G1413">
        <v>4</v>
      </c>
      <c r="H1413">
        <v>9</v>
      </c>
      <c r="I1413">
        <v>3</v>
      </c>
      <c r="J1413" t="s">
        <v>11</v>
      </c>
    </row>
    <row r="1414" spans="1:10">
      <c r="A1414">
        <v>1413</v>
      </c>
      <c r="B1414" s="1">
        <v>45595</v>
      </c>
      <c r="C1414" t="s">
        <v>10</v>
      </c>
      <c r="D1414">
        <v>699</v>
      </c>
      <c r="E1414">
        <v>15.3</v>
      </c>
      <c r="F1414">
        <v>1</v>
      </c>
      <c r="G1414">
        <v>5</v>
      </c>
      <c r="H1414">
        <v>36</v>
      </c>
      <c r="I1414">
        <v>29</v>
      </c>
      <c r="J1414" t="s">
        <v>11</v>
      </c>
    </row>
    <row r="1415" spans="1:10">
      <c r="A1415">
        <v>1414</v>
      </c>
      <c r="B1415" s="1">
        <v>45361</v>
      </c>
      <c r="C1415" t="s">
        <v>10</v>
      </c>
      <c r="D1415">
        <v>699</v>
      </c>
      <c r="E1415">
        <v>20.8</v>
      </c>
      <c r="F1415">
        <v>2</v>
      </c>
      <c r="G1415">
        <v>0</v>
      </c>
      <c r="H1415">
        <v>26</v>
      </c>
      <c r="I1415">
        <v>51</v>
      </c>
      <c r="J1415" t="s">
        <v>13</v>
      </c>
    </row>
    <row r="1416" spans="1:10">
      <c r="A1416">
        <v>1415</v>
      </c>
      <c r="B1416" s="1">
        <v>45270</v>
      </c>
      <c r="C1416" t="s">
        <v>12</v>
      </c>
      <c r="D1416">
        <v>199</v>
      </c>
      <c r="E1416">
        <v>3.2</v>
      </c>
      <c r="F1416">
        <v>1</v>
      </c>
      <c r="G1416">
        <v>2</v>
      </c>
      <c r="H1416">
        <v>18</v>
      </c>
      <c r="I1416">
        <v>38</v>
      </c>
      <c r="J1416" t="s">
        <v>11</v>
      </c>
    </row>
    <row r="1417" spans="1:10">
      <c r="A1417">
        <v>1416</v>
      </c>
      <c r="B1417" s="1">
        <v>44938</v>
      </c>
      <c r="C1417" t="s">
        <v>12</v>
      </c>
      <c r="D1417">
        <v>199</v>
      </c>
      <c r="E1417">
        <v>7.4</v>
      </c>
      <c r="F1417">
        <v>8</v>
      </c>
      <c r="G1417">
        <v>0</v>
      </c>
      <c r="H1417">
        <v>16</v>
      </c>
      <c r="I1417">
        <v>4</v>
      </c>
      <c r="J1417" t="s">
        <v>11</v>
      </c>
    </row>
    <row r="1418" spans="1:10">
      <c r="A1418">
        <v>1417</v>
      </c>
      <c r="B1418" s="1">
        <v>45510</v>
      </c>
      <c r="C1418" t="s">
        <v>14</v>
      </c>
      <c r="D1418">
        <v>399</v>
      </c>
      <c r="E1418">
        <v>14</v>
      </c>
      <c r="F1418">
        <v>0</v>
      </c>
      <c r="G1418">
        <v>1</v>
      </c>
      <c r="H1418">
        <v>13</v>
      </c>
      <c r="I1418">
        <v>17</v>
      </c>
      <c r="J1418" t="s">
        <v>11</v>
      </c>
    </row>
    <row r="1419" spans="1:10">
      <c r="A1419">
        <v>1418</v>
      </c>
      <c r="B1419" s="1">
        <v>45243</v>
      </c>
      <c r="C1419" t="s">
        <v>10</v>
      </c>
      <c r="D1419">
        <v>699</v>
      </c>
      <c r="E1419">
        <v>14.3</v>
      </c>
      <c r="F1419">
        <v>7</v>
      </c>
      <c r="G1419">
        <v>0</v>
      </c>
      <c r="H1419">
        <v>3</v>
      </c>
      <c r="I1419">
        <v>3</v>
      </c>
      <c r="J1419" t="s">
        <v>13</v>
      </c>
    </row>
    <row r="1420" spans="1:10">
      <c r="A1420">
        <v>1419</v>
      </c>
      <c r="B1420" s="1">
        <v>45327</v>
      </c>
      <c r="C1420" t="s">
        <v>12</v>
      </c>
      <c r="D1420">
        <v>199</v>
      </c>
      <c r="E1420">
        <v>18.899999999999999</v>
      </c>
      <c r="F1420">
        <v>6</v>
      </c>
      <c r="G1420">
        <v>4</v>
      </c>
      <c r="H1420">
        <v>23</v>
      </c>
      <c r="I1420">
        <v>12</v>
      </c>
      <c r="J1420" t="s">
        <v>11</v>
      </c>
    </row>
    <row r="1421" spans="1:10">
      <c r="A1421">
        <v>1420</v>
      </c>
      <c r="B1421" s="1">
        <v>45442</v>
      </c>
      <c r="C1421" t="s">
        <v>10</v>
      </c>
      <c r="D1421">
        <v>699</v>
      </c>
      <c r="E1421">
        <v>24.4</v>
      </c>
      <c r="F1421">
        <v>1</v>
      </c>
      <c r="G1421">
        <v>2</v>
      </c>
      <c r="H1421">
        <v>23</v>
      </c>
      <c r="I1421">
        <v>26</v>
      </c>
      <c r="J1421" t="s">
        <v>13</v>
      </c>
    </row>
    <row r="1422" spans="1:10">
      <c r="A1422">
        <v>1421</v>
      </c>
      <c r="B1422" s="1">
        <v>45415</v>
      </c>
      <c r="C1422" t="s">
        <v>12</v>
      </c>
      <c r="D1422">
        <v>199</v>
      </c>
      <c r="E1422">
        <v>20.3</v>
      </c>
      <c r="F1422">
        <v>2</v>
      </c>
      <c r="G1422">
        <v>0</v>
      </c>
      <c r="H1422">
        <v>33</v>
      </c>
      <c r="I1422">
        <v>37</v>
      </c>
      <c r="J1422" t="s">
        <v>13</v>
      </c>
    </row>
    <row r="1423" spans="1:10">
      <c r="A1423">
        <v>1422</v>
      </c>
      <c r="B1423" s="1">
        <v>45567</v>
      </c>
      <c r="C1423" t="s">
        <v>10</v>
      </c>
      <c r="D1423">
        <v>699</v>
      </c>
      <c r="E1423">
        <v>7.6</v>
      </c>
      <c r="F1423">
        <v>2</v>
      </c>
      <c r="G1423">
        <v>5</v>
      </c>
      <c r="H1423">
        <v>3</v>
      </c>
      <c r="I1423">
        <v>29</v>
      </c>
      <c r="J1423" t="s">
        <v>11</v>
      </c>
    </row>
    <row r="1424" spans="1:10">
      <c r="A1424">
        <v>1423</v>
      </c>
      <c r="B1424" s="1">
        <v>45440</v>
      </c>
      <c r="C1424" t="s">
        <v>12</v>
      </c>
      <c r="D1424">
        <v>199</v>
      </c>
      <c r="E1424">
        <v>22.2</v>
      </c>
      <c r="F1424">
        <v>2</v>
      </c>
      <c r="G1424">
        <v>5</v>
      </c>
      <c r="H1424">
        <v>15</v>
      </c>
      <c r="I1424">
        <v>10</v>
      </c>
      <c r="J1424" t="s">
        <v>13</v>
      </c>
    </row>
    <row r="1425" spans="1:10">
      <c r="A1425">
        <v>1424</v>
      </c>
      <c r="B1425" s="1">
        <v>45224</v>
      </c>
      <c r="C1425" t="s">
        <v>10</v>
      </c>
      <c r="D1425">
        <v>699</v>
      </c>
      <c r="E1425">
        <v>23.3</v>
      </c>
      <c r="F1425">
        <v>5</v>
      </c>
      <c r="G1425">
        <v>3</v>
      </c>
      <c r="H1425">
        <v>34</v>
      </c>
      <c r="I1425">
        <v>50</v>
      </c>
      <c r="J1425" t="s">
        <v>11</v>
      </c>
    </row>
    <row r="1426" spans="1:10">
      <c r="A1426">
        <v>1425</v>
      </c>
      <c r="B1426" s="1">
        <v>45548</v>
      </c>
      <c r="C1426" t="s">
        <v>14</v>
      </c>
      <c r="D1426">
        <v>399</v>
      </c>
      <c r="E1426">
        <v>1.5</v>
      </c>
      <c r="F1426">
        <v>6</v>
      </c>
      <c r="G1426">
        <v>1</v>
      </c>
      <c r="H1426">
        <v>28</v>
      </c>
      <c r="I1426">
        <v>13</v>
      </c>
      <c r="J1426" t="s">
        <v>13</v>
      </c>
    </row>
    <row r="1427" spans="1:10">
      <c r="A1427">
        <v>1426</v>
      </c>
      <c r="B1427" s="1">
        <v>45243</v>
      </c>
      <c r="C1427" t="s">
        <v>12</v>
      </c>
      <c r="D1427">
        <v>199</v>
      </c>
      <c r="E1427">
        <v>14.4</v>
      </c>
      <c r="F1427">
        <v>7</v>
      </c>
      <c r="G1427">
        <v>0</v>
      </c>
      <c r="H1427">
        <v>10</v>
      </c>
      <c r="I1427">
        <v>51</v>
      </c>
      <c r="J1427" t="s">
        <v>11</v>
      </c>
    </row>
    <row r="1428" spans="1:10">
      <c r="A1428">
        <v>1427</v>
      </c>
      <c r="B1428" s="1">
        <v>45092</v>
      </c>
      <c r="C1428" t="s">
        <v>10</v>
      </c>
      <c r="D1428">
        <v>699</v>
      </c>
      <c r="E1428">
        <v>12.7</v>
      </c>
      <c r="F1428">
        <v>7</v>
      </c>
      <c r="G1428">
        <v>2</v>
      </c>
      <c r="H1428">
        <v>6</v>
      </c>
      <c r="I1428">
        <v>10</v>
      </c>
      <c r="J1428" t="s">
        <v>13</v>
      </c>
    </row>
    <row r="1429" spans="1:10">
      <c r="A1429">
        <v>1428</v>
      </c>
      <c r="B1429" s="1">
        <v>45398</v>
      </c>
      <c r="C1429" t="s">
        <v>12</v>
      </c>
      <c r="D1429">
        <v>199</v>
      </c>
      <c r="E1429">
        <v>14.6</v>
      </c>
      <c r="F1429">
        <v>5</v>
      </c>
      <c r="G1429">
        <v>0</v>
      </c>
      <c r="H1429">
        <v>18</v>
      </c>
      <c r="I1429">
        <v>4</v>
      </c>
      <c r="J1429" t="s">
        <v>11</v>
      </c>
    </row>
    <row r="1430" spans="1:10">
      <c r="A1430">
        <v>1429</v>
      </c>
      <c r="B1430" s="1">
        <v>45053</v>
      </c>
      <c r="C1430" t="s">
        <v>14</v>
      </c>
      <c r="D1430">
        <v>399</v>
      </c>
      <c r="E1430">
        <v>24.5</v>
      </c>
      <c r="F1430">
        <v>7</v>
      </c>
      <c r="G1430">
        <v>5</v>
      </c>
      <c r="H1430">
        <v>31</v>
      </c>
      <c r="I1430">
        <v>59</v>
      </c>
      <c r="J1430" t="s">
        <v>11</v>
      </c>
    </row>
    <row r="1431" spans="1:10">
      <c r="A1431">
        <v>1430</v>
      </c>
      <c r="B1431" s="1">
        <v>45623</v>
      </c>
      <c r="C1431" t="s">
        <v>10</v>
      </c>
      <c r="D1431">
        <v>699</v>
      </c>
      <c r="E1431">
        <v>1.5</v>
      </c>
      <c r="F1431">
        <v>4</v>
      </c>
      <c r="G1431">
        <v>3</v>
      </c>
      <c r="H1431">
        <v>32</v>
      </c>
      <c r="I1431">
        <v>26</v>
      </c>
      <c r="J1431" t="s">
        <v>11</v>
      </c>
    </row>
    <row r="1432" spans="1:10">
      <c r="A1432">
        <v>1431</v>
      </c>
      <c r="B1432" s="1">
        <v>45445</v>
      </c>
      <c r="C1432" t="s">
        <v>12</v>
      </c>
      <c r="D1432">
        <v>199</v>
      </c>
      <c r="E1432">
        <v>9.5</v>
      </c>
      <c r="F1432">
        <v>5</v>
      </c>
      <c r="G1432">
        <v>2</v>
      </c>
      <c r="H1432">
        <v>29</v>
      </c>
      <c r="I1432">
        <v>5</v>
      </c>
      <c r="J1432" t="s">
        <v>13</v>
      </c>
    </row>
    <row r="1433" spans="1:10">
      <c r="A1433">
        <v>1432</v>
      </c>
      <c r="B1433" s="1">
        <v>45177</v>
      </c>
      <c r="C1433" t="s">
        <v>14</v>
      </c>
      <c r="D1433">
        <v>399</v>
      </c>
      <c r="E1433">
        <v>22</v>
      </c>
      <c r="F1433">
        <v>0</v>
      </c>
      <c r="G1433">
        <v>4</v>
      </c>
      <c r="H1433">
        <v>17</v>
      </c>
      <c r="I1433">
        <v>41</v>
      </c>
      <c r="J1433" t="s">
        <v>11</v>
      </c>
    </row>
    <row r="1434" spans="1:10">
      <c r="A1434">
        <v>1433</v>
      </c>
      <c r="B1434" s="1">
        <v>45335</v>
      </c>
      <c r="C1434" t="s">
        <v>10</v>
      </c>
      <c r="D1434">
        <v>699</v>
      </c>
      <c r="E1434">
        <v>0.7</v>
      </c>
      <c r="F1434">
        <v>1</v>
      </c>
      <c r="G1434">
        <v>2</v>
      </c>
      <c r="H1434">
        <v>36</v>
      </c>
      <c r="I1434">
        <v>24</v>
      </c>
      <c r="J1434" t="s">
        <v>11</v>
      </c>
    </row>
    <row r="1435" spans="1:10">
      <c r="A1435">
        <v>1434</v>
      </c>
      <c r="B1435" s="1">
        <v>45406</v>
      </c>
      <c r="C1435" t="s">
        <v>12</v>
      </c>
      <c r="D1435">
        <v>199</v>
      </c>
      <c r="E1435">
        <v>10</v>
      </c>
      <c r="F1435">
        <v>7</v>
      </c>
      <c r="G1435">
        <v>5</v>
      </c>
      <c r="H1435">
        <v>15</v>
      </c>
      <c r="I1435">
        <v>5</v>
      </c>
      <c r="J1435" t="s">
        <v>11</v>
      </c>
    </row>
    <row r="1436" spans="1:10">
      <c r="A1436">
        <v>1435</v>
      </c>
      <c r="B1436" s="1">
        <v>45037</v>
      </c>
      <c r="C1436" t="s">
        <v>10</v>
      </c>
      <c r="D1436">
        <v>699</v>
      </c>
      <c r="E1436">
        <v>22.6</v>
      </c>
      <c r="F1436">
        <v>7</v>
      </c>
      <c r="G1436">
        <v>0</v>
      </c>
      <c r="H1436">
        <v>35</v>
      </c>
      <c r="I1436">
        <v>5</v>
      </c>
      <c r="J1436" t="s">
        <v>11</v>
      </c>
    </row>
    <row r="1437" spans="1:10">
      <c r="A1437">
        <v>1436</v>
      </c>
      <c r="B1437" s="1">
        <v>45545</v>
      </c>
      <c r="C1437" t="s">
        <v>14</v>
      </c>
      <c r="D1437">
        <v>399</v>
      </c>
      <c r="E1437">
        <v>5.4</v>
      </c>
      <c r="F1437">
        <v>5</v>
      </c>
      <c r="G1437">
        <v>0</v>
      </c>
      <c r="H1437">
        <v>28</v>
      </c>
      <c r="I1437">
        <v>20</v>
      </c>
      <c r="J1437" t="s">
        <v>13</v>
      </c>
    </row>
    <row r="1438" spans="1:10">
      <c r="A1438">
        <v>1437</v>
      </c>
      <c r="B1438" s="1">
        <v>45485</v>
      </c>
      <c r="C1438" t="s">
        <v>14</v>
      </c>
      <c r="D1438">
        <v>399</v>
      </c>
      <c r="E1438">
        <v>17.7</v>
      </c>
      <c r="F1438">
        <v>7</v>
      </c>
      <c r="G1438">
        <v>0</v>
      </c>
      <c r="H1438">
        <v>14</v>
      </c>
      <c r="I1438">
        <v>17</v>
      </c>
      <c r="J1438" t="s">
        <v>13</v>
      </c>
    </row>
    <row r="1439" spans="1:10">
      <c r="A1439">
        <v>1438</v>
      </c>
      <c r="B1439" s="1">
        <v>45542</v>
      </c>
      <c r="C1439" t="s">
        <v>12</v>
      </c>
      <c r="D1439">
        <v>199</v>
      </c>
      <c r="E1439">
        <v>4.0999999999999996</v>
      </c>
      <c r="F1439">
        <v>3</v>
      </c>
      <c r="G1439">
        <v>2</v>
      </c>
      <c r="H1439">
        <v>31</v>
      </c>
      <c r="I1439">
        <v>36</v>
      </c>
      <c r="J1439" t="s">
        <v>11</v>
      </c>
    </row>
    <row r="1440" spans="1:10">
      <c r="A1440">
        <v>1439</v>
      </c>
      <c r="B1440" s="1">
        <v>45143</v>
      </c>
      <c r="C1440" t="s">
        <v>14</v>
      </c>
      <c r="D1440">
        <v>399</v>
      </c>
      <c r="E1440">
        <v>23.4</v>
      </c>
      <c r="F1440">
        <v>5</v>
      </c>
      <c r="G1440">
        <v>3</v>
      </c>
      <c r="H1440">
        <v>4</v>
      </c>
      <c r="I1440">
        <v>30</v>
      </c>
      <c r="J1440" t="s">
        <v>11</v>
      </c>
    </row>
    <row r="1441" spans="1:10">
      <c r="A1441">
        <v>1440</v>
      </c>
      <c r="B1441" s="1">
        <v>45341</v>
      </c>
      <c r="C1441" t="s">
        <v>12</v>
      </c>
      <c r="D1441">
        <v>199</v>
      </c>
      <c r="E1441">
        <v>7.1</v>
      </c>
      <c r="F1441">
        <v>2</v>
      </c>
      <c r="G1441">
        <v>0</v>
      </c>
      <c r="H1441">
        <v>28</v>
      </c>
      <c r="I1441">
        <v>9</v>
      </c>
      <c r="J1441" t="s">
        <v>11</v>
      </c>
    </row>
    <row r="1442" spans="1:10">
      <c r="A1442">
        <v>1441</v>
      </c>
      <c r="B1442" s="1">
        <v>45192</v>
      </c>
      <c r="C1442" t="s">
        <v>12</v>
      </c>
      <c r="D1442">
        <v>199</v>
      </c>
      <c r="E1442">
        <v>21.9</v>
      </c>
      <c r="F1442">
        <v>7</v>
      </c>
      <c r="G1442">
        <v>3</v>
      </c>
      <c r="H1442">
        <v>20</v>
      </c>
      <c r="I1442">
        <v>33</v>
      </c>
      <c r="J1442" t="s">
        <v>11</v>
      </c>
    </row>
    <row r="1443" spans="1:10">
      <c r="A1443">
        <v>1442</v>
      </c>
      <c r="B1443" s="1">
        <v>45130</v>
      </c>
      <c r="C1443" t="s">
        <v>12</v>
      </c>
      <c r="D1443">
        <v>199</v>
      </c>
      <c r="E1443">
        <v>2.8</v>
      </c>
      <c r="F1443">
        <v>6</v>
      </c>
      <c r="G1443">
        <v>2</v>
      </c>
      <c r="H1443">
        <v>4</v>
      </c>
      <c r="I1443">
        <v>48</v>
      </c>
      <c r="J1443" t="s">
        <v>11</v>
      </c>
    </row>
    <row r="1444" spans="1:10">
      <c r="A1444">
        <v>1443</v>
      </c>
      <c r="B1444" s="1">
        <v>45640</v>
      </c>
      <c r="C1444" t="s">
        <v>14</v>
      </c>
      <c r="D1444">
        <v>399</v>
      </c>
      <c r="E1444">
        <v>12.3</v>
      </c>
      <c r="F1444">
        <v>8</v>
      </c>
      <c r="G1444">
        <v>5</v>
      </c>
      <c r="H1444">
        <v>27</v>
      </c>
      <c r="I1444">
        <v>50</v>
      </c>
      <c r="J1444" t="s">
        <v>11</v>
      </c>
    </row>
    <row r="1445" spans="1:10">
      <c r="A1445">
        <v>1444</v>
      </c>
      <c r="B1445" s="1">
        <v>45538</v>
      </c>
      <c r="C1445" t="s">
        <v>14</v>
      </c>
      <c r="D1445">
        <v>399</v>
      </c>
      <c r="E1445">
        <v>22.9</v>
      </c>
      <c r="F1445">
        <v>6</v>
      </c>
      <c r="G1445">
        <v>0</v>
      </c>
      <c r="H1445">
        <v>23</v>
      </c>
      <c r="I1445">
        <v>35</v>
      </c>
      <c r="J1445" t="s">
        <v>13</v>
      </c>
    </row>
    <row r="1446" spans="1:10">
      <c r="A1446">
        <v>1445</v>
      </c>
      <c r="B1446" s="1">
        <v>45251</v>
      </c>
      <c r="C1446" t="s">
        <v>12</v>
      </c>
      <c r="D1446">
        <v>199</v>
      </c>
      <c r="E1446">
        <v>18.2</v>
      </c>
      <c r="F1446">
        <v>2</v>
      </c>
      <c r="G1446">
        <v>2</v>
      </c>
      <c r="H1446">
        <v>5</v>
      </c>
      <c r="I1446">
        <v>42</v>
      </c>
      <c r="J1446" t="s">
        <v>13</v>
      </c>
    </row>
    <row r="1447" spans="1:10">
      <c r="A1447">
        <v>1446</v>
      </c>
      <c r="B1447" s="1">
        <v>45617</v>
      </c>
      <c r="C1447" t="s">
        <v>12</v>
      </c>
      <c r="D1447">
        <v>199</v>
      </c>
      <c r="E1447">
        <v>22.5</v>
      </c>
      <c r="F1447">
        <v>2</v>
      </c>
      <c r="G1447">
        <v>3</v>
      </c>
      <c r="H1447">
        <v>10</v>
      </c>
      <c r="I1447">
        <v>55</v>
      </c>
      <c r="J1447" t="s">
        <v>11</v>
      </c>
    </row>
    <row r="1448" spans="1:10">
      <c r="A1448">
        <v>1447</v>
      </c>
      <c r="B1448" s="1">
        <v>45055</v>
      </c>
      <c r="C1448" t="s">
        <v>14</v>
      </c>
      <c r="D1448">
        <v>399</v>
      </c>
      <c r="E1448">
        <v>13.3</v>
      </c>
      <c r="F1448">
        <v>0</v>
      </c>
      <c r="G1448">
        <v>3</v>
      </c>
      <c r="H1448">
        <v>17</v>
      </c>
      <c r="I1448">
        <v>60</v>
      </c>
      <c r="J1448" t="s">
        <v>13</v>
      </c>
    </row>
    <row r="1449" spans="1:10">
      <c r="A1449">
        <v>1448</v>
      </c>
      <c r="B1449" s="1">
        <v>45119</v>
      </c>
      <c r="C1449" t="s">
        <v>10</v>
      </c>
      <c r="D1449">
        <v>699</v>
      </c>
      <c r="E1449">
        <v>16.2</v>
      </c>
      <c r="F1449">
        <v>1</v>
      </c>
      <c r="G1449">
        <v>0</v>
      </c>
      <c r="H1449">
        <v>29</v>
      </c>
      <c r="I1449">
        <v>13</v>
      </c>
      <c r="J1449" t="s">
        <v>13</v>
      </c>
    </row>
    <row r="1450" spans="1:10">
      <c r="A1450">
        <v>1449</v>
      </c>
      <c r="B1450" s="1">
        <v>45122</v>
      </c>
      <c r="C1450" t="s">
        <v>14</v>
      </c>
      <c r="D1450">
        <v>399</v>
      </c>
      <c r="E1450">
        <v>19.5</v>
      </c>
      <c r="F1450">
        <v>6</v>
      </c>
      <c r="G1450">
        <v>1</v>
      </c>
      <c r="H1450">
        <v>35</v>
      </c>
      <c r="I1450">
        <v>22</v>
      </c>
      <c r="J1450" t="s">
        <v>11</v>
      </c>
    </row>
    <row r="1451" spans="1:10">
      <c r="A1451">
        <v>1450</v>
      </c>
      <c r="B1451" s="1">
        <v>45441</v>
      </c>
      <c r="C1451" t="s">
        <v>10</v>
      </c>
      <c r="D1451">
        <v>699</v>
      </c>
      <c r="E1451">
        <v>9.6</v>
      </c>
      <c r="F1451">
        <v>5</v>
      </c>
      <c r="G1451">
        <v>0</v>
      </c>
      <c r="H1451">
        <v>1</v>
      </c>
      <c r="I1451">
        <v>19</v>
      </c>
      <c r="J1451" t="s">
        <v>13</v>
      </c>
    </row>
    <row r="1452" spans="1:10">
      <c r="A1452">
        <v>1451</v>
      </c>
      <c r="B1452" s="1">
        <v>45482</v>
      </c>
      <c r="C1452" t="s">
        <v>12</v>
      </c>
      <c r="D1452">
        <v>199</v>
      </c>
      <c r="E1452">
        <v>16.399999999999999</v>
      </c>
      <c r="F1452">
        <v>7</v>
      </c>
      <c r="G1452">
        <v>3</v>
      </c>
      <c r="H1452">
        <v>32</v>
      </c>
      <c r="I1452">
        <v>26</v>
      </c>
      <c r="J1452" t="s">
        <v>11</v>
      </c>
    </row>
    <row r="1453" spans="1:10">
      <c r="A1453">
        <v>1452</v>
      </c>
      <c r="B1453" s="1">
        <v>45365</v>
      </c>
      <c r="C1453" t="s">
        <v>14</v>
      </c>
      <c r="D1453">
        <v>399</v>
      </c>
      <c r="E1453">
        <v>24.4</v>
      </c>
      <c r="F1453">
        <v>5</v>
      </c>
      <c r="G1453">
        <v>0</v>
      </c>
      <c r="H1453">
        <v>34</v>
      </c>
      <c r="I1453">
        <v>59</v>
      </c>
      <c r="J1453" t="s">
        <v>11</v>
      </c>
    </row>
    <row r="1454" spans="1:10">
      <c r="A1454">
        <v>1453</v>
      </c>
      <c r="B1454" s="1">
        <v>45602</v>
      </c>
      <c r="C1454" t="s">
        <v>14</v>
      </c>
      <c r="D1454">
        <v>399</v>
      </c>
      <c r="E1454">
        <v>14</v>
      </c>
      <c r="F1454">
        <v>2</v>
      </c>
      <c r="G1454">
        <v>4</v>
      </c>
      <c r="H1454">
        <v>12</v>
      </c>
      <c r="I1454">
        <v>27</v>
      </c>
      <c r="J1454" t="s">
        <v>11</v>
      </c>
    </row>
    <row r="1455" spans="1:10">
      <c r="A1455">
        <v>1454</v>
      </c>
      <c r="B1455" s="1">
        <v>45018</v>
      </c>
      <c r="C1455" t="s">
        <v>10</v>
      </c>
      <c r="D1455">
        <v>699</v>
      </c>
      <c r="E1455">
        <v>16</v>
      </c>
      <c r="F1455">
        <v>1</v>
      </c>
      <c r="G1455">
        <v>0</v>
      </c>
      <c r="H1455">
        <v>28</v>
      </c>
      <c r="I1455">
        <v>51</v>
      </c>
      <c r="J1455" t="s">
        <v>13</v>
      </c>
    </row>
    <row r="1456" spans="1:10">
      <c r="A1456">
        <v>1455</v>
      </c>
      <c r="B1456" s="1">
        <v>45565</v>
      </c>
      <c r="C1456" t="s">
        <v>10</v>
      </c>
      <c r="D1456">
        <v>699</v>
      </c>
      <c r="E1456">
        <v>15.6</v>
      </c>
      <c r="F1456">
        <v>6</v>
      </c>
      <c r="G1456">
        <v>0</v>
      </c>
      <c r="H1456">
        <v>2</v>
      </c>
      <c r="I1456">
        <v>31</v>
      </c>
      <c r="J1456" t="s">
        <v>13</v>
      </c>
    </row>
    <row r="1457" spans="1:10">
      <c r="A1457">
        <v>1456</v>
      </c>
      <c r="B1457" s="1">
        <v>45223</v>
      </c>
      <c r="C1457" t="s">
        <v>10</v>
      </c>
      <c r="D1457">
        <v>699</v>
      </c>
      <c r="E1457">
        <v>16</v>
      </c>
      <c r="F1457">
        <v>8</v>
      </c>
      <c r="G1457">
        <v>4</v>
      </c>
      <c r="H1457">
        <v>7</v>
      </c>
      <c r="I1457">
        <v>51</v>
      </c>
      <c r="J1457" t="s">
        <v>11</v>
      </c>
    </row>
    <row r="1458" spans="1:10">
      <c r="A1458">
        <v>1457</v>
      </c>
      <c r="B1458" s="1">
        <v>45407</v>
      </c>
      <c r="C1458" t="s">
        <v>14</v>
      </c>
      <c r="D1458">
        <v>399</v>
      </c>
      <c r="E1458">
        <v>6</v>
      </c>
      <c r="F1458">
        <v>7</v>
      </c>
      <c r="G1458">
        <v>4</v>
      </c>
      <c r="H1458">
        <v>14</v>
      </c>
      <c r="I1458">
        <v>24</v>
      </c>
      <c r="J1458" t="s">
        <v>11</v>
      </c>
    </row>
    <row r="1459" spans="1:10">
      <c r="A1459">
        <v>1458</v>
      </c>
      <c r="B1459" s="1">
        <v>45647</v>
      </c>
      <c r="C1459" t="s">
        <v>12</v>
      </c>
      <c r="D1459">
        <v>199</v>
      </c>
      <c r="E1459">
        <v>24.2</v>
      </c>
      <c r="F1459">
        <v>7</v>
      </c>
      <c r="G1459">
        <v>3</v>
      </c>
      <c r="H1459">
        <v>23</v>
      </c>
      <c r="I1459">
        <v>58</v>
      </c>
      <c r="J1459" t="s">
        <v>13</v>
      </c>
    </row>
    <row r="1460" spans="1:10">
      <c r="A1460">
        <v>1459</v>
      </c>
      <c r="B1460" s="1">
        <v>45601</v>
      </c>
      <c r="C1460" t="s">
        <v>10</v>
      </c>
      <c r="D1460">
        <v>699</v>
      </c>
      <c r="E1460">
        <v>0.7</v>
      </c>
      <c r="F1460">
        <v>5</v>
      </c>
      <c r="G1460">
        <v>1</v>
      </c>
      <c r="H1460">
        <v>26</v>
      </c>
      <c r="I1460">
        <v>32</v>
      </c>
      <c r="J1460" t="s">
        <v>11</v>
      </c>
    </row>
    <row r="1461" spans="1:10">
      <c r="A1461">
        <v>1460</v>
      </c>
      <c r="B1461" s="1">
        <v>45351</v>
      </c>
      <c r="C1461" t="s">
        <v>14</v>
      </c>
      <c r="D1461">
        <v>399</v>
      </c>
      <c r="E1461">
        <v>21</v>
      </c>
      <c r="F1461">
        <v>6</v>
      </c>
      <c r="G1461">
        <v>5</v>
      </c>
      <c r="H1461">
        <v>20</v>
      </c>
      <c r="I1461">
        <v>15</v>
      </c>
      <c r="J1461" t="s">
        <v>11</v>
      </c>
    </row>
    <row r="1462" spans="1:10">
      <c r="A1462">
        <v>1461</v>
      </c>
      <c r="B1462" s="1">
        <v>45252</v>
      </c>
      <c r="C1462" t="s">
        <v>12</v>
      </c>
      <c r="D1462">
        <v>199</v>
      </c>
      <c r="E1462">
        <v>1.1000000000000001</v>
      </c>
      <c r="F1462">
        <v>5</v>
      </c>
      <c r="G1462">
        <v>4</v>
      </c>
      <c r="H1462">
        <v>1</v>
      </c>
      <c r="I1462">
        <v>52</v>
      </c>
      <c r="J1462" t="s">
        <v>11</v>
      </c>
    </row>
    <row r="1463" spans="1:10">
      <c r="A1463">
        <v>1462</v>
      </c>
      <c r="B1463" s="1">
        <v>45124</v>
      </c>
      <c r="C1463" t="s">
        <v>14</v>
      </c>
      <c r="D1463">
        <v>399</v>
      </c>
      <c r="E1463">
        <v>24</v>
      </c>
      <c r="F1463">
        <v>6</v>
      </c>
      <c r="G1463">
        <v>1</v>
      </c>
      <c r="H1463">
        <v>11</v>
      </c>
      <c r="I1463">
        <v>35</v>
      </c>
      <c r="J1463" t="s">
        <v>13</v>
      </c>
    </row>
    <row r="1464" spans="1:10">
      <c r="A1464">
        <v>1463</v>
      </c>
      <c r="B1464" s="1">
        <v>45104</v>
      </c>
      <c r="C1464" t="s">
        <v>10</v>
      </c>
      <c r="D1464">
        <v>699</v>
      </c>
      <c r="E1464">
        <v>20.8</v>
      </c>
      <c r="F1464">
        <v>6</v>
      </c>
      <c r="G1464">
        <v>1</v>
      </c>
      <c r="H1464">
        <v>26</v>
      </c>
      <c r="I1464">
        <v>60</v>
      </c>
      <c r="J1464" t="s">
        <v>13</v>
      </c>
    </row>
    <row r="1465" spans="1:10">
      <c r="A1465">
        <v>1464</v>
      </c>
      <c r="B1465" s="1">
        <v>45056</v>
      </c>
      <c r="C1465" t="s">
        <v>14</v>
      </c>
      <c r="D1465">
        <v>399</v>
      </c>
      <c r="E1465">
        <v>13.2</v>
      </c>
      <c r="F1465">
        <v>6</v>
      </c>
      <c r="G1465">
        <v>1</v>
      </c>
      <c r="H1465">
        <v>21</v>
      </c>
      <c r="I1465">
        <v>6</v>
      </c>
      <c r="J1465" t="s">
        <v>13</v>
      </c>
    </row>
    <row r="1466" spans="1:10">
      <c r="A1466">
        <v>1465</v>
      </c>
      <c r="B1466" s="1">
        <v>45493</v>
      </c>
      <c r="C1466" t="s">
        <v>10</v>
      </c>
      <c r="D1466">
        <v>699</v>
      </c>
      <c r="E1466">
        <v>16</v>
      </c>
      <c r="F1466">
        <v>6</v>
      </c>
      <c r="G1466">
        <v>5</v>
      </c>
      <c r="H1466">
        <v>8</v>
      </c>
      <c r="I1466">
        <v>58</v>
      </c>
      <c r="J1466" t="s">
        <v>11</v>
      </c>
    </row>
    <row r="1467" spans="1:10">
      <c r="A1467">
        <v>1466</v>
      </c>
      <c r="B1467" s="1">
        <v>45534</v>
      </c>
      <c r="C1467" t="s">
        <v>12</v>
      </c>
      <c r="D1467">
        <v>199</v>
      </c>
      <c r="E1467">
        <v>5.5</v>
      </c>
      <c r="F1467">
        <v>1</v>
      </c>
      <c r="G1467">
        <v>0</v>
      </c>
      <c r="H1467">
        <v>21</v>
      </c>
      <c r="I1467">
        <v>27</v>
      </c>
      <c r="J1467" t="s">
        <v>11</v>
      </c>
    </row>
    <row r="1468" spans="1:10">
      <c r="A1468">
        <v>1467</v>
      </c>
      <c r="B1468" s="1">
        <v>45060</v>
      </c>
      <c r="C1468" t="s">
        <v>12</v>
      </c>
      <c r="D1468">
        <v>199</v>
      </c>
      <c r="E1468">
        <v>15.6</v>
      </c>
      <c r="F1468">
        <v>8</v>
      </c>
      <c r="G1468">
        <v>0</v>
      </c>
      <c r="H1468">
        <v>2</v>
      </c>
      <c r="I1468">
        <v>36</v>
      </c>
      <c r="J1468" t="s">
        <v>11</v>
      </c>
    </row>
    <row r="1469" spans="1:10">
      <c r="A1469">
        <v>1468</v>
      </c>
      <c r="B1469" s="1">
        <v>45178</v>
      </c>
      <c r="C1469" t="s">
        <v>14</v>
      </c>
      <c r="D1469">
        <v>399</v>
      </c>
      <c r="E1469">
        <v>5.0999999999999996</v>
      </c>
      <c r="F1469">
        <v>3</v>
      </c>
      <c r="G1469">
        <v>2</v>
      </c>
      <c r="H1469">
        <v>23</v>
      </c>
      <c r="I1469">
        <v>12</v>
      </c>
      <c r="J1469" t="s">
        <v>13</v>
      </c>
    </row>
    <row r="1470" spans="1:10">
      <c r="A1470">
        <v>1469</v>
      </c>
      <c r="B1470" s="1">
        <v>45569</v>
      </c>
      <c r="C1470" t="s">
        <v>10</v>
      </c>
      <c r="D1470">
        <v>699</v>
      </c>
      <c r="E1470">
        <v>19.399999999999999</v>
      </c>
      <c r="F1470">
        <v>0</v>
      </c>
      <c r="G1470">
        <v>2</v>
      </c>
      <c r="H1470">
        <v>25</v>
      </c>
      <c r="I1470">
        <v>5</v>
      </c>
      <c r="J1470" t="s">
        <v>13</v>
      </c>
    </row>
    <row r="1471" spans="1:10">
      <c r="A1471">
        <v>1470</v>
      </c>
      <c r="B1471" s="1">
        <v>45111</v>
      </c>
      <c r="C1471" t="s">
        <v>12</v>
      </c>
      <c r="D1471">
        <v>199</v>
      </c>
      <c r="E1471">
        <v>3.2</v>
      </c>
      <c r="F1471">
        <v>1</v>
      </c>
      <c r="G1471">
        <v>0</v>
      </c>
      <c r="H1471">
        <v>7</v>
      </c>
      <c r="I1471">
        <v>9</v>
      </c>
      <c r="J1471" t="s">
        <v>11</v>
      </c>
    </row>
    <row r="1472" spans="1:10">
      <c r="A1472">
        <v>1471</v>
      </c>
      <c r="B1472" s="1">
        <v>44949</v>
      </c>
      <c r="C1472" t="s">
        <v>12</v>
      </c>
      <c r="D1472">
        <v>199</v>
      </c>
      <c r="E1472">
        <v>12.6</v>
      </c>
      <c r="F1472">
        <v>5</v>
      </c>
      <c r="G1472">
        <v>1</v>
      </c>
      <c r="H1472">
        <v>5</v>
      </c>
      <c r="I1472">
        <v>25</v>
      </c>
      <c r="J1472" t="s">
        <v>11</v>
      </c>
    </row>
    <row r="1473" spans="1:10">
      <c r="A1473">
        <v>1472</v>
      </c>
      <c r="B1473" s="1">
        <v>45248</v>
      </c>
      <c r="C1473" t="s">
        <v>14</v>
      </c>
      <c r="D1473">
        <v>399</v>
      </c>
      <c r="E1473">
        <v>12.4</v>
      </c>
      <c r="F1473">
        <v>1</v>
      </c>
      <c r="G1473">
        <v>1</v>
      </c>
      <c r="H1473">
        <v>5</v>
      </c>
      <c r="I1473">
        <v>43</v>
      </c>
      <c r="J1473" t="s">
        <v>13</v>
      </c>
    </row>
    <row r="1474" spans="1:10">
      <c r="A1474">
        <v>1473</v>
      </c>
      <c r="B1474" s="1">
        <v>45602</v>
      </c>
      <c r="C1474" t="s">
        <v>10</v>
      </c>
      <c r="D1474">
        <v>699</v>
      </c>
      <c r="E1474">
        <v>20.3</v>
      </c>
      <c r="F1474">
        <v>2</v>
      </c>
      <c r="G1474">
        <v>2</v>
      </c>
      <c r="H1474">
        <v>29</v>
      </c>
      <c r="I1474">
        <v>0</v>
      </c>
      <c r="J1474" t="s">
        <v>13</v>
      </c>
    </row>
    <row r="1475" spans="1:10">
      <c r="A1475">
        <v>1474</v>
      </c>
      <c r="B1475" s="1">
        <v>45541</v>
      </c>
      <c r="C1475" t="s">
        <v>10</v>
      </c>
      <c r="D1475">
        <v>699</v>
      </c>
      <c r="E1475">
        <v>3.4</v>
      </c>
      <c r="F1475">
        <v>5</v>
      </c>
      <c r="G1475">
        <v>2</v>
      </c>
      <c r="H1475">
        <v>3</v>
      </c>
      <c r="I1475">
        <v>30</v>
      </c>
      <c r="J1475" t="s">
        <v>11</v>
      </c>
    </row>
    <row r="1476" spans="1:10">
      <c r="A1476">
        <v>1475</v>
      </c>
      <c r="B1476" s="1">
        <v>45475</v>
      </c>
      <c r="C1476" t="s">
        <v>10</v>
      </c>
      <c r="D1476">
        <v>699</v>
      </c>
      <c r="E1476">
        <v>4.4000000000000004</v>
      </c>
      <c r="F1476">
        <v>4</v>
      </c>
      <c r="G1476">
        <v>0</v>
      </c>
      <c r="H1476">
        <v>1</v>
      </c>
      <c r="I1476">
        <v>12</v>
      </c>
      <c r="J1476" t="s">
        <v>13</v>
      </c>
    </row>
    <row r="1477" spans="1:10">
      <c r="A1477">
        <v>1476</v>
      </c>
      <c r="B1477" s="1">
        <v>45149</v>
      </c>
      <c r="C1477" t="s">
        <v>12</v>
      </c>
      <c r="D1477">
        <v>199</v>
      </c>
      <c r="E1477">
        <v>13</v>
      </c>
      <c r="F1477">
        <v>2</v>
      </c>
      <c r="G1477">
        <v>1</v>
      </c>
      <c r="H1477">
        <v>34</v>
      </c>
      <c r="I1477">
        <v>55</v>
      </c>
      <c r="J1477" t="s">
        <v>13</v>
      </c>
    </row>
    <row r="1478" spans="1:10">
      <c r="A1478">
        <v>1477</v>
      </c>
      <c r="B1478" s="1">
        <v>45201</v>
      </c>
      <c r="C1478" t="s">
        <v>12</v>
      </c>
      <c r="D1478">
        <v>199</v>
      </c>
      <c r="E1478">
        <v>3.9</v>
      </c>
      <c r="F1478">
        <v>1</v>
      </c>
      <c r="G1478">
        <v>5</v>
      </c>
      <c r="H1478">
        <v>21</v>
      </c>
      <c r="I1478">
        <v>44</v>
      </c>
      <c r="J1478" t="s">
        <v>13</v>
      </c>
    </row>
    <row r="1479" spans="1:10">
      <c r="A1479">
        <v>1478</v>
      </c>
      <c r="B1479" s="1">
        <v>45228</v>
      </c>
      <c r="C1479" t="s">
        <v>14</v>
      </c>
      <c r="D1479">
        <v>399</v>
      </c>
      <c r="E1479">
        <v>5.4</v>
      </c>
      <c r="F1479">
        <v>1</v>
      </c>
      <c r="G1479">
        <v>2</v>
      </c>
      <c r="H1479">
        <v>31</v>
      </c>
      <c r="I1479">
        <v>45</v>
      </c>
      <c r="J1479" t="s">
        <v>11</v>
      </c>
    </row>
    <row r="1480" spans="1:10">
      <c r="A1480">
        <v>1479</v>
      </c>
      <c r="B1480" s="1">
        <v>45630</v>
      </c>
      <c r="C1480" t="s">
        <v>14</v>
      </c>
      <c r="D1480">
        <v>399</v>
      </c>
      <c r="E1480">
        <v>11.2</v>
      </c>
      <c r="F1480">
        <v>6</v>
      </c>
      <c r="G1480">
        <v>1</v>
      </c>
      <c r="H1480">
        <v>32</v>
      </c>
      <c r="I1480">
        <v>16</v>
      </c>
      <c r="J1480" t="s">
        <v>11</v>
      </c>
    </row>
    <row r="1481" spans="1:10">
      <c r="A1481">
        <v>1480</v>
      </c>
      <c r="B1481" s="1">
        <v>45246</v>
      </c>
      <c r="C1481" t="s">
        <v>10</v>
      </c>
      <c r="D1481">
        <v>699</v>
      </c>
      <c r="E1481">
        <v>24.1</v>
      </c>
      <c r="F1481">
        <v>1</v>
      </c>
      <c r="G1481">
        <v>4</v>
      </c>
      <c r="H1481">
        <v>18</v>
      </c>
      <c r="I1481">
        <v>50</v>
      </c>
      <c r="J1481" t="s">
        <v>13</v>
      </c>
    </row>
    <row r="1482" spans="1:10">
      <c r="A1482">
        <v>1481</v>
      </c>
      <c r="B1482" s="1">
        <v>45537</v>
      </c>
      <c r="C1482" t="s">
        <v>12</v>
      </c>
      <c r="D1482">
        <v>199</v>
      </c>
      <c r="E1482">
        <v>23.9</v>
      </c>
      <c r="F1482">
        <v>7</v>
      </c>
      <c r="G1482">
        <v>3</v>
      </c>
      <c r="H1482">
        <v>14</v>
      </c>
      <c r="I1482">
        <v>56</v>
      </c>
      <c r="J1482" t="s">
        <v>11</v>
      </c>
    </row>
    <row r="1483" spans="1:10">
      <c r="A1483">
        <v>1482</v>
      </c>
      <c r="B1483" s="1">
        <v>45507</v>
      </c>
      <c r="C1483" t="s">
        <v>10</v>
      </c>
      <c r="D1483">
        <v>699</v>
      </c>
      <c r="E1483">
        <v>20.5</v>
      </c>
      <c r="F1483">
        <v>1</v>
      </c>
      <c r="G1483">
        <v>4</v>
      </c>
      <c r="H1483">
        <v>18</v>
      </c>
      <c r="I1483">
        <v>24</v>
      </c>
      <c r="J1483" t="s">
        <v>11</v>
      </c>
    </row>
    <row r="1484" spans="1:10">
      <c r="A1484">
        <v>1483</v>
      </c>
      <c r="B1484" s="1">
        <v>45450</v>
      </c>
      <c r="C1484" t="s">
        <v>14</v>
      </c>
      <c r="D1484">
        <v>399</v>
      </c>
      <c r="E1484">
        <v>22.5</v>
      </c>
      <c r="F1484">
        <v>1</v>
      </c>
      <c r="G1484">
        <v>3</v>
      </c>
      <c r="H1484">
        <v>24</v>
      </c>
      <c r="I1484">
        <v>10</v>
      </c>
      <c r="J1484" t="s">
        <v>13</v>
      </c>
    </row>
    <row r="1485" spans="1:10">
      <c r="A1485">
        <v>1484</v>
      </c>
      <c r="B1485" s="1">
        <v>45111</v>
      </c>
      <c r="C1485" t="s">
        <v>14</v>
      </c>
      <c r="D1485">
        <v>399</v>
      </c>
      <c r="E1485">
        <v>7.7</v>
      </c>
      <c r="F1485">
        <v>8</v>
      </c>
      <c r="G1485">
        <v>2</v>
      </c>
      <c r="H1485">
        <v>27</v>
      </c>
      <c r="I1485">
        <v>25</v>
      </c>
      <c r="J1485" t="s">
        <v>11</v>
      </c>
    </row>
    <row r="1486" spans="1:10">
      <c r="A1486">
        <v>1485</v>
      </c>
      <c r="B1486" s="1">
        <v>45307</v>
      </c>
      <c r="C1486" t="s">
        <v>14</v>
      </c>
      <c r="D1486">
        <v>399</v>
      </c>
      <c r="E1486">
        <v>19.899999999999999</v>
      </c>
      <c r="F1486">
        <v>5</v>
      </c>
      <c r="G1486">
        <v>1</v>
      </c>
      <c r="H1486">
        <v>28</v>
      </c>
      <c r="I1486">
        <v>4</v>
      </c>
      <c r="J1486" t="s">
        <v>11</v>
      </c>
    </row>
    <row r="1487" spans="1:10">
      <c r="A1487">
        <v>1486</v>
      </c>
      <c r="B1487" s="1">
        <v>45263</v>
      </c>
      <c r="C1487" t="s">
        <v>14</v>
      </c>
      <c r="D1487">
        <v>399</v>
      </c>
      <c r="E1487">
        <v>19.600000000000001</v>
      </c>
      <c r="F1487">
        <v>1</v>
      </c>
      <c r="G1487">
        <v>0</v>
      </c>
      <c r="H1487">
        <v>10</v>
      </c>
      <c r="I1487">
        <v>20</v>
      </c>
      <c r="J1487" t="s">
        <v>13</v>
      </c>
    </row>
    <row r="1488" spans="1:10">
      <c r="A1488">
        <v>1487</v>
      </c>
      <c r="B1488" s="1">
        <v>45217</v>
      </c>
      <c r="C1488" t="s">
        <v>12</v>
      </c>
      <c r="D1488">
        <v>199</v>
      </c>
      <c r="E1488">
        <v>14.4</v>
      </c>
      <c r="F1488">
        <v>5</v>
      </c>
      <c r="G1488">
        <v>1</v>
      </c>
      <c r="H1488">
        <v>30</v>
      </c>
      <c r="I1488">
        <v>35</v>
      </c>
      <c r="J1488" t="s">
        <v>11</v>
      </c>
    </row>
    <row r="1489" spans="1:10">
      <c r="A1489">
        <v>1488</v>
      </c>
      <c r="B1489" s="1">
        <v>45614</v>
      </c>
      <c r="C1489" t="s">
        <v>10</v>
      </c>
      <c r="D1489">
        <v>699</v>
      </c>
      <c r="E1489">
        <v>13.4</v>
      </c>
      <c r="F1489">
        <v>1</v>
      </c>
      <c r="G1489">
        <v>4</v>
      </c>
      <c r="H1489">
        <v>14</v>
      </c>
      <c r="I1489">
        <v>17</v>
      </c>
      <c r="J1489" t="s">
        <v>13</v>
      </c>
    </row>
    <row r="1490" spans="1:10">
      <c r="A1490">
        <v>1489</v>
      </c>
      <c r="B1490" s="1">
        <v>45128</v>
      </c>
      <c r="C1490" t="s">
        <v>12</v>
      </c>
      <c r="D1490">
        <v>199</v>
      </c>
      <c r="E1490">
        <v>17.2</v>
      </c>
      <c r="F1490">
        <v>6</v>
      </c>
      <c r="G1490">
        <v>2</v>
      </c>
      <c r="H1490">
        <v>27</v>
      </c>
      <c r="I1490">
        <v>52</v>
      </c>
      <c r="J1490" t="s">
        <v>11</v>
      </c>
    </row>
    <row r="1491" spans="1:10">
      <c r="A1491">
        <v>1490</v>
      </c>
      <c r="B1491" s="1">
        <v>45102</v>
      </c>
      <c r="C1491" t="s">
        <v>12</v>
      </c>
      <c r="D1491">
        <v>199</v>
      </c>
      <c r="E1491">
        <v>12.7</v>
      </c>
      <c r="F1491">
        <v>4</v>
      </c>
      <c r="G1491">
        <v>3</v>
      </c>
      <c r="H1491">
        <v>32</v>
      </c>
      <c r="I1491">
        <v>7</v>
      </c>
      <c r="J1491" t="s">
        <v>11</v>
      </c>
    </row>
    <row r="1492" spans="1:10">
      <c r="A1492">
        <v>1491</v>
      </c>
      <c r="B1492" s="1">
        <v>45586</v>
      </c>
      <c r="C1492" t="s">
        <v>10</v>
      </c>
      <c r="D1492">
        <v>699</v>
      </c>
      <c r="E1492">
        <v>15</v>
      </c>
      <c r="F1492">
        <v>3</v>
      </c>
      <c r="G1492">
        <v>4</v>
      </c>
      <c r="H1492">
        <v>21</v>
      </c>
      <c r="I1492">
        <v>1</v>
      </c>
      <c r="J1492" t="s">
        <v>11</v>
      </c>
    </row>
    <row r="1493" spans="1:10">
      <c r="A1493">
        <v>1492</v>
      </c>
      <c r="B1493" s="1">
        <v>44964</v>
      </c>
      <c r="C1493" t="s">
        <v>10</v>
      </c>
      <c r="D1493">
        <v>699</v>
      </c>
      <c r="E1493">
        <v>22.8</v>
      </c>
      <c r="F1493">
        <v>4</v>
      </c>
      <c r="G1493">
        <v>1</v>
      </c>
      <c r="H1493">
        <v>1</v>
      </c>
      <c r="I1493">
        <v>53</v>
      </c>
      <c r="J1493" t="s">
        <v>13</v>
      </c>
    </row>
    <row r="1494" spans="1:10">
      <c r="A1494">
        <v>1493</v>
      </c>
      <c r="B1494" s="1">
        <v>45352</v>
      </c>
      <c r="C1494" t="s">
        <v>10</v>
      </c>
      <c r="D1494">
        <v>699</v>
      </c>
      <c r="E1494">
        <v>1.5</v>
      </c>
      <c r="F1494">
        <v>0</v>
      </c>
      <c r="G1494">
        <v>0</v>
      </c>
      <c r="H1494">
        <v>34</v>
      </c>
      <c r="I1494">
        <v>30</v>
      </c>
      <c r="J1494" t="s">
        <v>11</v>
      </c>
    </row>
    <row r="1495" spans="1:10">
      <c r="A1495">
        <v>1494</v>
      </c>
      <c r="B1495" s="1">
        <v>45247</v>
      </c>
      <c r="C1495" t="s">
        <v>10</v>
      </c>
      <c r="D1495">
        <v>699</v>
      </c>
      <c r="E1495">
        <v>7.2</v>
      </c>
      <c r="F1495">
        <v>5</v>
      </c>
      <c r="G1495">
        <v>3</v>
      </c>
      <c r="H1495">
        <v>20</v>
      </c>
      <c r="I1495">
        <v>5</v>
      </c>
      <c r="J1495" t="s">
        <v>13</v>
      </c>
    </row>
    <row r="1496" spans="1:10">
      <c r="A1496">
        <v>1495</v>
      </c>
      <c r="B1496" s="1">
        <v>45051</v>
      </c>
      <c r="C1496" t="s">
        <v>14</v>
      </c>
      <c r="D1496">
        <v>399</v>
      </c>
      <c r="E1496">
        <v>10.1</v>
      </c>
      <c r="F1496">
        <v>7</v>
      </c>
      <c r="G1496">
        <v>3</v>
      </c>
      <c r="H1496">
        <v>4</v>
      </c>
      <c r="I1496">
        <v>54</v>
      </c>
      <c r="J1496" t="s">
        <v>11</v>
      </c>
    </row>
    <row r="1497" spans="1:10">
      <c r="A1497">
        <v>1496</v>
      </c>
      <c r="B1497" s="1">
        <v>45257</v>
      </c>
      <c r="C1497" t="s">
        <v>14</v>
      </c>
      <c r="D1497">
        <v>399</v>
      </c>
      <c r="E1497">
        <v>1.2</v>
      </c>
      <c r="F1497">
        <v>0</v>
      </c>
      <c r="G1497">
        <v>0</v>
      </c>
      <c r="H1497">
        <v>7</v>
      </c>
      <c r="I1497">
        <v>8</v>
      </c>
      <c r="J1497" t="s">
        <v>11</v>
      </c>
    </row>
    <row r="1498" spans="1:10">
      <c r="A1498">
        <v>1497</v>
      </c>
      <c r="B1498" s="1">
        <v>45304</v>
      </c>
      <c r="C1498" t="s">
        <v>10</v>
      </c>
      <c r="D1498">
        <v>699</v>
      </c>
      <c r="E1498">
        <v>6</v>
      </c>
      <c r="F1498">
        <v>1</v>
      </c>
      <c r="G1498">
        <v>1</v>
      </c>
      <c r="H1498">
        <v>28</v>
      </c>
      <c r="I1498">
        <v>46</v>
      </c>
      <c r="J1498" t="s">
        <v>13</v>
      </c>
    </row>
    <row r="1499" spans="1:10">
      <c r="A1499">
        <v>1498</v>
      </c>
      <c r="B1499" s="1">
        <v>45040</v>
      </c>
      <c r="C1499" t="s">
        <v>10</v>
      </c>
      <c r="D1499">
        <v>699</v>
      </c>
      <c r="E1499">
        <v>23.4</v>
      </c>
      <c r="F1499">
        <v>0</v>
      </c>
      <c r="G1499">
        <v>2</v>
      </c>
      <c r="H1499">
        <v>1</v>
      </c>
      <c r="I1499">
        <v>56</v>
      </c>
      <c r="J1499" t="s">
        <v>13</v>
      </c>
    </row>
    <row r="1500" spans="1:10">
      <c r="A1500">
        <v>1499</v>
      </c>
      <c r="B1500" s="1">
        <v>45315</v>
      </c>
      <c r="C1500" t="s">
        <v>12</v>
      </c>
      <c r="D1500">
        <v>199</v>
      </c>
      <c r="E1500">
        <v>2.2999999999999998</v>
      </c>
      <c r="F1500">
        <v>5</v>
      </c>
      <c r="G1500">
        <v>5</v>
      </c>
      <c r="H1500">
        <v>20</v>
      </c>
      <c r="I1500">
        <v>39</v>
      </c>
      <c r="J1500" t="s">
        <v>11</v>
      </c>
    </row>
    <row r="1501" spans="1:10">
      <c r="A1501">
        <v>1500</v>
      </c>
      <c r="B1501" s="1">
        <v>45078</v>
      </c>
      <c r="C1501" t="s">
        <v>14</v>
      </c>
      <c r="D1501">
        <v>399</v>
      </c>
      <c r="E1501">
        <v>23.2</v>
      </c>
      <c r="F1501">
        <v>7</v>
      </c>
      <c r="G1501">
        <v>0</v>
      </c>
      <c r="H1501">
        <v>11</v>
      </c>
      <c r="I1501">
        <v>8</v>
      </c>
      <c r="J1501" t="s">
        <v>13</v>
      </c>
    </row>
    <row r="1502" spans="1:10">
      <c r="A1502">
        <v>1501</v>
      </c>
      <c r="B1502" s="1">
        <v>45416</v>
      </c>
      <c r="C1502" t="s">
        <v>10</v>
      </c>
      <c r="D1502">
        <v>699</v>
      </c>
      <c r="E1502">
        <v>16.100000000000001</v>
      </c>
      <c r="F1502">
        <v>1</v>
      </c>
      <c r="G1502">
        <v>4</v>
      </c>
      <c r="H1502">
        <v>27</v>
      </c>
      <c r="I1502">
        <v>33</v>
      </c>
      <c r="J1502" t="s">
        <v>11</v>
      </c>
    </row>
    <row r="1503" spans="1:10">
      <c r="A1503">
        <v>1502</v>
      </c>
      <c r="B1503" s="1">
        <v>45197</v>
      </c>
      <c r="C1503" t="s">
        <v>10</v>
      </c>
      <c r="D1503">
        <v>699</v>
      </c>
      <c r="E1503">
        <v>24.4</v>
      </c>
      <c r="F1503">
        <v>5</v>
      </c>
      <c r="G1503">
        <v>5</v>
      </c>
      <c r="H1503">
        <v>32</v>
      </c>
      <c r="I1503">
        <v>30</v>
      </c>
      <c r="J1503" t="s">
        <v>11</v>
      </c>
    </row>
    <row r="1504" spans="1:10">
      <c r="A1504">
        <v>1503</v>
      </c>
      <c r="B1504" s="1">
        <v>45137</v>
      </c>
      <c r="C1504" t="s">
        <v>14</v>
      </c>
      <c r="D1504">
        <v>399</v>
      </c>
      <c r="E1504">
        <v>9.1</v>
      </c>
      <c r="F1504">
        <v>3</v>
      </c>
      <c r="G1504">
        <v>5</v>
      </c>
      <c r="H1504">
        <v>6</v>
      </c>
      <c r="I1504">
        <v>41</v>
      </c>
      <c r="J1504" t="s">
        <v>13</v>
      </c>
    </row>
    <row r="1505" spans="1:10">
      <c r="A1505">
        <v>1504</v>
      </c>
      <c r="B1505" s="1">
        <v>45148</v>
      </c>
      <c r="C1505" t="s">
        <v>10</v>
      </c>
      <c r="D1505">
        <v>699</v>
      </c>
      <c r="E1505">
        <v>2.2999999999999998</v>
      </c>
      <c r="F1505">
        <v>7</v>
      </c>
      <c r="G1505">
        <v>0</v>
      </c>
      <c r="H1505">
        <v>5</v>
      </c>
      <c r="I1505">
        <v>13</v>
      </c>
      <c r="J1505" t="s">
        <v>11</v>
      </c>
    </row>
    <row r="1506" spans="1:10">
      <c r="A1506">
        <v>1505</v>
      </c>
      <c r="B1506" s="1">
        <v>45467</v>
      </c>
      <c r="C1506" t="s">
        <v>14</v>
      </c>
      <c r="D1506">
        <v>399</v>
      </c>
      <c r="E1506">
        <v>5.0999999999999996</v>
      </c>
      <c r="F1506">
        <v>1</v>
      </c>
      <c r="G1506">
        <v>2</v>
      </c>
      <c r="H1506">
        <v>25</v>
      </c>
      <c r="I1506">
        <v>13</v>
      </c>
      <c r="J1506" t="s">
        <v>13</v>
      </c>
    </row>
    <row r="1507" spans="1:10">
      <c r="A1507">
        <v>1506</v>
      </c>
      <c r="B1507" s="1">
        <v>45443</v>
      </c>
      <c r="C1507" t="s">
        <v>10</v>
      </c>
      <c r="D1507">
        <v>699</v>
      </c>
      <c r="E1507">
        <v>19.100000000000001</v>
      </c>
      <c r="F1507">
        <v>4</v>
      </c>
      <c r="G1507">
        <v>5</v>
      </c>
      <c r="H1507">
        <v>21</v>
      </c>
      <c r="I1507">
        <v>29</v>
      </c>
      <c r="J1507" t="s">
        <v>11</v>
      </c>
    </row>
    <row r="1508" spans="1:10">
      <c r="A1508">
        <v>1507</v>
      </c>
      <c r="B1508" s="1">
        <v>45452</v>
      </c>
      <c r="C1508" t="s">
        <v>12</v>
      </c>
      <c r="D1508">
        <v>199</v>
      </c>
      <c r="E1508">
        <v>5.9</v>
      </c>
      <c r="F1508">
        <v>5</v>
      </c>
      <c r="G1508">
        <v>3</v>
      </c>
      <c r="H1508">
        <v>9</v>
      </c>
      <c r="I1508">
        <v>28</v>
      </c>
      <c r="J1508" t="s">
        <v>13</v>
      </c>
    </row>
    <row r="1509" spans="1:10">
      <c r="A1509">
        <v>1508</v>
      </c>
      <c r="B1509" s="1">
        <v>45518</v>
      </c>
      <c r="C1509" t="s">
        <v>12</v>
      </c>
      <c r="D1509">
        <v>199</v>
      </c>
      <c r="E1509">
        <v>5.0999999999999996</v>
      </c>
      <c r="F1509">
        <v>4</v>
      </c>
      <c r="G1509">
        <v>3</v>
      </c>
      <c r="H1509">
        <v>26</v>
      </c>
      <c r="I1509">
        <v>10</v>
      </c>
      <c r="J1509" t="s">
        <v>13</v>
      </c>
    </row>
    <row r="1510" spans="1:10">
      <c r="A1510">
        <v>1509</v>
      </c>
      <c r="B1510" s="1">
        <v>45398</v>
      </c>
      <c r="C1510" t="s">
        <v>10</v>
      </c>
      <c r="D1510">
        <v>699</v>
      </c>
      <c r="E1510">
        <v>4.0999999999999996</v>
      </c>
      <c r="F1510">
        <v>1</v>
      </c>
      <c r="G1510">
        <v>5</v>
      </c>
      <c r="H1510">
        <v>7</v>
      </c>
      <c r="I1510">
        <v>7</v>
      </c>
      <c r="J1510" t="s">
        <v>11</v>
      </c>
    </row>
    <row r="1511" spans="1:10">
      <c r="A1511">
        <v>1510</v>
      </c>
      <c r="B1511" s="1">
        <v>45490</v>
      </c>
      <c r="C1511" t="s">
        <v>12</v>
      </c>
      <c r="D1511">
        <v>199</v>
      </c>
      <c r="E1511">
        <v>1.2</v>
      </c>
      <c r="F1511">
        <v>8</v>
      </c>
      <c r="G1511">
        <v>3</v>
      </c>
      <c r="H1511">
        <v>18</v>
      </c>
      <c r="I1511">
        <v>22</v>
      </c>
      <c r="J1511" t="s">
        <v>11</v>
      </c>
    </row>
    <row r="1512" spans="1:10">
      <c r="A1512">
        <v>1511</v>
      </c>
      <c r="B1512" s="1">
        <v>45268</v>
      </c>
      <c r="C1512" t="s">
        <v>12</v>
      </c>
      <c r="D1512">
        <v>199</v>
      </c>
      <c r="E1512">
        <v>11.1</v>
      </c>
      <c r="F1512">
        <v>2</v>
      </c>
      <c r="G1512">
        <v>3</v>
      </c>
      <c r="H1512">
        <v>23</v>
      </c>
      <c r="I1512">
        <v>32</v>
      </c>
      <c r="J1512" t="s">
        <v>11</v>
      </c>
    </row>
    <row r="1513" spans="1:10">
      <c r="A1513">
        <v>1512</v>
      </c>
      <c r="B1513" s="1">
        <v>45359</v>
      </c>
      <c r="C1513" t="s">
        <v>12</v>
      </c>
      <c r="D1513">
        <v>199</v>
      </c>
      <c r="E1513">
        <v>7.2</v>
      </c>
      <c r="F1513">
        <v>1</v>
      </c>
      <c r="G1513">
        <v>0</v>
      </c>
      <c r="H1513">
        <v>29</v>
      </c>
      <c r="I1513">
        <v>41</v>
      </c>
      <c r="J1513" t="s">
        <v>13</v>
      </c>
    </row>
    <row r="1514" spans="1:10">
      <c r="A1514">
        <v>1513</v>
      </c>
      <c r="B1514" s="1">
        <v>45432</v>
      </c>
      <c r="C1514" t="s">
        <v>12</v>
      </c>
      <c r="D1514">
        <v>199</v>
      </c>
      <c r="E1514">
        <v>5.0999999999999996</v>
      </c>
      <c r="F1514">
        <v>2</v>
      </c>
      <c r="G1514">
        <v>4</v>
      </c>
      <c r="H1514">
        <v>19</v>
      </c>
      <c r="I1514">
        <v>17</v>
      </c>
      <c r="J1514" t="s">
        <v>13</v>
      </c>
    </row>
    <row r="1515" spans="1:10">
      <c r="A1515">
        <v>1514</v>
      </c>
      <c r="B1515" s="1">
        <v>45151</v>
      </c>
      <c r="C1515" t="s">
        <v>10</v>
      </c>
      <c r="D1515">
        <v>699</v>
      </c>
      <c r="E1515">
        <v>3.2</v>
      </c>
      <c r="F1515">
        <v>0</v>
      </c>
      <c r="G1515">
        <v>5</v>
      </c>
      <c r="H1515">
        <v>28</v>
      </c>
      <c r="I1515">
        <v>15</v>
      </c>
      <c r="J1515" t="s">
        <v>13</v>
      </c>
    </row>
    <row r="1516" spans="1:10">
      <c r="A1516">
        <v>1515</v>
      </c>
      <c r="B1516" s="1">
        <v>45209</v>
      </c>
      <c r="C1516" t="s">
        <v>12</v>
      </c>
      <c r="D1516">
        <v>199</v>
      </c>
      <c r="E1516">
        <v>22.4</v>
      </c>
      <c r="F1516">
        <v>4</v>
      </c>
      <c r="G1516">
        <v>1</v>
      </c>
      <c r="H1516">
        <v>4</v>
      </c>
      <c r="I1516">
        <v>4</v>
      </c>
      <c r="J1516" t="s">
        <v>13</v>
      </c>
    </row>
    <row r="1517" spans="1:10">
      <c r="A1517">
        <v>1516</v>
      </c>
      <c r="B1517" s="1">
        <v>45635</v>
      </c>
      <c r="C1517" t="s">
        <v>12</v>
      </c>
      <c r="D1517">
        <v>199</v>
      </c>
      <c r="E1517">
        <v>10.1</v>
      </c>
      <c r="F1517">
        <v>1</v>
      </c>
      <c r="G1517">
        <v>1</v>
      </c>
      <c r="H1517">
        <v>26</v>
      </c>
      <c r="I1517">
        <v>46</v>
      </c>
      <c r="J1517" t="s">
        <v>13</v>
      </c>
    </row>
    <row r="1518" spans="1:10">
      <c r="A1518">
        <v>1517</v>
      </c>
      <c r="B1518" s="1">
        <v>45537</v>
      </c>
      <c r="C1518" t="s">
        <v>14</v>
      </c>
      <c r="D1518">
        <v>399</v>
      </c>
      <c r="E1518">
        <v>5.5</v>
      </c>
      <c r="F1518">
        <v>3</v>
      </c>
      <c r="G1518">
        <v>2</v>
      </c>
      <c r="H1518">
        <v>32</v>
      </c>
      <c r="I1518">
        <v>40</v>
      </c>
      <c r="J1518" t="s">
        <v>11</v>
      </c>
    </row>
    <row r="1519" spans="1:10">
      <c r="A1519">
        <v>1518</v>
      </c>
      <c r="B1519" s="1">
        <v>45239</v>
      </c>
      <c r="C1519" t="s">
        <v>14</v>
      </c>
      <c r="D1519">
        <v>399</v>
      </c>
      <c r="E1519">
        <v>2.8</v>
      </c>
      <c r="F1519">
        <v>8</v>
      </c>
      <c r="G1519">
        <v>5</v>
      </c>
      <c r="H1519">
        <v>1</v>
      </c>
      <c r="I1519">
        <v>39</v>
      </c>
      <c r="J1519" t="s">
        <v>11</v>
      </c>
    </row>
    <row r="1520" spans="1:10">
      <c r="A1520">
        <v>1519</v>
      </c>
      <c r="B1520" s="1">
        <v>45393</v>
      </c>
      <c r="C1520" t="s">
        <v>10</v>
      </c>
      <c r="D1520">
        <v>699</v>
      </c>
      <c r="E1520">
        <v>4.7</v>
      </c>
      <c r="F1520">
        <v>1</v>
      </c>
      <c r="G1520">
        <v>1</v>
      </c>
      <c r="H1520">
        <v>16</v>
      </c>
      <c r="I1520">
        <v>11</v>
      </c>
      <c r="J1520" t="s">
        <v>11</v>
      </c>
    </row>
    <row r="1521" spans="1:10">
      <c r="A1521">
        <v>1520</v>
      </c>
      <c r="B1521" s="1">
        <v>45197</v>
      </c>
      <c r="C1521" t="s">
        <v>12</v>
      </c>
      <c r="D1521">
        <v>199</v>
      </c>
      <c r="E1521">
        <v>16.8</v>
      </c>
      <c r="F1521">
        <v>6</v>
      </c>
      <c r="G1521">
        <v>2</v>
      </c>
      <c r="H1521">
        <v>1</v>
      </c>
      <c r="I1521">
        <v>1</v>
      </c>
      <c r="J1521" t="s">
        <v>11</v>
      </c>
    </row>
    <row r="1522" spans="1:10">
      <c r="A1522">
        <v>1521</v>
      </c>
      <c r="B1522" s="1">
        <v>45524</v>
      </c>
      <c r="C1522" t="s">
        <v>12</v>
      </c>
      <c r="D1522">
        <v>199</v>
      </c>
      <c r="E1522">
        <v>17.100000000000001</v>
      </c>
      <c r="F1522">
        <v>0</v>
      </c>
      <c r="G1522">
        <v>4</v>
      </c>
      <c r="H1522">
        <v>11</v>
      </c>
      <c r="I1522">
        <v>22</v>
      </c>
      <c r="J1522" t="s">
        <v>13</v>
      </c>
    </row>
    <row r="1523" spans="1:10">
      <c r="A1523">
        <v>1522</v>
      </c>
      <c r="B1523" s="1">
        <v>45507</v>
      </c>
      <c r="C1523" t="s">
        <v>12</v>
      </c>
      <c r="D1523">
        <v>199</v>
      </c>
      <c r="E1523">
        <v>21.9</v>
      </c>
      <c r="F1523">
        <v>7</v>
      </c>
      <c r="G1523">
        <v>0</v>
      </c>
      <c r="H1523">
        <v>32</v>
      </c>
      <c r="I1523">
        <v>2</v>
      </c>
      <c r="J1523" t="s">
        <v>13</v>
      </c>
    </row>
    <row r="1524" spans="1:10">
      <c r="A1524">
        <v>1523</v>
      </c>
      <c r="B1524" s="1">
        <v>45023</v>
      </c>
      <c r="C1524" t="s">
        <v>10</v>
      </c>
      <c r="D1524">
        <v>699</v>
      </c>
      <c r="E1524">
        <v>21</v>
      </c>
      <c r="F1524">
        <v>8</v>
      </c>
      <c r="G1524">
        <v>4</v>
      </c>
      <c r="H1524">
        <v>19</v>
      </c>
      <c r="I1524">
        <v>10</v>
      </c>
      <c r="J1524" t="s">
        <v>13</v>
      </c>
    </row>
    <row r="1525" spans="1:10">
      <c r="A1525">
        <v>1524</v>
      </c>
      <c r="B1525" s="1">
        <v>45485</v>
      </c>
      <c r="C1525" t="s">
        <v>12</v>
      </c>
      <c r="D1525">
        <v>199</v>
      </c>
      <c r="E1525">
        <v>20.2</v>
      </c>
      <c r="F1525">
        <v>5</v>
      </c>
      <c r="G1525">
        <v>3</v>
      </c>
      <c r="H1525">
        <v>20</v>
      </c>
      <c r="I1525">
        <v>31</v>
      </c>
      <c r="J1525" t="s">
        <v>11</v>
      </c>
    </row>
    <row r="1526" spans="1:10">
      <c r="A1526">
        <v>1525</v>
      </c>
      <c r="B1526" s="1">
        <v>45654</v>
      </c>
      <c r="C1526" t="s">
        <v>14</v>
      </c>
      <c r="D1526">
        <v>399</v>
      </c>
      <c r="E1526">
        <v>6.7</v>
      </c>
      <c r="F1526">
        <v>7</v>
      </c>
      <c r="G1526">
        <v>0</v>
      </c>
      <c r="H1526">
        <v>32</v>
      </c>
      <c r="I1526">
        <v>52</v>
      </c>
      <c r="J1526" t="s">
        <v>11</v>
      </c>
    </row>
    <row r="1527" spans="1:10">
      <c r="A1527">
        <v>1526</v>
      </c>
      <c r="B1527" s="1">
        <v>45582</v>
      </c>
      <c r="C1527" t="s">
        <v>14</v>
      </c>
      <c r="D1527">
        <v>399</v>
      </c>
      <c r="E1527">
        <v>19.5</v>
      </c>
      <c r="F1527">
        <v>7</v>
      </c>
      <c r="G1527">
        <v>0</v>
      </c>
      <c r="H1527">
        <v>34</v>
      </c>
      <c r="I1527">
        <v>17</v>
      </c>
      <c r="J1527" t="s">
        <v>13</v>
      </c>
    </row>
    <row r="1528" spans="1:10">
      <c r="A1528">
        <v>1527</v>
      </c>
      <c r="B1528" s="1">
        <v>44958</v>
      </c>
      <c r="C1528" t="s">
        <v>12</v>
      </c>
      <c r="D1528">
        <v>199</v>
      </c>
      <c r="E1528">
        <v>24.5</v>
      </c>
      <c r="F1528">
        <v>3</v>
      </c>
      <c r="G1528">
        <v>5</v>
      </c>
      <c r="H1528">
        <v>10</v>
      </c>
      <c r="I1528">
        <v>9</v>
      </c>
      <c r="J1528" t="s">
        <v>13</v>
      </c>
    </row>
    <row r="1529" spans="1:10">
      <c r="A1529">
        <v>1528</v>
      </c>
      <c r="B1529" s="1">
        <v>45581</v>
      </c>
      <c r="C1529" t="s">
        <v>12</v>
      </c>
      <c r="D1529">
        <v>199</v>
      </c>
      <c r="E1529">
        <v>9.3000000000000007</v>
      </c>
      <c r="F1529">
        <v>1</v>
      </c>
      <c r="G1529">
        <v>1</v>
      </c>
      <c r="H1529">
        <v>28</v>
      </c>
      <c r="I1529">
        <v>58</v>
      </c>
      <c r="J1529" t="s">
        <v>13</v>
      </c>
    </row>
    <row r="1530" spans="1:10">
      <c r="A1530">
        <v>1529</v>
      </c>
      <c r="B1530" s="1">
        <v>45198</v>
      </c>
      <c r="C1530" t="s">
        <v>12</v>
      </c>
      <c r="D1530">
        <v>199</v>
      </c>
      <c r="E1530">
        <v>22</v>
      </c>
      <c r="F1530">
        <v>8</v>
      </c>
      <c r="G1530">
        <v>3</v>
      </c>
      <c r="H1530">
        <v>18</v>
      </c>
      <c r="I1530">
        <v>56</v>
      </c>
      <c r="J1530" t="s">
        <v>11</v>
      </c>
    </row>
    <row r="1531" spans="1:10">
      <c r="A1531">
        <v>1530</v>
      </c>
      <c r="B1531" s="1">
        <v>45209</v>
      </c>
      <c r="C1531" t="s">
        <v>10</v>
      </c>
      <c r="D1531">
        <v>699</v>
      </c>
      <c r="E1531">
        <v>22.3</v>
      </c>
      <c r="F1531">
        <v>6</v>
      </c>
      <c r="G1531">
        <v>4</v>
      </c>
      <c r="H1531">
        <v>23</v>
      </c>
      <c r="I1531">
        <v>26</v>
      </c>
      <c r="J1531" t="s">
        <v>13</v>
      </c>
    </row>
    <row r="1532" spans="1:10">
      <c r="A1532">
        <v>1531</v>
      </c>
      <c r="B1532" s="1">
        <v>45052</v>
      </c>
      <c r="C1532" t="s">
        <v>14</v>
      </c>
      <c r="D1532">
        <v>399</v>
      </c>
      <c r="E1532">
        <v>1.5</v>
      </c>
      <c r="F1532">
        <v>8</v>
      </c>
      <c r="G1532">
        <v>5</v>
      </c>
      <c r="H1532">
        <v>13</v>
      </c>
      <c r="I1532">
        <v>21</v>
      </c>
      <c r="J1532" t="s">
        <v>11</v>
      </c>
    </row>
    <row r="1533" spans="1:10">
      <c r="A1533">
        <v>1532</v>
      </c>
      <c r="B1533" s="1">
        <v>45437</v>
      </c>
      <c r="C1533" t="s">
        <v>14</v>
      </c>
      <c r="D1533">
        <v>399</v>
      </c>
      <c r="E1533">
        <v>14.4</v>
      </c>
      <c r="F1533">
        <v>5</v>
      </c>
      <c r="G1533">
        <v>2</v>
      </c>
      <c r="H1533">
        <v>30</v>
      </c>
      <c r="I1533">
        <v>7</v>
      </c>
      <c r="J1533" t="s">
        <v>13</v>
      </c>
    </row>
    <row r="1534" spans="1:10">
      <c r="A1534">
        <v>1533</v>
      </c>
      <c r="B1534" s="1">
        <v>45607</v>
      </c>
      <c r="C1534" t="s">
        <v>10</v>
      </c>
      <c r="D1534">
        <v>699</v>
      </c>
      <c r="E1534">
        <v>11.9</v>
      </c>
      <c r="F1534">
        <v>2</v>
      </c>
      <c r="G1534">
        <v>4</v>
      </c>
      <c r="H1534">
        <v>10</v>
      </c>
      <c r="I1534">
        <v>18</v>
      </c>
      <c r="J1534" t="s">
        <v>13</v>
      </c>
    </row>
    <row r="1535" spans="1:10">
      <c r="A1535">
        <v>1534</v>
      </c>
      <c r="B1535" s="1">
        <v>45149</v>
      </c>
      <c r="C1535" t="s">
        <v>12</v>
      </c>
      <c r="D1535">
        <v>199</v>
      </c>
      <c r="E1535">
        <v>12.4</v>
      </c>
      <c r="F1535">
        <v>1</v>
      </c>
      <c r="G1535">
        <v>2</v>
      </c>
      <c r="H1535">
        <v>20</v>
      </c>
      <c r="I1535">
        <v>0</v>
      </c>
      <c r="J1535" t="s">
        <v>13</v>
      </c>
    </row>
    <row r="1536" spans="1:10">
      <c r="A1536">
        <v>1535</v>
      </c>
      <c r="B1536" s="1">
        <v>44927</v>
      </c>
      <c r="C1536" t="s">
        <v>14</v>
      </c>
      <c r="D1536">
        <v>399</v>
      </c>
      <c r="E1536">
        <v>1.8</v>
      </c>
      <c r="F1536">
        <v>4</v>
      </c>
      <c r="G1536">
        <v>0</v>
      </c>
      <c r="H1536">
        <v>8</v>
      </c>
      <c r="I1536">
        <v>27</v>
      </c>
      <c r="J1536" t="s">
        <v>11</v>
      </c>
    </row>
    <row r="1537" spans="1:10">
      <c r="A1537">
        <v>1536</v>
      </c>
      <c r="B1537" s="1">
        <v>45501</v>
      </c>
      <c r="C1537" t="s">
        <v>12</v>
      </c>
      <c r="D1537">
        <v>199</v>
      </c>
      <c r="E1537">
        <v>3.9</v>
      </c>
      <c r="F1537">
        <v>4</v>
      </c>
      <c r="G1537">
        <v>4</v>
      </c>
      <c r="H1537">
        <v>17</v>
      </c>
      <c r="I1537">
        <v>42</v>
      </c>
      <c r="J1537" t="s">
        <v>11</v>
      </c>
    </row>
    <row r="1538" spans="1:10">
      <c r="A1538">
        <v>1537</v>
      </c>
      <c r="B1538" s="1">
        <v>45009</v>
      </c>
      <c r="C1538" t="s">
        <v>12</v>
      </c>
      <c r="D1538">
        <v>199</v>
      </c>
      <c r="E1538">
        <v>18</v>
      </c>
      <c r="F1538">
        <v>2</v>
      </c>
      <c r="G1538">
        <v>5</v>
      </c>
      <c r="H1538">
        <v>6</v>
      </c>
      <c r="I1538">
        <v>12</v>
      </c>
      <c r="J1538" t="s">
        <v>13</v>
      </c>
    </row>
    <row r="1539" spans="1:10">
      <c r="A1539">
        <v>1538</v>
      </c>
      <c r="B1539" s="1">
        <v>45322</v>
      </c>
      <c r="C1539" t="s">
        <v>14</v>
      </c>
      <c r="D1539">
        <v>399</v>
      </c>
      <c r="E1539">
        <v>1.3</v>
      </c>
      <c r="F1539">
        <v>5</v>
      </c>
      <c r="G1539">
        <v>1</v>
      </c>
      <c r="H1539">
        <v>15</v>
      </c>
      <c r="I1539">
        <v>51</v>
      </c>
      <c r="J1539" t="s">
        <v>11</v>
      </c>
    </row>
    <row r="1540" spans="1:10">
      <c r="A1540">
        <v>1539</v>
      </c>
      <c r="B1540" s="1">
        <v>45245</v>
      </c>
      <c r="C1540" t="s">
        <v>14</v>
      </c>
      <c r="D1540">
        <v>399</v>
      </c>
      <c r="E1540">
        <v>24.2</v>
      </c>
      <c r="F1540">
        <v>1</v>
      </c>
      <c r="G1540">
        <v>2</v>
      </c>
      <c r="H1540">
        <v>26</v>
      </c>
      <c r="I1540">
        <v>58</v>
      </c>
      <c r="J1540" t="s">
        <v>11</v>
      </c>
    </row>
    <row r="1541" spans="1:10">
      <c r="A1541">
        <v>1540</v>
      </c>
      <c r="B1541" s="1">
        <v>45131</v>
      </c>
      <c r="C1541" t="s">
        <v>12</v>
      </c>
      <c r="D1541">
        <v>199</v>
      </c>
      <c r="E1541">
        <v>17.100000000000001</v>
      </c>
      <c r="F1541">
        <v>5</v>
      </c>
      <c r="G1541">
        <v>4</v>
      </c>
      <c r="H1541">
        <v>28</v>
      </c>
      <c r="I1541">
        <v>8</v>
      </c>
      <c r="J1541" t="s">
        <v>13</v>
      </c>
    </row>
    <row r="1542" spans="1:10">
      <c r="A1542">
        <v>1541</v>
      </c>
      <c r="B1542" s="1">
        <v>45507</v>
      </c>
      <c r="C1542" t="s">
        <v>14</v>
      </c>
      <c r="D1542">
        <v>399</v>
      </c>
      <c r="E1542">
        <v>10.7</v>
      </c>
      <c r="F1542">
        <v>3</v>
      </c>
      <c r="G1542">
        <v>2</v>
      </c>
      <c r="H1542">
        <v>9</v>
      </c>
      <c r="I1542">
        <v>19</v>
      </c>
      <c r="J1542" t="s">
        <v>11</v>
      </c>
    </row>
    <row r="1543" spans="1:10">
      <c r="A1543">
        <v>1542</v>
      </c>
      <c r="B1543" s="1">
        <v>45379</v>
      </c>
      <c r="C1543" t="s">
        <v>10</v>
      </c>
      <c r="D1543">
        <v>699</v>
      </c>
      <c r="E1543">
        <v>13.9</v>
      </c>
      <c r="F1543">
        <v>6</v>
      </c>
      <c r="G1543">
        <v>3</v>
      </c>
      <c r="H1543">
        <v>30</v>
      </c>
      <c r="I1543">
        <v>6</v>
      </c>
      <c r="J1543" t="s">
        <v>11</v>
      </c>
    </row>
    <row r="1544" spans="1:10">
      <c r="A1544">
        <v>1543</v>
      </c>
      <c r="B1544" s="1">
        <v>45357</v>
      </c>
      <c r="C1544" t="s">
        <v>10</v>
      </c>
      <c r="D1544">
        <v>699</v>
      </c>
      <c r="E1544">
        <v>12.8</v>
      </c>
      <c r="F1544">
        <v>5</v>
      </c>
      <c r="G1544">
        <v>3</v>
      </c>
      <c r="H1544">
        <v>21</v>
      </c>
      <c r="I1544">
        <v>22</v>
      </c>
      <c r="J1544" t="s">
        <v>11</v>
      </c>
    </row>
    <row r="1545" spans="1:10">
      <c r="A1545">
        <v>1544</v>
      </c>
      <c r="B1545" s="1">
        <v>45070</v>
      </c>
      <c r="C1545" t="s">
        <v>14</v>
      </c>
      <c r="D1545">
        <v>399</v>
      </c>
      <c r="E1545">
        <v>1.2</v>
      </c>
      <c r="F1545">
        <v>8</v>
      </c>
      <c r="G1545">
        <v>0</v>
      </c>
      <c r="H1545">
        <v>30</v>
      </c>
      <c r="I1545">
        <v>49</v>
      </c>
      <c r="J1545" t="s">
        <v>11</v>
      </c>
    </row>
    <row r="1546" spans="1:10">
      <c r="A1546">
        <v>1545</v>
      </c>
      <c r="B1546" s="1">
        <v>45506</v>
      </c>
      <c r="C1546" t="s">
        <v>10</v>
      </c>
      <c r="D1546">
        <v>699</v>
      </c>
      <c r="E1546">
        <v>19.8</v>
      </c>
      <c r="F1546">
        <v>8</v>
      </c>
      <c r="G1546">
        <v>2</v>
      </c>
      <c r="H1546">
        <v>20</v>
      </c>
      <c r="I1546">
        <v>8</v>
      </c>
      <c r="J1546" t="s">
        <v>13</v>
      </c>
    </row>
    <row r="1547" spans="1:10">
      <c r="A1547">
        <v>1546</v>
      </c>
      <c r="B1547" s="1">
        <v>45400</v>
      </c>
      <c r="C1547" t="s">
        <v>14</v>
      </c>
      <c r="D1547">
        <v>399</v>
      </c>
      <c r="E1547">
        <v>19</v>
      </c>
      <c r="F1547">
        <v>6</v>
      </c>
      <c r="G1547">
        <v>1</v>
      </c>
      <c r="H1547">
        <v>4</v>
      </c>
      <c r="I1547">
        <v>25</v>
      </c>
      <c r="J1547" t="s">
        <v>13</v>
      </c>
    </row>
    <row r="1548" spans="1:10">
      <c r="A1548">
        <v>1547</v>
      </c>
      <c r="B1548" s="1">
        <v>45592</v>
      </c>
      <c r="C1548" t="s">
        <v>10</v>
      </c>
      <c r="D1548">
        <v>699</v>
      </c>
      <c r="E1548">
        <v>21.1</v>
      </c>
      <c r="F1548">
        <v>1</v>
      </c>
      <c r="G1548">
        <v>0</v>
      </c>
      <c r="H1548">
        <v>30</v>
      </c>
      <c r="I1548">
        <v>17</v>
      </c>
      <c r="J1548" t="s">
        <v>13</v>
      </c>
    </row>
    <row r="1549" spans="1:10">
      <c r="A1549">
        <v>1548</v>
      </c>
      <c r="B1549" s="1">
        <v>44989</v>
      </c>
      <c r="C1549" t="s">
        <v>12</v>
      </c>
      <c r="D1549">
        <v>199</v>
      </c>
      <c r="E1549">
        <v>15.1</v>
      </c>
      <c r="F1549">
        <v>4</v>
      </c>
      <c r="G1549">
        <v>4</v>
      </c>
      <c r="H1549">
        <v>22</v>
      </c>
      <c r="I1549">
        <v>30</v>
      </c>
      <c r="J1549" t="s">
        <v>11</v>
      </c>
    </row>
    <row r="1550" spans="1:10">
      <c r="A1550">
        <v>1549</v>
      </c>
      <c r="B1550" s="1">
        <v>45502</v>
      </c>
      <c r="C1550" t="s">
        <v>12</v>
      </c>
      <c r="D1550">
        <v>199</v>
      </c>
      <c r="E1550">
        <v>18.600000000000001</v>
      </c>
      <c r="F1550">
        <v>0</v>
      </c>
      <c r="G1550">
        <v>5</v>
      </c>
      <c r="H1550">
        <v>33</v>
      </c>
      <c r="I1550">
        <v>13</v>
      </c>
      <c r="J1550" t="s">
        <v>13</v>
      </c>
    </row>
    <row r="1551" spans="1:10">
      <c r="A1551">
        <v>1550</v>
      </c>
      <c r="B1551" s="1">
        <v>44933</v>
      </c>
      <c r="C1551" t="s">
        <v>10</v>
      </c>
      <c r="D1551">
        <v>699</v>
      </c>
      <c r="E1551">
        <v>3.8</v>
      </c>
      <c r="F1551">
        <v>2</v>
      </c>
      <c r="G1551">
        <v>2</v>
      </c>
      <c r="H1551">
        <v>32</v>
      </c>
      <c r="I1551">
        <v>40</v>
      </c>
      <c r="J1551" t="s">
        <v>11</v>
      </c>
    </row>
    <row r="1552" spans="1:10">
      <c r="A1552">
        <v>1551</v>
      </c>
      <c r="B1552" s="1">
        <v>45459</v>
      </c>
      <c r="C1552" t="s">
        <v>14</v>
      </c>
      <c r="D1552">
        <v>399</v>
      </c>
      <c r="E1552">
        <v>3.3</v>
      </c>
      <c r="F1552">
        <v>0</v>
      </c>
      <c r="G1552">
        <v>1</v>
      </c>
      <c r="H1552">
        <v>13</v>
      </c>
      <c r="I1552">
        <v>38</v>
      </c>
      <c r="J1552" t="s">
        <v>13</v>
      </c>
    </row>
    <row r="1553" spans="1:10">
      <c r="A1553">
        <v>1552</v>
      </c>
      <c r="B1553" s="1">
        <v>45327</v>
      </c>
      <c r="C1553" t="s">
        <v>12</v>
      </c>
      <c r="D1553">
        <v>199</v>
      </c>
      <c r="E1553">
        <v>5.5</v>
      </c>
      <c r="F1553">
        <v>7</v>
      </c>
      <c r="G1553">
        <v>0</v>
      </c>
      <c r="H1553">
        <v>16</v>
      </c>
      <c r="I1553">
        <v>53</v>
      </c>
      <c r="J1553" t="s">
        <v>13</v>
      </c>
    </row>
    <row r="1554" spans="1:10">
      <c r="A1554">
        <v>1553</v>
      </c>
      <c r="B1554" s="1">
        <v>45486</v>
      </c>
      <c r="C1554" t="s">
        <v>12</v>
      </c>
      <c r="D1554">
        <v>199</v>
      </c>
      <c r="E1554">
        <v>7.8</v>
      </c>
      <c r="F1554">
        <v>7</v>
      </c>
      <c r="G1554">
        <v>1</v>
      </c>
      <c r="H1554">
        <v>8</v>
      </c>
      <c r="I1554">
        <v>52</v>
      </c>
      <c r="J1554" t="s">
        <v>11</v>
      </c>
    </row>
    <row r="1555" spans="1:10">
      <c r="A1555">
        <v>1554</v>
      </c>
      <c r="B1555" s="1">
        <v>45116</v>
      </c>
      <c r="C1555" t="s">
        <v>14</v>
      </c>
      <c r="D1555">
        <v>399</v>
      </c>
      <c r="E1555">
        <v>21.6</v>
      </c>
      <c r="F1555">
        <v>1</v>
      </c>
      <c r="G1555">
        <v>3</v>
      </c>
      <c r="H1555">
        <v>29</v>
      </c>
      <c r="I1555">
        <v>9</v>
      </c>
      <c r="J1555" t="s">
        <v>13</v>
      </c>
    </row>
    <row r="1556" spans="1:10">
      <c r="A1556">
        <v>1555</v>
      </c>
      <c r="B1556" s="1">
        <v>45223</v>
      </c>
      <c r="C1556" t="s">
        <v>12</v>
      </c>
      <c r="D1556">
        <v>199</v>
      </c>
      <c r="E1556">
        <v>4.7</v>
      </c>
      <c r="F1556">
        <v>8</v>
      </c>
      <c r="G1556">
        <v>1</v>
      </c>
      <c r="H1556">
        <v>16</v>
      </c>
      <c r="I1556">
        <v>30</v>
      </c>
      <c r="J1556" t="s">
        <v>11</v>
      </c>
    </row>
    <row r="1557" spans="1:10">
      <c r="A1557">
        <v>1556</v>
      </c>
      <c r="B1557" s="1">
        <v>45322</v>
      </c>
      <c r="C1557" t="s">
        <v>10</v>
      </c>
      <c r="D1557">
        <v>699</v>
      </c>
      <c r="E1557">
        <v>24</v>
      </c>
      <c r="F1557">
        <v>7</v>
      </c>
      <c r="G1557">
        <v>2</v>
      </c>
      <c r="H1557">
        <v>7</v>
      </c>
      <c r="I1557">
        <v>42</v>
      </c>
      <c r="J1557" t="s">
        <v>11</v>
      </c>
    </row>
    <row r="1558" spans="1:10">
      <c r="A1558">
        <v>1557</v>
      </c>
      <c r="B1558" s="1">
        <v>45050</v>
      </c>
      <c r="C1558" t="s">
        <v>10</v>
      </c>
      <c r="D1558">
        <v>699</v>
      </c>
      <c r="E1558">
        <v>11.9</v>
      </c>
      <c r="F1558">
        <v>6</v>
      </c>
      <c r="G1558">
        <v>1</v>
      </c>
      <c r="H1558">
        <v>7</v>
      </c>
      <c r="I1558">
        <v>1</v>
      </c>
      <c r="J1558" t="s">
        <v>13</v>
      </c>
    </row>
    <row r="1559" spans="1:10">
      <c r="A1559">
        <v>1558</v>
      </c>
      <c r="B1559" s="1">
        <v>45599</v>
      </c>
      <c r="C1559" t="s">
        <v>10</v>
      </c>
      <c r="D1559">
        <v>699</v>
      </c>
      <c r="E1559">
        <v>0.8</v>
      </c>
      <c r="F1559">
        <v>4</v>
      </c>
      <c r="G1559">
        <v>0</v>
      </c>
      <c r="H1559">
        <v>25</v>
      </c>
      <c r="I1559">
        <v>41</v>
      </c>
      <c r="J1559" t="s">
        <v>11</v>
      </c>
    </row>
    <row r="1560" spans="1:10">
      <c r="A1560">
        <v>1559</v>
      </c>
      <c r="B1560" s="1">
        <v>45396</v>
      </c>
      <c r="C1560" t="s">
        <v>10</v>
      </c>
      <c r="D1560">
        <v>699</v>
      </c>
      <c r="E1560">
        <v>1.5</v>
      </c>
      <c r="F1560">
        <v>5</v>
      </c>
      <c r="G1560">
        <v>1</v>
      </c>
      <c r="H1560">
        <v>29</v>
      </c>
      <c r="I1560">
        <v>29</v>
      </c>
      <c r="J1560" t="s">
        <v>13</v>
      </c>
    </row>
    <row r="1561" spans="1:10">
      <c r="A1561">
        <v>1560</v>
      </c>
      <c r="B1561" s="1">
        <v>45142</v>
      </c>
      <c r="C1561" t="s">
        <v>14</v>
      </c>
      <c r="D1561">
        <v>399</v>
      </c>
      <c r="E1561">
        <v>24.6</v>
      </c>
      <c r="F1561">
        <v>5</v>
      </c>
      <c r="G1561">
        <v>4</v>
      </c>
      <c r="H1561">
        <v>1</v>
      </c>
      <c r="I1561">
        <v>54</v>
      </c>
      <c r="J1561" t="s">
        <v>13</v>
      </c>
    </row>
    <row r="1562" spans="1:10">
      <c r="A1562">
        <v>1561</v>
      </c>
      <c r="B1562" s="1">
        <v>45598</v>
      </c>
      <c r="C1562" t="s">
        <v>14</v>
      </c>
      <c r="D1562">
        <v>399</v>
      </c>
      <c r="E1562">
        <v>10.1</v>
      </c>
      <c r="F1562">
        <v>1</v>
      </c>
      <c r="G1562">
        <v>1</v>
      </c>
      <c r="H1562">
        <v>34</v>
      </c>
      <c r="I1562">
        <v>41</v>
      </c>
      <c r="J1562" t="s">
        <v>11</v>
      </c>
    </row>
    <row r="1563" spans="1:10">
      <c r="A1563">
        <v>1562</v>
      </c>
      <c r="B1563" s="1">
        <v>45237</v>
      </c>
      <c r="C1563" t="s">
        <v>10</v>
      </c>
      <c r="D1563">
        <v>699</v>
      </c>
      <c r="E1563">
        <v>11.8</v>
      </c>
      <c r="F1563">
        <v>2</v>
      </c>
      <c r="G1563">
        <v>2</v>
      </c>
      <c r="H1563">
        <v>22</v>
      </c>
      <c r="I1563">
        <v>50</v>
      </c>
      <c r="J1563" t="s">
        <v>13</v>
      </c>
    </row>
    <row r="1564" spans="1:10">
      <c r="A1564">
        <v>1563</v>
      </c>
      <c r="B1564" s="1">
        <v>45111</v>
      </c>
      <c r="C1564" t="s">
        <v>14</v>
      </c>
      <c r="D1564">
        <v>399</v>
      </c>
      <c r="E1564">
        <v>22.9</v>
      </c>
      <c r="F1564">
        <v>7</v>
      </c>
      <c r="G1564">
        <v>3</v>
      </c>
      <c r="H1564">
        <v>5</v>
      </c>
      <c r="I1564">
        <v>30</v>
      </c>
      <c r="J1564" t="s">
        <v>11</v>
      </c>
    </row>
    <row r="1565" spans="1:10">
      <c r="A1565">
        <v>1564</v>
      </c>
      <c r="B1565" s="1">
        <v>45529</v>
      </c>
      <c r="C1565" t="s">
        <v>10</v>
      </c>
      <c r="D1565">
        <v>699</v>
      </c>
      <c r="E1565">
        <v>19.5</v>
      </c>
      <c r="F1565">
        <v>8</v>
      </c>
      <c r="G1565">
        <v>2</v>
      </c>
      <c r="H1565">
        <v>33</v>
      </c>
      <c r="I1565">
        <v>8</v>
      </c>
      <c r="J1565" t="s">
        <v>13</v>
      </c>
    </row>
    <row r="1566" spans="1:10">
      <c r="A1566">
        <v>1565</v>
      </c>
      <c r="B1566" s="1">
        <v>45089</v>
      </c>
      <c r="C1566" t="s">
        <v>10</v>
      </c>
      <c r="D1566">
        <v>699</v>
      </c>
      <c r="E1566">
        <v>14.8</v>
      </c>
      <c r="F1566">
        <v>6</v>
      </c>
      <c r="G1566">
        <v>0</v>
      </c>
      <c r="H1566">
        <v>23</v>
      </c>
      <c r="I1566">
        <v>2</v>
      </c>
      <c r="J1566" t="s">
        <v>11</v>
      </c>
    </row>
    <row r="1567" spans="1:10">
      <c r="A1567">
        <v>1566</v>
      </c>
      <c r="B1567" s="1">
        <v>45164</v>
      </c>
      <c r="C1567" t="s">
        <v>12</v>
      </c>
      <c r="D1567">
        <v>199</v>
      </c>
      <c r="E1567">
        <v>16.8</v>
      </c>
      <c r="F1567">
        <v>7</v>
      </c>
      <c r="G1567">
        <v>5</v>
      </c>
      <c r="H1567">
        <v>7</v>
      </c>
      <c r="I1567">
        <v>30</v>
      </c>
      <c r="J1567" t="s">
        <v>11</v>
      </c>
    </row>
    <row r="1568" spans="1:10">
      <c r="A1568">
        <v>1567</v>
      </c>
      <c r="B1568" s="1">
        <v>45357</v>
      </c>
      <c r="C1568" t="s">
        <v>10</v>
      </c>
      <c r="D1568">
        <v>699</v>
      </c>
      <c r="E1568">
        <v>3.1</v>
      </c>
      <c r="F1568">
        <v>2</v>
      </c>
      <c r="G1568">
        <v>5</v>
      </c>
      <c r="H1568">
        <v>16</v>
      </c>
      <c r="I1568">
        <v>57</v>
      </c>
      <c r="J1568" t="s">
        <v>11</v>
      </c>
    </row>
    <row r="1569" spans="1:10">
      <c r="A1569">
        <v>1568</v>
      </c>
      <c r="B1569" s="1">
        <v>45379</v>
      </c>
      <c r="C1569" t="s">
        <v>12</v>
      </c>
      <c r="D1569">
        <v>199</v>
      </c>
      <c r="E1569">
        <v>15.5</v>
      </c>
      <c r="F1569">
        <v>1</v>
      </c>
      <c r="G1569">
        <v>0</v>
      </c>
      <c r="H1569">
        <v>4</v>
      </c>
      <c r="I1569">
        <v>54</v>
      </c>
      <c r="J1569" t="s">
        <v>13</v>
      </c>
    </row>
    <row r="1570" spans="1:10">
      <c r="A1570">
        <v>1569</v>
      </c>
      <c r="B1570" s="1">
        <v>45063</v>
      </c>
      <c r="C1570" t="s">
        <v>14</v>
      </c>
      <c r="D1570">
        <v>399</v>
      </c>
      <c r="E1570">
        <v>23.1</v>
      </c>
      <c r="F1570">
        <v>5</v>
      </c>
      <c r="G1570">
        <v>0</v>
      </c>
      <c r="H1570">
        <v>2</v>
      </c>
      <c r="I1570">
        <v>44</v>
      </c>
      <c r="J1570" t="s">
        <v>11</v>
      </c>
    </row>
    <row r="1571" spans="1:10">
      <c r="A1571">
        <v>1570</v>
      </c>
      <c r="B1571" s="1">
        <v>45157</v>
      </c>
      <c r="C1571" t="s">
        <v>10</v>
      </c>
      <c r="D1571">
        <v>699</v>
      </c>
      <c r="E1571">
        <v>5.4</v>
      </c>
      <c r="F1571">
        <v>4</v>
      </c>
      <c r="G1571">
        <v>3</v>
      </c>
      <c r="H1571">
        <v>36</v>
      </c>
      <c r="I1571">
        <v>28</v>
      </c>
      <c r="J1571" t="s">
        <v>11</v>
      </c>
    </row>
    <row r="1572" spans="1:10">
      <c r="A1572">
        <v>1571</v>
      </c>
      <c r="B1572" s="1">
        <v>45571</v>
      </c>
      <c r="C1572" t="s">
        <v>12</v>
      </c>
      <c r="D1572">
        <v>199</v>
      </c>
      <c r="E1572">
        <v>11.1</v>
      </c>
      <c r="F1572">
        <v>8</v>
      </c>
      <c r="G1572">
        <v>1</v>
      </c>
      <c r="H1572">
        <v>11</v>
      </c>
      <c r="I1572">
        <v>5</v>
      </c>
      <c r="J1572" t="s">
        <v>13</v>
      </c>
    </row>
    <row r="1573" spans="1:10">
      <c r="A1573">
        <v>1572</v>
      </c>
      <c r="B1573" s="1">
        <v>45508</v>
      </c>
      <c r="C1573" t="s">
        <v>10</v>
      </c>
      <c r="D1573">
        <v>699</v>
      </c>
      <c r="E1573">
        <v>5.5</v>
      </c>
      <c r="F1573">
        <v>2</v>
      </c>
      <c r="G1573">
        <v>0</v>
      </c>
      <c r="H1573">
        <v>7</v>
      </c>
      <c r="I1573">
        <v>23</v>
      </c>
      <c r="J1573" t="s">
        <v>13</v>
      </c>
    </row>
    <row r="1574" spans="1:10">
      <c r="A1574">
        <v>1573</v>
      </c>
      <c r="B1574" s="1">
        <v>45511</v>
      </c>
      <c r="C1574" t="s">
        <v>10</v>
      </c>
      <c r="D1574">
        <v>699</v>
      </c>
      <c r="E1574">
        <v>8.8000000000000007</v>
      </c>
      <c r="F1574">
        <v>8</v>
      </c>
      <c r="G1574">
        <v>3</v>
      </c>
      <c r="H1574">
        <v>5</v>
      </c>
      <c r="I1574">
        <v>12</v>
      </c>
      <c r="J1574" t="s">
        <v>13</v>
      </c>
    </row>
    <row r="1575" spans="1:10">
      <c r="A1575">
        <v>1574</v>
      </c>
      <c r="B1575" s="1">
        <v>45364</v>
      </c>
      <c r="C1575" t="s">
        <v>14</v>
      </c>
      <c r="D1575">
        <v>399</v>
      </c>
      <c r="E1575">
        <v>9.1</v>
      </c>
      <c r="F1575">
        <v>8</v>
      </c>
      <c r="G1575">
        <v>1</v>
      </c>
      <c r="H1575">
        <v>33</v>
      </c>
      <c r="I1575">
        <v>51</v>
      </c>
      <c r="J1575" t="s">
        <v>11</v>
      </c>
    </row>
    <row r="1576" spans="1:10">
      <c r="A1576">
        <v>1575</v>
      </c>
      <c r="B1576" s="1">
        <v>45030</v>
      </c>
      <c r="C1576" t="s">
        <v>10</v>
      </c>
      <c r="D1576">
        <v>699</v>
      </c>
      <c r="E1576">
        <v>21.9</v>
      </c>
      <c r="F1576">
        <v>1</v>
      </c>
      <c r="G1576">
        <v>1</v>
      </c>
      <c r="H1576">
        <v>25</v>
      </c>
      <c r="I1576">
        <v>50</v>
      </c>
      <c r="J1576" t="s">
        <v>13</v>
      </c>
    </row>
    <row r="1577" spans="1:10">
      <c r="A1577">
        <v>1576</v>
      </c>
      <c r="B1577" s="1">
        <v>45223</v>
      </c>
      <c r="C1577" t="s">
        <v>12</v>
      </c>
      <c r="D1577">
        <v>199</v>
      </c>
      <c r="E1577">
        <v>6.1</v>
      </c>
      <c r="F1577">
        <v>8</v>
      </c>
      <c r="G1577">
        <v>2</v>
      </c>
      <c r="H1577">
        <v>32</v>
      </c>
      <c r="I1577">
        <v>1</v>
      </c>
      <c r="J1577" t="s">
        <v>11</v>
      </c>
    </row>
    <row r="1578" spans="1:10">
      <c r="A1578">
        <v>1577</v>
      </c>
      <c r="B1578" s="1">
        <v>45516</v>
      </c>
      <c r="C1578" t="s">
        <v>14</v>
      </c>
      <c r="D1578">
        <v>399</v>
      </c>
      <c r="E1578">
        <v>17.7</v>
      </c>
      <c r="F1578">
        <v>1</v>
      </c>
      <c r="G1578">
        <v>1</v>
      </c>
      <c r="H1578">
        <v>25</v>
      </c>
      <c r="I1578">
        <v>18</v>
      </c>
      <c r="J1578" t="s">
        <v>11</v>
      </c>
    </row>
    <row r="1579" spans="1:10">
      <c r="A1579">
        <v>1578</v>
      </c>
      <c r="B1579" s="1">
        <v>45486</v>
      </c>
      <c r="C1579" t="s">
        <v>12</v>
      </c>
      <c r="D1579">
        <v>199</v>
      </c>
      <c r="E1579">
        <v>23.3</v>
      </c>
      <c r="F1579">
        <v>8</v>
      </c>
      <c r="G1579">
        <v>2</v>
      </c>
      <c r="H1579">
        <v>34</v>
      </c>
      <c r="I1579">
        <v>25</v>
      </c>
      <c r="J1579" t="s">
        <v>11</v>
      </c>
    </row>
    <row r="1580" spans="1:10">
      <c r="A1580">
        <v>1579</v>
      </c>
      <c r="B1580" s="1">
        <v>45358</v>
      </c>
      <c r="C1580" t="s">
        <v>10</v>
      </c>
      <c r="D1580">
        <v>699</v>
      </c>
      <c r="E1580">
        <v>14.8</v>
      </c>
      <c r="F1580">
        <v>4</v>
      </c>
      <c r="G1580">
        <v>5</v>
      </c>
      <c r="H1580">
        <v>8</v>
      </c>
      <c r="I1580">
        <v>1</v>
      </c>
      <c r="J1580" t="s">
        <v>11</v>
      </c>
    </row>
    <row r="1581" spans="1:10">
      <c r="A1581">
        <v>1580</v>
      </c>
      <c r="B1581" s="1">
        <v>45264</v>
      </c>
      <c r="C1581" t="s">
        <v>14</v>
      </c>
      <c r="D1581">
        <v>399</v>
      </c>
      <c r="E1581">
        <v>8.6999999999999993</v>
      </c>
      <c r="F1581">
        <v>0</v>
      </c>
      <c r="G1581">
        <v>1</v>
      </c>
      <c r="H1581">
        <v>13</v>
      </c>
      <c r="I1581">
        <v>13</v>
      </c>
      <c r="J1581" t="s">
        <v>13</v>
      </c>
    </row>
    <row r="1582" spans="1:10">
      <c r="A1582">
        <v>1581</v>
      </c>
      <c r="B1582" s="1">
        <v>44963</v>
      </c>
      <c r="C1582" t="s">
        <v>10</v>
      </c>
      <c r="D1582">
        <v>699</v>
      </c>
      <c r="E1582">
        <v>6.3</v>
      </c>
      <c r="F1582">
        <v>1</v>
      </c>
      <c r="G1582">
        <v>4</v>
      </c>
      <c r="H1582">
        <v>4</v>
      </c>
      <c r="I1582">
        <v>57</v>
      </c>
      <c r="J1582" t="s">
        <v>13</v>
      </c>
    </row>
    <row r="1583" spans="1:10">
      <c r="A1583">
        <v>1582</v>
      </c>
      <c r="B1583" s="1">
        <v>45204</v>
      </c>
      <c r="C1583" t="s">
        <v>14</v>
      </c>
      <c r="D1583">
        <v>399</v>
      </c>
      <c r="E1583">
        <v>23.8</v>
      </c>
      <c r="F1583">
        <v>1</v>
      </c>
      <c r="G1583">
        <v>4</v>
      </c>
      <c r="H1583">
        <v>5</v>
      </c>
      <c r="I1583">
        <v>30</v>
      </c>
      <c r="J1583" t="s">
        <v>13</v>
      </c>
    </row>
    <row r="1584" spans="1:10">
      <c r="A1584">
        <v>1583</v>
      </c>
      <c r="B1584" s="1">
        <v>45368</v>
      </c>
      <c r="C1584" t="s">
        <v>10</v>
      </c>
      <c r="D1584">
        <v>699</v>
      </c>
      <c r="E1584">
        <v>3</v>
      </c>
      <c r="F1584">
        <v>7</v>
      </c>
      <c r="G1584">
        <v>4</v>
      </c>
      <c r="H1584">
        <v>3</v>
      </c>
      <c r="I1584">
        <v>14</v>
      </c>
      <c r="J1584" t="s">
        <v>11</v>
      </c>
    </row>
    <row r="1585" spans="1:10">
      <c r="A1585">
        <v>1584</v>
      </c>
      <c r="B1585" s="1">
        <v>45127</v>
      </c>
      <c r="C1585" t="s">
        <v>14</v>
      </c>
      <c r="D1585">
        <v>399</v>
      </c>
      <c r="E1585">
        <v>19.600000000000001</v>
      </c>
      <c r="F1585">
        <v>3</v>
      </c>
      <c r="G1585">
        <v>0</v>
      </c>
      <c r="H1585">
        <v>20</v>
      </c>
      <c r="I1585">
        <v>59</v>
      </c>
      <c r="J1585" t="s">
        <v>11</v>
      </c>
    </row>
    <row r="1586" spans="1:10">
      <c r="A1586">
        <v>1585</v>
      </c>
      <c r="B1586" s="1">
        <v>45313</v>
      </c>
      <c r="C1586" t="s">
        <v>10</v>
      </c>
      <c r="D1586">
        <v>699</v>
      </c>
      <c r="E1586">
        <v>17.2</v>
      </c>
      <c r="F1586">
        <v>0</v>
      </c>
      <c r="G1586">
        <v>4</v>
      </c>
      <c r="H1586">
        <v>25</v>
      </c>
      <c r="I1586">
        <v>30</v>
      </c>
      <c r="J1586" t="s">
        <v>11</v>
      </c>
    </row>
    <row r="1587" spans="1:10">
      <c r="A1587">
        <v>1586</v>
      </c>
      <c r="B1587" s="1">
        <v>45047</v>
      </c>
      <c r="C1587" t="s">
        <v>10</v>
      </c>
      <c r="D1587">
        <v>699</v>
      </c>
      <c r="E1587">
        <v>11</v>
      </c>
      <c r="F1587">
        <v>6</v>
      </c>
      <c r="G1587">
        <v>4</v>
      </c>
      <c r="H1587">
        <v>9</v>
      </c>
      <c r="I1587">
        <v>8</v>
      </c>
      <c r="J1587" t="s">
        <v>11</v>
      </c>
    </row>
    <row r="1588" spans="1:10">
      <c r="A1588">
        <v>1587</v>
      </c>
      <c r="B1588" s="1">
        <v>45164</v>
      </c>
      <c r="C1588" t="s">
        <v>10</v>
      </c>
      <c r="D1588">
        <v>699</v>
      </c>
      <c r="E1588">
        <v>9.1</v>
      </c>
      <c r="F1588">
        <v>5</v>
      </c>
      <c r="G1588">
        <v>3</v>
      </c>
      <c r="H1588">
        <v>24</v>
      </c>
      <c r="I1588">
        <v>58</v>
      </c>
      <c r="J1588" t="s">
        <v>11</v>
      </c>
    </row>
    <row r="1589" spans="1:10">
      <c r="A1589">
        <v>1588</v>
      </c>
      <c r="B1589" s="1">
        <v>44942</v>
      </c>
      <c r="C1589" t="s">
        <v>12</v>
      </c>
      <c r="D1589">
        <v>199</v>
      </c>
      <c r="E1589">
        <v>6.1</v>
      </c>
      <c r="F1589">
        <v>8</v>
      </c>
      <c r="G1589">
        <v>4</v>
      </c>
      <c r="H1589">
        <v>1</v>
      </c>
      <c r="I1589">
        <v>2</v>
      </c>
      <c r="J1589" t="s">
        <v>13</v>
      </c>
    </row>
    <row r="1590" spans="1:10">
      <c r="A1590">
        <v>1589</v>
      </c>
      <c r="B1590" s="1">
        <v>45216</v>
      </c>
      <c r="C1590" t="s">
        <v>10</v>
      </c>
      <c r="D1590">
        <v>699</v>
      </c>
      <c r="E1590">
        <v>20.399999999999999</v>
      </c>
      <c r="F1590">
        <v>1</v>
      </c>
      <c r="G1590">
        <v>0</v>
      </c>
      <c r="H1590">
        <v>16</v>
      </c>
      <c r="I1590">
        <v>8</v>
      </c>
      <c r="J1590" t="s">
        <v>13</v>
      </c>
    </row>
    <row r="1591" spans="1:10">
      <c r="A1591">
        <v>1590</v>
      </c>
      <c r="B1591" s="1">
        <v>45417</v>
      </c>
      <c r="C1591" t="s">
        <v>12</v>
      </c>
      <c r="D1591">
        <v>199</v>
      </c>
      <c r="E1591">
        <v>9.1</v>
      </c>
      <c r="F1591">
        <v>3</v>
      </c>
      <c r="G1591">
        <v>2</v>
      </c>
      <c r="H1591">
        <v>21</v>
      </c>
      <c r="I1591">
        <v>8</v>
      </c>
      <c r="J1591" t="s">
        <v>13</v>
      </c>
    </row>
    <row r="1592" spans="1:10">
      <c r="A1592">
        <v>1591</v>
      </c>
      <c r="B1592" s="1">
        <v>45433</v>
      </c>
      <c r="C1592" t="s">
        <v>10</v>
      </c>
      <c r="D1592">
        <v>699</v>
      </c>
      <c r="E1592">
        <v>16.600000000000001</v>
      </c>
      <c r="F1592">
        <v>1</v>
      </c>
      <c r="G1592">
        <v>2</v>
      </c>
      <c r="H1592">
        <v>8</v>
      </c>
      <c r="I1592">
        <v>60</v>
      </c>
      <c r="J1592" t="s">
        <v>11</v>
      </c>
    </row>
    <row r="1593" spans="1:10">
      <c r="A1593">
        <v>1592</v>
      </c>
      <c r="B1593" s="1">
        <v>45302</v>
      </c>
      <c r="C1593" t="s">
        <v>10</v>
      </c>
      <c r="D1593">
        <v>699</v>
      </c>
      <c r="E1593">
        <v>22.5</v>
      </c>
      <c r="F1593">
        <v>3</v>
      </c>
      <c r="G1593">
        <v>3</v>
      </c>
      <c r="H1593">
        <v>23</v>
      </c>
      <c r="I1593">
        <v>45</v>
      </c>
      <c r="J1593" t="s">
        <v>11</v>
      </c>
    </row>
    <row r="1594" spans="1:10">
      <c r="A1594">
        <v>1593</v>
      </c>
      <c r="B1594" s="1">
        <v>45641</v>
      </c>
      <c r="C1594" t="s">
        <v>10</v>
      </c>
      <c r="D1594">
        <v>699</v>
      </c>
      <c r="E1594">
        <v>21.8</v>
      </c>
      <c r="F1594">
        <v>3</v>
      </c>
      <c r="G1594">
        <v>4</v>
      </c>
      <c r="H1594">
        <v>19</v>
      </c>
      <c r="I1594">
        <v>57</v>
      </c>
      <c r="J1594" t="s">
        <v>11</v>
      </c>
    </row>
    <row r="1595" spans="1:10">
      <c r="A1595">
        <v>1594</v>
      </c>
      <c r="B1595" s="1">
        <v>45424</v>
      </c>
      <c r="C1595" t="s">
        <v>10</v>
      </c>
      <c r="D1595">
        <v>699</v>
      </c>
      <c r="E1595">
        <v>3.1</v>
      </c>
      <c r="F1595">
        <v>5</v>
      </c>
      <c r="G1595">
        <v>3</v>
      </c>
      <c r="H1595">
        <v>33</v>
      </c>
      <c r="I1595">
        <v>45</v>
      </c>
      <c r="J1595" t="s">
        <v>11</v>
      </c>
    </row>
    <row r="1596" spans="1:10">
      <c r="A1596">
        <v>1595</v>
      </c>
      <c r="B1596" s="1">
        <v>45493</v>
      </c>
      <c r="C1596" t="s">
        <v>14</v>
      </c>
      <c r="D1596">
        <v>399</v>
      </c>
      <c r="E1596">
        <v>5.5</v>
      </c>
      <c r="F1596">
        <v>2</v>
      </c>
      <c r="G1596">
        <v>4</v>
      </c>
      <c r="H1596">
        <v>6</v>
      </c>
      <c r="I1596">
        <v>14</v>
      </c>
      <c r="J1596" t="s">
        <v>11</v>
      </c>
    </row>
    <row r="1597" spans="1:10">
      <c r="A1597">
        <v>1596</v>
      </c>
      <c r="B1597" s="1">
        <v>45592</v>
      </c>
      <c r="C1597" t="s">
        <v>12</v>
      </c>
      <c r="D1597">
        <v>199</v>
      </c>
      <c r="E1597">
        <v>9.6</v>
      </c>
      <c r="F1597">
        <v>2</v>
      </c>
      <c r="G1597">
        <v>0</v>
      </c>
      <c r="H1597">
        <v>8</v>
      </c>
      <c r="I1597">
        <v>15</v>
      </c>
      <c r="J1597" t="s">
        <v>13</v>
      </c>
    </row>
    <row r="1598" spans="1:10">
      <c r="A1598">
        <v>1597</v>
      </c>
      <c r="B1598" s="1">
        <v>45234</v>
      </c>
      <c r="C1598" t="s">
        <v>14</v>
      </c>
      <c r="D1598">
        <v>399</v>
      </c>
      <c r="E1598">
        <v>1</v>
      </c>
      <c r="F1598">
        <v>0</v>
      </c>
      <c r="G1598">
        <v>2</v>
      </c>
      <c r="H1598">
        <v>8</v>
      </c>
      <c r="I1598">
        <v>17</v>
      </c>
      <c r="J1598" t="s">
        <v>11</v>
      </c>
    </row>
    <row r="1599" spans="1:10">
      <c r="A1599">
        <v>1598</v>
      </c>
      <c r="B1599" s="1">
        <v>45320</v>
      </c>
      <c r="C1599" t="s">
        <v>12</v>
      </c>
      <c r="D1599">
        <v>199</v>
      </c>
      <c r="E1599">
        <v>7.3</v>
      </c>
      <c r="F1599">
        <v>6</v>
      </c>
      <c r="G1599">
        <v>3</v>
      </c>
      <c r="H1599">
        <v>4</v>
      </c>
      <c r="I1599">
        <v>1</v>
      </c>
      <c r="J1599" t="s">
        <v>13</v>
      </c>
    </row>
    <row r="1600" spans="1:10">
      <c r="A1600">
        <v>1599</v>
      </c>
      <c r="B1600" s="1">
        <v>44980</v>
      </c>
      <c r="C1600" t="s">
        <v>14</v>
      </c>
      <c r="D1600">
        <v>399</v>
      </c>
      <c r="E1600">
        <v>6</v>
      </c>
      <c r="F1600">
        <v>6</v>
      </c>
      <c r="G1600">
        <v>1</v>
      </c>
      <c r="H1600">
        <v>3</v>
      </c>
      <c r="I1600">
        <v>42</v>
      </c>
      <c r="J1600" t="s">
        <v>11</v>
      </c>
    </row>
    <row r="1601" spans="1:10">
      <c r="A1601">
        <v>1600</v>
      </c>
      <c r="B1601" s="1">
        <v>45271</v>
      </c>
      <c r="C1601" t="s">
        <v>10</v>
      </c>
      <c r="D1601">
        <v>699</v>
      </c>
      <c r="E1601">
        <v>1.3</v>
      </c>
      <c r="F1601">
        <v>5</v>
      </c>
      <c r="G1601">
        <v>0</v>
      </c>
      <c r="H1601">
        <v>20</v>
      </c>
      <c r="I1601">
        <v>58</v>
      </c>
      <c r="J1601" t="s">
        <v>11</v>
      </c>
    </row>
    <row r="1602" spans="1:10">
      <c r="A1602">
        <v>1601</v>
      </c>
      <c r="B1602" s="1">
        <v>45364</v>
      </c>
      <c r="C1602" t="s">
        <v>14</v>
      </c>
      <c r="D1602">
        <v>399</v>
      </c>
      <c r="E1602">
        <v>19.100000000000001</v>
      </c>
      <c r="F1602">
        <v>5</v>
      </c>
      <c r="G1602">
        <v>5</v>
      </c>
      <c r="H1602">
        <v>14</v>
      </c>
      <c r="I1602">
        <v>53</v>
      </c>
      <c r="J1602" t="s">
        <v>11</v>
      </c>
    </row>
    <row r="1603" spans="1:10">
      <c r="A1603">
        <v>1602</v>
      </c>
      <c r="B1603" s="1">
        <v>45621</v>
      </c>
      <c r="C1603" t="s">
        <v>10</v>
      </c>
      <c r="D1603">
        <v>699</v>
      </c>
      <c r="E1603">
        <v>20.3</v>
      </c>
      <c r="F1603">
        <v>8</v>
      </c>
      <c r="G1603">
        <v>3</v>
      </c>
      <c r="H1603">
        <v>4</v>
      </c>
      <c r="I1603">
        <v>60</v>
      </c>
      <c r="J1603" t="s">
        <v>11</v>
      </c>
    </row>
    <row r="1604" spans="1:10">
      <c r="A1604">
        <v>1603</v>
      </c>
      <c r="B1604" s="1">
        <v>45405</v>
      </c>
      <c r="C1604" t="s">
        <v>14</v>
      </c>
      <c r="D1604">
        <v>399</v>
      </c>
      <c r="E1604">
        <v>11.9</v>
      </c>
      <c r="F1604">
        <v>8</v>
      </c>
      <c r="G1604">
        <v>2</v>
      </c>
      <c r="H1604">
        <v>35</v>
      </c>
      <c r="I1604">
        <v>10</v>
      </c>
      <c r="J1604" t="s">
        <v>13</v>
      </c>
    </row>
    <row r="1605" spans="1:10">
      <c r="A1605">
        <v>1604</v>
      </c>
      <c r="B1605" s="1">
        <v>45207</v>
      </c>
      <c r="C1605" t="s">
        <v>10</v>
      </c>
      <c r="D1605">
        <v>699</v>
      </c>
      <c r="E1605">
        <v>3.7</v>
      </c>
      <c r="F1605">
        <v>0</v>
      </c>
      <c r="G1605">
        <v>2</v>
      </c>
      <c r="H1605">
        <v>16</v>
      </c>
      <c r="I1605">
        <v>51</v>
      </c>
      <c r="J1605" t="s">
        <v>11</v>
      </c>
    </row>
    <row r="1606" spans="1:10">
      <c r="A1606">
        <v>1605</v>
      </c>
      <c r="B1606" s="1">
        <v>45557</v>
      </c>
      <c r="C1606" t="s">
        <v>12</v>
      </c>
      <c r="D1606">
        <v>199</v>
      </c>
      <c r="E1606">
        <v>19.399999999999999</v>
      </c>
      <c r="F1606">
        <v>4</v>
      </c>
      <c r="G1606">
        <v>2</v>
      </c>
      <c r="H1606">
        <v>16</v>
      </c>
      <c r="I1606">
        <v>36</v>
      </c>
      <c r="J1606" t="s">
        <v>11</v>
      </c>
    </row>
    <row r="1607" spans="1:10">
      <c r="A1607">
        <v>1606</v>
      </c>
      <c r="B1607" s="1">
        <v>44939</v>
      </c>
      <c r="C1607" t="s">
        <v>14</v>
      </c>
      <c r="D1607">
        <v>399</v>
      </c>
      <c r="E1607">
        <v>7.1</v>
      </c>
      <c r="F1607">
        <v>4</v>
      </c>
      <c r="G1607">
        <v>5</v>
      </c>
      <c r="H1607">
        <v>24</v>
      </c>
      <c r="I1607">
        <v>51</v>
      </c>
      <c r="J1607" t="s">
        <v>13</v>
      </c>
    </row>
    <row r="1608" spans="1:10">
      <c r="A1608">
        <v>1607</v>
      </c>
      <c r="B1608" s="1">
        <v>45400</v>
      </c>
      <c r="C1608" t="s">
        <v>12</v>
      </c>
      <c r="D1608">
        <v>199</v>
      </c>
      <c r="E1608">
        <v>14.4</v>
      </c>
      <c r="F1608">
        <v>5</v>
      </c>
      <c r="G1608">
        <v>2</v>
      </c>
      <c r="H1608">
        <v>20</v>
      </c>
      <c r="I1608">
        <v>54</v>
      </c>
      <c r="J1608" t="s">
        <v>11</v>
      </c>
    </row>
    <row r="1609" spans="1:10">
      <c r="A1609">
        <v>1608</v>
      </c>
      <c r="B1609" s="1">
        <v>45496</v>
      </c>
      <c r="C1609" t="s">
        <v>12</v>
      </c>
      <c r="D1609">
        <v>199</v>
      </c>
      <c r="E1609">
        <v>0.7</v>
      </c>
      <c r="F1609">
        <v>0</v>
      </c>
      <c r="G1609">
        <v>2</v>
      </c>
      <c r="H1609">
        <v>29</v>
      </c>
      <c r="I1609">
        <v>30</v>
      </c>
      <c r="J1609" t="s">
        <v>11</v>
      </c>
    </row>
    <row r="1610" spans="1:10">
      <c r="A1610">
        <v>1609</v>
      </c>
      <c r="B1610" s="1">
        <v>45248</v>
      </c>
      <c r="C1610" t="s">
        <v>12</v>
      </c>
      <c r="D1610">
        <v>199</v>
      </c>
      <c r="E1610">
        <v>1.9</v>
      </c>
      <c r="F1610">
        <v>1</v>
      </c>
      <c r="G1610">
        <v>2</v>
      </c>
      <c r="H1610">
        <v>27</v>
      </c>
      <c r="I1610">
        <v>57</v>
      </c>
      <c r="J1610" t="s">
        <v>11</v>
      </c>
    </row>
    <row r="1611" spans="1:10">
      <c r="A1611">
        <v>1610</v>
      </c>
      <c r="B1611" s="1">
        <v>45159</v>
      </c>
      <c r="C1611" t="s">
        <v>12</v>
      </c>
      <c r="D1611">
        <v>199</v>
      </c>
      <c r="E1611">
        <v>4.9000000000000004</v>
      </c>
      <c r="F1611">
        <v>4</v>
      </c>
      <c r="G1611">
        <v>2</v>
      </c>
      <c r="H1611">
        <v>29</v>
      </c>
      <c r="I1611">
        <v>55</v>
      </c>
      <c r="J1611" t="s">
        <v>11</v>
      </c>
    </row>
    <row r="1612" spans="1:10">
      <c r="A1612">
        <v>1611</v>
      </c>
      <c r="B1612" s="1">
        <v>45115</v>
      </c>
      <c r="C1612" t="s">
        <v>10</v>
      </c>
      <c r="D1612">
        <v>699</v>
      </c>
      <c r="E1612">
        <v>4.0999999999999996</v>
      </c>
      <c r="F1612">
        <v>0</v>
      </c>
      <c r="G1612">
        <v>1</v>
      </c>
      <c r="H1612">
        <v>12</v>
      </c>
      <c r="I1612">
        <v>7</v>
      </c>
      <c r="J1612" t="s">
        <v>13</v>
      </c>
    </row>
    <row r="1613" spans="1:10">
      <c r="A1613">
        <v>1612</v>
      </c>
      <c r="B1613" s="1">
        <v>44989</v>
      </c>
      <c r="C1613" t="s">
        <v>10</v>
      </c>
      <c r="D1613">
        <v>699</v>
      </c>
      <c r="E1613">
        <v>21.6</v>
      </c>
      <c r="F1613">
        <v>5</v>
      </c>
      <c r="G1613">
        <v>0</v>
      </c>
      <c r="H1613">
        <v>33</v>
      </c>
      <c r="I1613">
        <v>35</v>
      </c>
      <c r="J1613" t="s">
        <v>13</v>
      </c>
    </row>
    <row r="1614" spans="1:10">
      <c r="A1614">
        <v>1613</v>
      </c>
      <c r="B1614" s="1">
        <v>45288</v>
      </c>
      <c r="C1614" t="s">
        <v>10</v>
      </c>
      <c r="D1614">
        <v>699</v>
      </c>
      <c r="E1614">
        <v>24.4</v>
      </c>
      <c r="F1614">
        <v>0</v>
      </c>
      <c r="G1614">
        <v>5</v>
      </c>
      <c r="H1614">
        <v>17</v>
      </c>
      <c r="I1614">
        <v>54</v>
      </c>
      <c r="J1614" t="s">
        <v>13</v>
      </c>
    </row>
    <row r="1615" spans="1:10">
      <c r="A1615">
        <v>1614</v>
      </c>
      <c r="B1615" s="1">
        <v>45042</v>
      </c>
      <c r="C1615" t="s">
        <v>10</v>
      </c>
      <c r="D1615">
        <v>699</v>
      </c>
      <c r="E1615">
        <v>15.2</v>
      </c>
      <c r="F1615">
        <v>5</v>
      </c>
      <c r="G1615">
        <v>0</v>
      </c>
      <c r="H1615">
        <v>3</v>
      </c>
      <c r="I1615">
        <v>4</v>
      </c>
      <c r="J1615" t="s">
        <v>13</v>
      </c>
    </row>
    <row r="1616" spans="1:10">
      <c r="A1616">
        <v>1615</v>
      </c>
      <c r="B1616" s="1">
        <v>45624</v>
      </c>
      <c r="C1616" t="s">
        <v>10</v>
      </c>
      <c r="D1616">
        <v>699</v>
      </c>
      <c r="E1616">
        <v>6.3</v>
      </c>
      <c r="F1616">
        <v>5</v>
      </c>
      <c r="G1616">
        <v>4</v>
      </c>
      <c r="H1616">
        <v>5</v>
      </c>
      <c r="I1616">
        <v>23</v>
      </c>
      <c r="J1616" t="s">
        <v>13</v>
      </c>
    </row>
    <row r="1617" spans="1:10">
      <c r="A1617">
        <v>1616</v>
      </c>
      <c r="B1617" s="1">
        <v>45295</v>
      </c>
      <c r="C1617" t="s">
        <v>14</v>
      </c>
      <c r="D1617">
        <v>399</v>
      </c>
      <c r="E1617">
        <v>16.2</v>
      </c>
      <c r="F1617">
        <v>4</v>
      </c>
      <c r="G1617">
        <v>1</v>
      </c>
      <c r="H1617">
        <v>5</v>
      </c>
      <c r="I1617">
        <v>1</v>
      </c>
      <c r="J1617" t="s">
        <v>13</v>
      </c>
    </row>
    <row r="1618" spans="1:10">
      <c r="A1618">
        <v>1617</v>
      </c>
      <c r="B1618" s="1">
        <v>45563</v>
      </c>
      <c r="C1618" t="s">
        <v>14</v>
      </c>
      <c r="D1618">
        <v>399</v>
      </c>
      <c r="E1618">
        <v>22.5</v>
      </c>
      <c r="F1618">
        <v>5</v>
      </c>
      <c r="G1618">
        <v>3</v>
      </c>
      <c r="H1618">
        <v>27</v>
      </c>
      <c r="I1618">
        <v>60</v>
      </c>
      <c r="J1618" t="s">
        <v>13</v>
      </c>
    </row>
    <row r="1619" spans="1:10">
      <c r="A1619">
        <v>1618</v>
      </c>
      <c r="B1619" s="1">
        <v>45035</v>
      </c>
      <c r="C1619" t="s">
        <v>12</v>
      </c>
      <c r="D1619">
        <v>199</v>
      </c>
      <c r="E1619">
        <v>9.5</v>
      </c>
      <c r="F1619">
        <v>4</v>
      </c>
      <c r="G1619">
        <v>1</v>
      </c>
      <c r="H1619">
        <v>11</v>
      </c>
      <c r="I1619">
        <v>58</v>
      </c>
      <c r="J1619" t="s">
        <v>13</v>
      </c>
    </row>
    <row r="1620" spans="1:10">
      <c r="A1620">
        <v>1619</v>
      </c>
      <c r="B1620" s="1">
        <v>45522</v>
      </c>
      <c r="C1620" t="s">
        <v>10</v>
      </c>
      <c r="D1620">
        <v>699</v>
      </c>
      <c r="E1620">
        <v>20.3</v>
      </c>
      <c r="F1620">
        <v>8</v>
      </c>
      <c r="G1620">
        <v>5</v>
      </c>
      <c r="H1620">
        <v>14</v>
      </c>
      <c r="I1620">
        <v>49</v>
      </c>
      <c r="J1620" t="s">
        <v>11</v>
      </c>
    </row>
    <row r="1621" spans="1:10">
      <c r="A1621">
        <v>1620</v>
      </c>
      <c r="B1621" s="1">
        <v>45080</v>
      </c>
      <c r="C1621" t="s">
        <v>10</v>
      </c>
      <c r="D1621">
        <v>699</v>
      </c>
      <c r="E1621">
        <v>23.5</v>
      </c>
      <c r="F1621">
        <v>6</v>
      </c>
      <c r="G1621">
        <v>4</v>
      </c>
      <c r="H1621">
        <v>23</v>
      </c>
      <c r="I1621">
        <v>2</v>
      </c>
      <c r="J1621" t="s">
        <v>13</v>
      </c>
    </row>
    <row r="1622" spans="1:10">
      <c r="A1622">
        <v>1621</v>
      </c>
      <c r="B1622" s="1">
        <v>45572</v>
      </c>
      <c r="C1622" t="s">
        <v>14</v>
      </c>
      <c r="D1622">
        <v>399</v>
      </c>
      <c r="E1622">
        <v>23.9</v>
      </c>
      <c r="F1622">
        <v>3</v>
      </c>
      <c r="G1622">
        <v>4</v>
      </c>
      <c r="H1622">
        <v>6</v>
      </c>
      <c r="I1622">
        <v>32</v>
      </c>
      <c r="J1622" t="s">
        <v>13</v>
      </c>
    </row>
    <row r="1623" spans="1:10">
      <c r="A1623">
        <v>1622</v>
      </c>
      <c r="B1623" s="1">
        <v>45410</v>
      </c>
      <c r="C1623" t="s">
        <v>10</v>
      </c>
      <c r="D1623">
        <v>699</v>
      </c>
      <c r="E1623">
        <v>13.7</v>
      </c>
      <c r="F1623">
        <v>1</v>
      </c>
      <c r="G1623">
        <v>4</v>
      </c>
      <c r="H1623">
        <v>27</v>
      </c>
      <c r="I1623">
        <v>51</v>
      </c>
      <c r="J1623" t="s">
        <v>11</v>
      </c>
    </row>
    <row r="1624" spans="1:10">
      <c r="A1624">
        <v>1623</v>
      </c>
      <c r="B1624" s="1">
        <v>45227</v>
      </c>
      <c r="C1624" t="s">
        <v>10</v>
      </c>
      <c r="D1624">
        <v>699</v>
      </c>
      <c r="E1624">
        <v>13.2</v>
      </c>
      <c r="F1624">
        <v>5</v>
      </c>
      <c r="G1624">
        <v>2</v>
      </c>
      <c r="H1624">
        <v>34</v>
      </c>
      <c r="I1624">
        <v>12</v>
      </c>
      <c r="J1624" t="s">
        <v>13</v>
      </c>
    </row>
    <row r="1625" spans="1:10">
      <c r="A1625">
        <v>1624</v>
      </c>
      <c r="B1625" s="1">
        <v>45045</v>
      </c>
      <c r="C1625" t="s">
        <v>12</v>
      </c>
      <c r="D1625">
        <v>199</v>
      </c>
      <c r="E1625">
        <v>6.5</v>
      </c>
      <c r="F1625">
        <v>5</v>
      </c>
      <c r="G1625">
        <v>1</v>
      </c>
      <c r="H1625">
        <v>22</v>
      </c>
      <c r="I1625">
        <v>29</v>
      </c>
      <c r="J1625" t="s">
        <v>11</v>
      </c>
    </row>
    <row r="1626" spans="1:10">
      <c r="A1626">
        <v>1625</v>
      </c>
      <c r="B1626" s="1">
        <v>45444</v>
      </c>
      <c r="C1626" t="s">
        <v>10</v>
      </c>
      <c r="D1626">
        <v>699</v>
      </c>
      <c r="E1626">
        <v>11.4</v>
      </c>
      <c r="F1626">
        <v>6</v>
      </c>
      <c r="G1626">
        <v>2</v>
      </c>
      <c r="H1626">
        <v>16</v>
      </c>
      <c r="I1626">
        <v>5</v>
      </c>
      <c r="J1626" t="s">
        <v>11</v>
      </c>
    </row>
    <row r="1627" spans="1:10">
      <c r="A1627">
        <v>1626</v>
      </c>
      <c r="B1627" s="1">
        <v>45510</v>
      </c>
      <c r="C1627" t="s">
        <v>12</v>
      </c>
      <c r="D1627">
        <v>199</v>
      </c>
      <c r="E1627">
        <v>16.5</v>
      </c>
      <c r="F1627">
        <v>3</v>
      </c>
      <c r="G1627">
        <v>3</v>
      </c>
      <c r="H1627">
        <v>24</v>
      </c>
      <c r="I1627">
        <v>50</v>
      </c>
      <c r="J1627" t="s">
        <v>11</v>
      </c>
    </row>
    <row r="1628" spans="1:10">
      <c r="A1628">
        <v>1627</v>
      </c>
      <c r="B1628" s="1">
        <v>45547</v>
      </c>
      <c r="C1628" t="s">
        <v>12</v>
      </c>
      <c r="D1628">
        <v>199</v>
      </c>
      <c r="E1628">
        <v>6.5</v>
      </c>
      <c r="F1628">
        <v>6</v>
      </c>
      <c r="G1628">
        <v>5</v>
      </c>
      <c r="H1628">
        <v>35</v>
      </c>
      <c r="I1628">
        <v>37</v>
      </c>
      <c r="J1628" t="s">
        <v>11</v>
      </c>
    </row>
    <row r="1629" spans="1:10">
      <c r="A1629">
        <v>1628</v>
      </c>
      <c r="B1629" s="1">
        <v>45078</v>
      </c>
      <c r="C1629" t="s">
        <v>14</v>
      </c>
      <c r="D1629">
        <v>399</v>
      </c>
      <c r="E1629">
        <v>8.9</v>
      </c>
      <c r="F1629">
        <v>1</v>
      </c>
      <c r="G1629">
        <v>0</v>
      </c>
      <c r="H1629">
        <v>19</v>
      </c>
      <c r="I1629">
        <v>26</v>
      </c>
      <c r="J1629" t="s">
        <v>13</v>
      </c>
    </row>
    <row r="1630" spans="1:10">
      <c r="A1630">
        <v>1629</v>
      </c>
      <c r="B1630" s="1">
        <v>45097</v>
      </c>
      <c r="C1630" t="s">
        <v>10</v>
      </c>
      <c r="D1630">
        <v>699</v>
      </c>
      <c r="E1630">
        <v>16</v>
      </c>
      <c r="F1630">
        <v>3</v>
      </c>
      <c r="G1630">
        <v>1</v>
      </c>
      <c r="H1630">
        <v>32</v>
      </c>
      <c r="I1630">
        <v>56</v>
      </c>
      <c r="J1630" t="s">
        <v>13</v>
      </c>
    </row>
    <row r="1631" spans="1:10">
      <c r="A1631">
        <v>1630</v>
      </c>
      <c r="B1631" s="1">
        <v>45030</v>
      </c>
      <c r="C1631" t="s">
        <v>12</v>
      </c>
      <c r="D1631">
        <v>199</v>
      </c>
      <c r="E1631">
        <v>7</v>
      </c>
      <c r="F1631">
        <v>8</v>
      </c>
      <c r="G1631">
        <v>5</v>
      </c>
      <c r="H1631">
        <v>27</v>
      </c>
      <c r="I1631">
        <v>59</v>
      </c>
      <c r="J1631" t="s">
        <v>11</v>
      </c>
    </row>
    <row r="1632" spans="1:10">
      <c r="A1632">
        <v>1631</v>
      </c>
      <c r="B1632" s="1">
        <v>45062</v>
      </c>
      <c r="C1632" t="s">
        <v>12</v>
      </c>
      <c r="D1632">
        <v>199</v>
      </c>
      <c r="E1632">
        <v>20.9</v>
      </c>
      <c r="F1632">
        <v>0</v>
      </c>
      <c r="G1632">
        <v>5</v>
      </c>
      <c r="H1632">
        <v>3</v>
      </c>
      <c r="I1632">
        <v>10</v>
      </c>
      <c r="J1632" t="s">
        <v>13</v>
      </c>
    </row>
    <row r="1633" spans="1:10">
      <c r="A1633">
        <v>1632</v>
      </c>
      <c r="B1633" s="1">
        <v>45497</v>
      </c>
      <c r="C1633" t="s">
        <v>10</v>
      </c>
      <c r="D1633">
        <v>699</v>
      </c>
      <c r="E1633">
        <v>23</v>
      </c>
      <c r="F1633">
        <v>6</v>
      </c>
      <c r="G1633">
        <v>2</v>
      </c>
      <c r="H1633">
        <v>34</v>
      </c>
      <c r="I1633">
        <v>8</v>
      </c>
      <c r="J1633" t="s">
        <v>11</v>
      </c>
    </row>
    <row r="1634" spans="1:10">
      <c r="A1634">
        <v>1633</v>
      </c>
      <c r="B1634" s="1">
        <v>44973</v>
      </c>
      <c r="C1634" t="s">
        <v>12</v>
      </c>
      <c r="D1634">
        <v>199</v>
      </c>
      <c r="E1634">
        <v>3.4</v>
      </c>
      <c r="F1634">
        <v>5</v>
      </c>
      <c r="G1634">
        <v>4</v>
      </c>
      <c r="H1634">
        <v>19</v>
      </c>
      <c r="I1634">
        <v>38</v>
      </c>
      <c r="J1634" t="s">
        <v>11</v>
      </c>
    </row>
    <row r="1635" spans="1:10">
      <c r="A1635">
        <v>1634</v>
      </c>
      <c r="B1635" s="1">
        <v>45373</v>
      </c>
      <c r="C1635" t="s">
        <v>12</v>
      </c>
      <c r="D1635">
        <v>199</v>
      </c>
      <c r="E1635">
        <v>23.8</v>
      </c>
      <c r="F1635">
        <v>6</v>
      </c>
      <c r="G1635">
        <v>5</v>
      </c>
      <c r="H1635">
        <v>23</v>
      </c>
      <c r="I1635">
        <v>28</v>
      </c>
      <c r="J1635" t="s">
        <v>11</v>
      </c>
    </row>
    <row r="1636" spans="1:10">
      <c r="A1636">
        <v>1635</v>
      </c>
      <c r="B1636" s="1">
        <v>45448</v>
      </c>
      <c r="C1636" t="s">
        <v>14</v>
      </c>
      <c r="D1636">
        <v>399</v>
      </c>
      <c r="E1636">
        <v>17.7</v>
      </c>
      <c r="F1636">
        <v>2</v>
      </c>
      <c r="G1636">
        <v>5</v>
      </c>
      <c r="H1636">
        <v>31</v>
      </c>
      <c r="I1636">
        <v>49</v>
      </c>
      <c r="J1636" t="s">
        <v>11</v>
      </c>
    </row>
    <row r="1637" spans="1:10">
      <c r="A1637">
        <v>1636</v>
      </c>
      <c r="B1637" s="1">
        <v>45255</v>
      </c>
      <c r="C1637" t="s">
        <v>12</v>
      </c>
      <c r="D1637">
        <v>199</v>
      </c>
      <c r="E1637">
        <v>22.4</v>
      </c>
      <c r="F1637">
        <v>5</v>
      </c>
      <c r="G1637">
        <v>5</v>
      </c>
      <c r="H1637">
        <v>10</v>
      </c>
      <c r="I1637">
        <v>41</v>
      </c>
      <c r="J1637" t="s">
        <v>11</v>
      </c>
    </row>
    <row r="1638" spans="1:10">
      <c r="A1638">
        <v>1637</v>
      </c>
      <c r="B1638" s="1">
        <v>45276</v>
      </c>
      <c r="C1638" t="s">
        <v>14</v>
      </c>
      <c r="D1638">
        <v>399</v>
      </c>
      <c r="E1638">
        <v>13</v>
      </c>
      <c r="F1638">
        <v>4</v>
      </c>
      <c r="G1638">
        <v>0</v>
      </c>
      <c r="H1638">
        <v>12</v>
      </c>
      <c r="I1638">
        <v>14</v>
      </c>
      <c r="J1638" t="s">
        <v>13</v>
      </c>
    </row>
    <row r="1639" spans="1:10">
      <c r="A1639">
        <v>1638</v>
      </c>
      <c r="B1639" s="1">
        <v>45253</v>
      </c>
      <c r="C1639" t="s">
        <v>12</v>
      </c>
      <c r="D1639">
        <v>199</v>
      </c>
      <c r="E1639">
        <v>22.5</v>
      </c>
      <c r="F1639">
        <v>8</v>
      </c>
      <c r="G1639">
        <v>3</v>
      </c>
      <c r="H1639">
        <v>34</v>
      </c>
      <c r="I1639">
        <v>18</v>
      </c>
      <c r="J1639" t="s">
        <v>11</v>
      </c>
    </row>
    <row r="1640" spans="1:10">
      <c r="A1640">
        <v>1639</v>
      </c>
      <c r="B1640" s="1">
        <v>45557</v>
      </c>
      <c r="C1640" t="s">
        <v>12</v>
      </c>
      <c r="D1640">
        <v>199</v>
      </c>
      <c r="E1640">
        <v>1.5</v>
      </c>
      <c r="F1640">
        <v>3</v>
      </c>
      <c r="G1640">
        <v>3</v>
      </c>
      <c r="H1640">
        <v>10</v>
      </c>
      <c r="I1640">
        <v>33</v>
      </c>
      <c r="J1640" t="s">
        <v>11</v>
      </c>
    </row>
    <row r="1641" spans="1:10">
      <c r="A1641">
        <v>1640</v>
      </c>
      <c r="B1641" s="1">
        <v>45376</v>
      </c>
      <c r="C1641" t="s">
        <v>14</v>
      </c>
      <c r="D1641">
        <v>399</v>
      </c>
      <c r="E1641">
        <v>9</v>
      </c>
      <c r="F1641">
        <v>2</v>
      </c>
      <c r="G1641">
        <v>0</v>
      </c>
      <c r="H1641">
        <v>7</v>
      </c>
      <c r="I1641">
        <v>18</v>
      </c>
      <c r="J1641" t="s">
        <v>13</v>
      </c>
    </row>
    <row r="1642" spans="1:10">
      <c r="A1642">
        <v>1641</v>
      </c>
      <c r="B1642" s="1">
        <v>45164</v>
      </c>
      <c r="C1642" t="s">
        <v>12</v>
      </c>
      <c r="D1642">
        <v>199</v>
      </c>
      <c r="E1642">
        <v>7.6</v>
      </c>
      <c r="F1642">
        <v>4</v>
      </c>
      <c r="G1642">
        <v>4</v>
      </c>
      <c r="H1642">
        <v>11</v>
      </c>
      <c r="I1642">
        <v>48</v>
      </c>
      <c r="J1642" t="s">
        <v>11</v>
      </c>
    </row>
    <row r="1643" spans="1:10">
      <c r="A1643">
        <v>1642</v>
      </c>
      <c r="B1643" s="1">
        <v>45099</v>
      </c>
      <c r="C1643" t="s">
        <v>10</v>
      </c>
      <c r="D1643">
        <v>699</v>
      </c>
      <c r="E1643">
        <v>4</v>
      </c>
      <c r="F1643">
        <v>3</v>
      </c>
      <c r="G1643">
        <v>4</v>
      </c>
      <c r="H1643">
        <v>18</v>
      </c>
      <c r="I1643">
        <v>53</v>
      </c>
      <c r="J1643" t="s">
        <v>11</v>
      </c>
    </row>
    <row r="1644" spans="1:10">
      <c r="A1644">
        <v>1643</v>
      </c>
      <c r="B1644" s="1">
        <v>45427</v>
      </c>
      <c r="C1644" t="s">
        <v>12</v>
      </c>
      <c r="D1644">
        <v>199</v>
      </c>
      <c r="E1644">
        <v>24</v>
      </c>
      <c r="F1644">
        <v>8</v>
      </c>
      <c r="G1644">
        <v>4</v>
      </c>
      <c r="H1644">
        <v>3</v>
      </c>
      <c r="I1644">
        <v>51</v>
      </c>
      <c r="J1644" t="s">
        <v>11</v>
      </c>
    </row>
    <row r="1645" spans="1:10">
      <c r="A1645">
        <v>1644</v>
      </c>
      <c r="B1645" s="1">
        <v>45391</v>
      </c>
      <c r="C1645" t="s">
        <v>12</v>
      </c>
      <c r="D1645">
        <v>199</v>
      </c>
      <c r="E1645">
        <v>5.5</v>
      </c>
      <c r="F1645">
        <v>6</v>
      </c>
      <c r="G1645">
        <v>5</v>
      </c>
      <c r="H1645">
        <v>24</v>
      </c>
      <c r="I1645">
        <v>28</v>
      </c>
      <c r="J1645" t="s">
        <v>11</v>
      </c>
    </row>
    <row r="1646" spans="1:10">
      <c r="A1646">
        <v>1645</v>
      </c>
      <c r="B1646" s="1">
        <v>45196</v>
      </c>
      <c r="C1646" t="s">
        <v>14</v>
      </c>
      <c r="D1646">
        <v>399</v>
      </c>
      <c r="E1646">
        <v>18</v>
      </c>
      <c r="F1646">
        <v>1</v>
      </c>
      <c r="G1646">
        <v>3</v>
      </c>
      <c r="H1646">
        <v>8</v>
      </c>
      <c r="I1646">
        <v>56</v>
      </c>
      <c r="J1646" t="s">
        <v>11</v>
      </c>
    </row>
    <row r="1647" spans="1:10">
      <c r="A1647">
        <v>1646</v>
      </c>
      <c r="B1647" s="1">
        <v>45154</v>
      </c>
      <c r="C1647" t="s">
        <v>12</v>
      </c>
      <c r="D1647">
        <v>199</v>
      </c>
      <c r="E1647">
        <v>24.8</v>
      </c>
      <c r="F1647">
        <v>1</v>
      </c>
      <c r="G1647">
        <v>2</v>
      </c>
      <c r="H1647">
        <v>9</v>
      </c>
      <c r="I1647">
        <v>51</v>
      </c>
      <c r="J1647" t="s">
        <v>11</v>
      </c>
    </row>
    <row r="1648" spans="1:10">
      <c r="A1648">
        <v>1647</v>
      </c>
      <c r="B1648" s="1">
        <v>45452</v>
      </c>
      <c r="C1648" t="s">
        <v>10</v>
      </c>
      <c r="D1648">
        <v>699</v>
      </c>
      <c r="E1648">
        <v>8.5</v>
      </c>
      <c r="F1648">
        <v>8</v>
      </c>
      <c r="G1648">
        <v>2</v>
      </c>
      <c r="H1648">
        <v>5</v>
      </c>
      <c r="I1648">
        <v>17</v>
      </c>
      <c r="J1648" t="s">
        <v>11</v>
      </c>
    </row>
    <row r="1649" spans="1:10">
      <c r="A1649">
        <v>1648</v>
      </c>
      <c r="B1649" s="1">
        <v>45649</v>
      </c>
      <c r="C1649" t="s">
        <v>10</v>
      </c>
      <c r="D1649">
        <v>699</v>
      </c>
      <c r="E1649">
        <v>17.8</v>
      </c>
      <c r="F1649">
        <v>5</v>
      </c>
      <c r="G1649">
        <v>0</v>
      </c>
      <c r="H1649">
        <v>5</v>
      </c>
      <c r="I1649">
        <v>27</v>
      </c>
      <c r="J1649" t="s">
        <v>11</v>
      </c>
    </row>
    <row r="1650" spans="1:10">
      <c r="A1650">
        <v>1649</v>
      </c>
      <c r="B1650" s="1">
        <v>44963</v>
      </c>
      <c r="C1650" t="s">
        <v>10</v>
      </c>
      <c r="D1650">
        <v>699</v>
      </c>
      <c r="E1650">
        <v>5.2</v>
      </c>
      <c r="F1650">
        <v>8</v>
      </c>
      <c r="G1650">
        <v>5</v>
      </c>
      <c r="H1650">
        <v>21</v>
      </c>
      <c r="I1650">
        <v>53</v>
      </c>
      <c r="J1650" t="s">
        <v>13</v>
      </c>
    </row>
    <row r="1651" spans="1:10">
      <c r="A1651">
        <v>1650</v>
      </c>
      <c r="B1651" s="1">
        <v>45408</v>
      </c>
      <c r="C1651" t="s">
        <v>10</v>
      </c>
      <c r="D1651">
        <v>699</v>
      </c>
      <c r="E1651">
        <v>6.5</v>
      </c>
      <c r="F1651">
        <v>6</v>
      </c>
      <c r="G1651">
        <v>1</v>
      </c>
      <c r="H1651">
        <v>1</v>
      </c>
      <c r="I1651">
        <v>43</v>
      </c>
      <c r="J1651" t="s">
        <v>11</v>
      </c>
    </row>
    <row r="1652" spans="1:10">
      <c r="A1652">
        <v>1651</v>
      </c>
      <c r="B1652" s="1">
        <v>45017</v>
      </c>
      <c r="C1652" t="s">
        <v>12</v>
      </c>
      <c r="D1652">
        <v>199</v>
      </c>
      <c r="E1652">
        <v>20.399999999999999</v>
      </c>
      <c r="F1652">
        <v>7</v>
      </c>
      <c r="G1652">
        <v>2</v>
      </c>
      <c r="H1652">
        <v>32</v>
      </c>
      <c r="I1652">
        <v>8</v>
      </c>
      <c r="J1652" t="s">
        <v>11</v>
      </c>
    </row>
    <row r="1653" spans="1:10">
      <c r="A1653">
        <v>1652</v>
      </c>
      <c r="B1653" s="1">
        <v>45654</v>
      </c>
      <c r="C1653" t="s">
        <v>10</v>
      </c>
      <c r="D1653">
        <v>699</v>
      </c>
      <c r="E1653">
        <v>0.6</v>
      </c>
      <c r="F1653">
        <v>1</v>
      </c>
      <c r="G1653">
        <v>3</v>
      </c>
      <c r="H1653">
        <v>14</v>
      </c>
      <c r="I1653">
        <v>35</v>
      </c>
      <c r="J1653" t="s">
        <v>11</v>
      </c>
    </row>
    <row r="1654" spans="1:10">
      <c r="A1654">
        <v>1653</v>
      </c>
      <c r="B1654" s="1">
        <v>45167</v>
      </c>
      <c r="C1654" t="s">
        <v>12</v>
      </c>
      <c r="D1654">
        <v>199</v>
      </c>
      <c r="E1654">
        <v>10.7</v>
      </c>
      <c r="F1654">
        <v>4</v>
      </c>
      <c r="G1654">
        <v>4</v>
      </c>
      <c r="H1654">
        <v>3</v>
      </c>
      <c r="I1654">
        <v>24</v>
      </c>
      <c r="J1654" t="s">
        <v>11</v>
      </c>
    </row>
    <row r="1655" spans="1:10">
      <c r="A1655">
        <v>1654</v>
      </c>
      <c r="B1655" s="1">
        <v>45226</v>
      </c>
      <c r="C1655" t="s">
        <v>10</v>
      </c>
      <c r="D1655">
        <v>699</v>
      </c>
      <c r="E1655">
        <v>12.4</v>
      </c>
      <c r="F1655">
        <v>2</v>
      </c>
      <c r="G1655">
        <v>2</v>
      </c>
      <c r="H1655">
        <v>23</v>
      </c>
      <c r="I1655">
        <v>53</v>
      </c>
      <c r="J1655" t="s">
        <v>11</v>
      </c>
    </row>
    <row r="1656" spans="1:10">
      <c r="A1656">
        <v>1655</v>
      </c>
      <c r="B1656" s="1">
        <v>45229</v>
      </c>
      <c r="C1656" t="s">
        <v>10</v>
      </c>
      <c r="D1656">
        <v>699</v>
      </c>
      <c r="E1656">
        <v>12.5</v>
      </c>
      <c r="F1656">
        <v>6</v>
      </c>
      <c r="G1656">
        <v>4</v>
      </c>
      <c r="H1656">
        <v>32</v>
      </c>
      <c r="I1656">
        <v>22</v>
      </c>
      <c r="J1656" t="s">
        <v>11</v>
      </c>
    </row>
    <row r="1657" spans="1:10">
      <c r="A1657">
        <v>1656</v>
      </c>
      <c r="B1657" s="1">
        <v>45605</v>
      </c>
      <c r="C1657" t="s">
        <v>12</v>
      </c>
      <c r="D1657">
        <v>199</v>
      </c>
      <c r="E1657">
        <v>3.3</v>
      </c>
      <c r="F1657">
        <v>4</v>
      </c>
      <c r="G1657">
        <v>3</v>
      </c>
      <c r="H1657">
        <v>15</v>
      </c>
      <c r="I1657">
        <v>28</v>
      </c>
      <c r="J1657" t="s">
        <v>11</v>
      </c>
    </row>
    <row r="1658" spans="1:10">
      <c r="A1658">
        <v>1657</v>
      </c>
      <c r="B1658" s="1">
        <v>45334</v>
      </c>
      <c r="C1658" t="s">
        <v>14</v>
      </c>
      <c r="D1658">
        <v>399</v>
      </c>
      <c r="E1658">
        <v>4.8</v>
      </c>
      <c r="F1658">
        <v>5</v>
      </c>
      <c r="G1658">
        <v>5</v>
      </c>
      <c r="H1658">
        <v>8</v>
      </c>
      <c r="I1658">
        <v>7</v>
      </c>
      <c r="J1658" t="s">
        <v>11</v>
      </c>
    </row>
    <row r="1659" spans="1:10">
      <c r="A1659">
        <v>1658</v>
      </c>
      <c r="B1659" s="1">
        <v>45167</v>
      </c>
      <c r="C1659" t="s">
        <v>10</v>
      </c>
      <c r="D1659">
        <v>699</v>
      </c>
      <c r="E1659">
        <v>19.5</v>
      </c>
      <c r="F1659">
        <v>7</v>
      </c>
      <c r="G1659">
        <v>3</v>
      </c>
      <c r="H1659">
        <v>9</v>
      </c>
      <c r="I1659">
        <v>38</v>
      </c>
      <c r="J1659" t="s">
        <v>11</v>
      </c>
    </row>
    <row r="1660" spans="1:10">
      <c r="A1660">
        <v>1659</v>
      </c>
      <c r="B1660" s="1">
        <v>45257</v>
      </c>
      <c r="C1660" t="s">
        <v>12</v>
      </c>
      <c r="D1660">
        <v>199</v>
      </c>
      <c r="E1660">
        <v>7.1</v>
      </c>
      <c r="F1660">
        <v>3</v>
      </c>
      <c r="G1660">
        <v>3</v>
      </c>
      <c r="H1660">
        <v>19</v>
      </c>
      <c r="I1660">
        <v>3</v>
      </c>
      <c r="J1660" t="s">
        <v>13</v>
      </c>
    </row>
    <row r="1661" spans="1:10">
      <c r="A1661">
        <v>1660</v>
      </c>
      <c r="B1661" s="1">
        <v>44982</v>
      </c>
      <c r="C1661" t="s">
        <v>14</v>
      </c>
      <c r="D1661">
        <v>399</v>
      </c>
      <c r="E1661">
        <v>10.6</v>
      </c>
      <c r="F1661">
        <v>7</v>
      </c>
      <c r="G1661">
        <v>3</v>
      </c>
      <c r="H1661">
        <v>21</v>
      </c>
      <c r="I1661">
        <v>25</v>
      </c>
      <c r="J1661" t="s">
        <v>11</v>
      </c>
    </row>
    <row r="1662" spans="1:10">
      <c r="A1662">
        <v>1661</v>
      </c>
      <c r="B1662" s="1">
        <v>45385</v>
      </c>
      <c r="C1662" t="s">
        <v>14</v>
      </c>
      <c r="D1662">
        <v>399</v>
      </c>
      <c r="E1662">
        <v>18.3</v>
      </c>
      <c r="F1662">
        <v>5</v>
      </c>
      <c r="G1662">
        <v>5</v>
      </c>
      <c r="H1662">
        <v>32</v>
      </c>
      <c r="I1662">
        <v>52</v>
      </c>
      <c r="J1662" t="s">
        <v>11</v>
      </c>
    </row>
    <row r="1663" spans="1:10">
      <c r="A1663">
        <v>1662</v>
      </c>
      <c r="B1663" s="1">
        <v>45039</v>
      </c>
      <c r="C1663" t="s">
        <v>14</v>
      </c>
      <c r="D1663">
        <v>399</v>
      </c>
      <c r="E1663">
        <v>14.5</v>
      </c>
      <c r="F1663">
        <v>2</v>
      </c>
      <c r="G1663">
        <v>4</v>
      </c>
      <c r="H1663">
        <v>15</v>
      </c>
      <c r="I1663">
        <v>13</v>
      </c>
      <c r="J1663" t="s">
        <v>13</v>
      </c>
    </row>
    <row r="1664" spans="1:10">
      <c r="A1664">
        <v>1663</v>
      </c>
      <c r="B1664" s="1">
        <v>45315</v>
      </c>
      <c r="C1664" t="s">
        <v>10</v>
      </c>
      <c r="D1664">
        <v>699</v>
      </c>
      <c r="E1664">
        <v>3.7</v>
      </c>
      <c r="F1664">
        <v>8</v>
      </c>
      <c r="G1664">
        <v>0</v>
      </c>
      <c r="H1664">
        <v>22</v>
      </c>
      <c r="I1664">
        <v>60</v>
      </c>
      <c r="J1664" t="s">
        <v>11</v>
      </c>
    </row>
    <row r="1665" spans="1:10">
      <c r="A1665">
        <v>1664</v>
      </c>
      <c r="B1665" s="1">
        <v>45142</v>
      </c>
      <c r="C1665" t="s">
        <v>12</v>
      </c>
      <c r="D1665">
        <v>199</v>
      </c>
      <c r="E1665">
        <v>22.8</v>
      </c>
      <c r="F1665">
        <v>8</v>
      </c>
      <c r="G1665">
        <v>0</v>
      </c>
      <c r="H1665">
        <v>22</v>
      </c>
      <c r="I1665">
        <v>41</v>
      </c>
      <c r="J1665" t="s">
        <v>11</v>
      </c>
    </row>
    <row r="1666" spans="1:10">
      <c r="A1666">
        <v>1665</v>
      </c>
      <c r="B1666" s="1">
        <v>45161</v>
      </c>
      <c r="C1666" t="s">
        <v>14</v>
      </c>
      <c r="D1666">
        <v>399</v>
      </c>
      <c r="E1666">
        <v>5.4</v>
      </c>
      <c r="F1666">
        <v>2</v>
      </c>
      <c r="G1666">
        <v>4</v>
      </c>
      <c r="H1666">
        <v>35</v>
      </c>
      <c r="I1666">
        <v>25</v>
      </c>
      <c r="J1666" t="s">
        <v>13</v>
      </c>
    </row>
    <row r="1667" spans="1:10">
      <c r="A1667">
        <v>1666</v>
      </c>
      <c r="B1667" s="1">
        <v>45181</v>
      </c>
      <c r="C1667" t="s">
        <v>14</v>
      </c>
      <c r="D1667">
        <v>399</v>
      </c>
      <c r="E1667">
        <v>22.8</v>
      </c>
      <c r="F1667">
        <v>5</v>
      </c>
      <c r="G1667">
        <v>3</v>
      </c>
      <c r="H1667">
        <v>11</v>
      </c>
      <c r="I1667">
        <v>13</v>
      </c>
      <c r="J1667" t="s">
        <v>13</v>
      </c>
    </row>
    <row r="1668" spans="1:10">
      <c r="A1668">
        <v>1667</v>
      </c>
      <c r="B1668" s="1">
        <v>45423</v>
      </c>
      <c r="C1668" t="s">
        <v>12</v>
      </c>
      <c r="D1668">
        <v>199</v>
      </c>
      <c r="E1668">
        <v>21.2</v>
      </c>
      <c r="F1668">
        <v>8</v>
      </c>
      <c r="G1668">
        <v>0</v>
      </c>
      <c r="H1668">
        <v>3</v>
      </c>
      <c r="I1668">
        <v>32</v>
      </c>
      <c r="J1668" t="s">
        <v>11</v>
      </c>
    </row>
    <row r="1669" spans="1:10">
      <c r="A1669">
        <v>1668</v>
      </c>
      <c r="B1669" s="1">
        <v>45180</v>
      </c>
      <c r="C1669" t="s">
        <v>12</v>
      </c>
      <c r="D1669">
        <v>199</v>
      </c>
      <c r="E1669">
        <v>7.4</v>
      </c>
      <c r="F1669">
        <v>0</v>
      </c>
      <c r="G1669">
        <v>1</v>
      </c>
      <c r="H1669">
        <v>11</v>
      </c>
      <c r="I1669">
        <v>40</v>
      </c>
      <c r="J1669" t="s">
        <v>13</v>
      </c>
    </row>
    <row r="1670" spans="1:10">
      <c r="A1670">
        <v>1669</v>
      </c>
      <c r="B1670" s="1">
        <v>45203</v>
      </c>
      <c r="C1670" t="s">
        <v>12</v>
      </c>
      <c r="D1670">
        <v>199</v>
      </c>
      <c r="E1670">
        <v>18.899999999999999</v>
      </c>
      <c r="F1670">
        <v>6</v>
      </c>
      <c r="G1670">
        <v>5</v>
      </c>
      <c r="H1670">
        <v>18</v>
      </c>
      <c r="I1670">
        <v>25</v>
      </c>
      <c r="J1670" t="s">
        <v>11</v>
      </c>
    </row>
    <row r="1671" spans="1:10">
      <c r="A1671">
        <v>1670</v>
      </c>
      <c r="B1671" s="1">
        <v>45481</v>
      </c>
      <c r="C1671" t="s">
        <v>12</v>
      </c>
      <c r="D1671">
        <v>199</v>
      </c>
      <c r="E1671">
        <v>2.2999999999999998</v>
      </c>
      <c r="F1671">
        <v>6</v>
      </c>
      <c r="G1671">
        <v>0</v>
      </c>
      <c r="H1671">
        <v>5</v>
      </c>
      <c r="I1671">
        <v>0</v>
      </c>
      <c r="J1671" t="s">
        <v>13</v>
      </c>
    </row>
    <row r="1672" spans="1:10">
      <c r="A1672">
        <v>1671</v>
      </c>
      <c r="B1672" s="1">
        <v>45246</v>
      </c>
      <c r="C1672" t="s">
        <v>10</v>
      </c>
      <c r="D1672">
        <v>699</v>
      </c>
      <c r="E1672">
        <v>2.8</v>
      </c>
      <c r="F1672">
        <v>6</v>
      </c>
      <c r="G1672">
        <v>1</v>
      </c>
      <c r="H1672">
        <v>10</v>
      </c>
      <c r="I1672">
        <v>53</v>
      </c>
      <c r="J1672" t="s">
        <v>11</v>
      </c>
    </row>
    <row r="1673" spans="1:10">
      <c r="A1673">
        <v>1672</v>
      </c>
      <c r="B1673" s="1">
        <v>45029</v>
      </c>
      <c r="C1673" t="s">
        <v>14</v>
      </c>
      <c r="D1673">
        <v>399</v>
      </c>
      <c r="E1673">
        <v>13.1</v>
      </c>
      <c r="F1673">
        <v>0</v>
      </c>
      <c r="G1673">
        <v>2</v>
      </c>
      <c r="H1673">
        <v>28</v>
      </c>
      <c r="I1673">
        <v>17</v>
      </c>
      <c r="J1673" t="s">
        <v>13</v>
      </c>
    </row>
    <row r="1674" spans="1:10">
      <c r="A1674">
        <v>1673</v>
      </c>
      <c r="B1674" s="1">
        <v>45501</v>
      </c>
      <c r="C1674" t="s">
        <v>14</v>
      </c>
      <c r="D1674">
        <v>399</v>
      </c>
      <c r="E1674">
        <v>9.6999999999999993</v>
      </c>
      <c r="F1674">
        <v>6</v>
      </c>
      <c r="G1674">
        <v>0</v>
      </c>
      <c r="H1674">
        <v>31</v>
      </c>
      <c r="I1674">
        <v>14</v>
      </c>
      <c r="J1674" t="s">
        <v>13</v>
      </c>
    </row>
    <row r="1675" spans="1:10">
      <c r="A1675">
        <v>1674</v>
      </c>
      <c r="B1675" s="1">
        <v>45435</v>
      </c>
      <c r="C1675" t="s">
        <v>14</v>
      </c>
      <c r="D1675">
        <v>399</v>
      </c>
      <c r="E1675">
        <v>7.5</v>
      </c>
      <c r="F1675">
        <v>8</v>
      </c>
      <c r="G1675">
        <v>4</v>
      </c>
      <c r="H1675">
        <v>31</v>
      </c>
      <c r="I1675">
        <v>15</v>
      </c>
      <c r="J1675" t="s">
        <v>11</v>
      </c>
    </row>
    <row r="1676" spans="1:10">
      <c r="A1676">
        <v>1675</v>
      </c>
      <c r="B1676" s="1">
        <v>45518</v>
      </c>
      <c r="C1676" t="s">
        <v>10</v>
      </c>
      <c r="D1676">
        <v>699</v>
      </c>
      <c r="E1676">
        <v>23.8</v>
      </c>
      <c r="F1676">
        <v>8</v>
      </c>
      <c r="G1676">
        <v>5</v>
      </c>
      <c r="H1676">
        <v>26</v>
      </c>
      <c r="I1676">
        <v>6</v>
      </c>
      <c r="J1676" t="s">
        <v>11</v>
      </c>
    </row>
    <row r="1677" spans="1:10">
      <c r="A1677">
        <v>1676</v>
      </c>
      <c r="B1677" s="1">
        <v>45585</v>
      </c>
      <c r="C1677" t="s">
        <v>12</v>
      </c>
      <c r="D1677">
        <v>199</v>
      </c>
      <c r="E1677">
        <v>19.399999999999999</v>
      </c>
      <c r="F1677">
        <v>7</v>
      </c>
      <c r="G1677">
        <v>2</v>
      </c>
      <c r="H1677">
        <v>26</v>
      </c>
      <c r="I1677">
        <v>30</v>
      </c>
      <c r="J1677" t="s">
        <v>11</v>
      </c>
    </row>
    <row r="1678" spans="1:10">
      <c r="A1678">
        <v>1677</v>
      </c>
      <c r="B1678" s="1">
        <v>45428</v>
      </c>
      <c r="C1678" t="s">
        <v>14</v>
      </c>
      <c r="D1678">
        <v>399</v>
      </c>
      <c r="E1678">
        <v>4</v>
      </c>
      <c r="F1678">
        <v>1</v>
      </c>
      <c r="G1678">
        <v>0</v>
      </c>
      <c r="H1678">
        <v>22</v>
      </c>
      <c r="I1678">
        <v>35</v>
      </c>
      <c r="J1678" t="s">
        <v>11</v>
      </c>
    </row>
    <row r="1679" spans="1:10">
      <c r="A1679">
        <v>1678</v>
      </c>
      <c r="B1679" s="1">
        <v>45507</v>
      </c>
      <c r="C1679" t="s">
        <v>10</v>
      </c>
      <c r="D1679">
        <v>699</v>
      </c>
      <c r="E1679">
        <v>2.6</v>
      </c>
      <c r="F1679">
        <v>6</v>
      </c>
      <c r="G1679">
        <v>4</v>
      </c>
      <c r="H1679">
        <v>16</v>
      </c>
      <c r="I1679">
        <v>53</v>
      </c>
      <c r="J1679" t="s">
        <v>11</v>
      </c>
    </row>
    <row r="1680" spans="1:10">
      <c r="A1680">
        <v>1679</v>
      </c>
      <c r="B1680" s="1">
        <v>45081</v>
      </c>
      <c r="C1680" t="s">
        <v>12</v>
      </c>
      <c r="D1680">
        <v>199</v>
      </c>
      <c r="E1680">
        <v>19.3</v>
      </c>
      <c r="F1680">
        <v>4</v>
      </c>
      <c r="G1680">
        <v>3</v>
      </c>
      <c r="H1680">
        <v>4</v>
      </c>
      <c r="I1680">
        <v>19</v>
      </c>
      <c r="J1680" t="s">
        <v>13</v>
      </c>
    </row>
    <row r="1681" spans="1:10">
      <c r="A1681">
        <v>1680</v>
      </c>
      <c r="B1681" s="1">
        <v>45502</v>
      </c>
      <c r="C1681" t="s">
        <v>12</v>
      </c>
      <c r="D1681">
        <v>199</v>
      </c>
      <c r="E1681">
        <v>17.399999999999999</v>
      </c>
      <c r="F1681">
        <v>6</v>
      </c>
      <c r="G1681">
        <v>0</v>
      </c>
      <c r="H1681">
        <v>21</v>
      </c>
      <c r="I1681">
        <v>17</v>
      </c>
      <c r="J1681" t="s">
        <v>13</v>
      </c>
    </row>
    <row r="1682" spans="1:10">
      <c r="A1682">
        <v>1681</v>
      </c>
      <c r="B1682" s="1">
        <v>45453</v>
      </c>
      <c r="C1682" t="s">
        <v>14</v>
      </c>
      <c r="D1682">
        <v>399</v>
      </c>
      <c r="E1682">
        <v>12.7</v>
      </c>
      <c r="F1682">
        <v>3</v>
      </c>
      <c r="G1682">
        <v>2</v>
      </c>
      <c r="H1682">
        <v>35</v>
      </c>
      <c r="I1682">
        <v>29</v>
      </c>
      <c r="J1682" t="s">
        <v>13</v>
      </c>
    </row>
    <row r="1683" spans="1:10">
      <c r="A1683">
        <v>1682</v>
      </c>
      <c r="B1683" s="1">
        <v>44940</v>
      </c>
      <c r="C1683" t="s">
        <v>10</v>
      </c>
      <c r="D1683">
        <v>699</v>
      </c>
      <c r="E1683">
        <v>23.1</v>
      </c>
      <c r="F1683">
        <v>6</v>
      </c>
      <c r="G1683">
        <v>5</v>
      </c>
      <c r="H1683">
        <v>6</v>
      </c>
      <c r="I1683">
        <v>4</v>
      </c>
      <c r="J1683" t="s">
        <v>11</v>
      </c>
    </row>
    <row r="1684" spans="1:10">
      <c r="A1684">
        <v>1683</v>
      </c>
      <c r="B1684" s="1">
        <v>45043</v>
      </c>
      <c r="C1684" t="s">
        <v>12</v>
      </c>
      <c r="D1684">
        <v>199</v>
      </c>
      <c r="E1684">
        <v>18.8</v>
      </c>
      <c r="F1684">
        <v>2</v>
      </c>
      <c r="G1684">
        <v>1</v>
      </c>
      <c r="H1684">
        <v>34</v>
      </c>
      <c r="I1684">
        <v>28</v>
      </c>
      <c r="J1684" t="s">
        <v>13</v>
      </c>
    </row>
    <row r="1685" spans="1:10">
      <c r="A1685">
        <v>1684</v>
      </c>
      <c r="B1685" s="1">
        <v>45487</v>
      </c>
      <c r="C1685" t="s">
        <v>12</v>
      </c>
      <c r="D1685">
        <v>199</v>
      </c>
      <c r="E1685">
        <v>12.6</v>
      </c>
      <c r="F1685">
        <v>8</v>
      </c>
      <c r="G1685">
        <v>3</v>
      </c>
      <c r="H1685">
        <v>28</v>
      </c>
      <c r="I1685">
        <v>8</v>
      </c>
      <c r="J1685" t="s">
        <v>13</v>
      </c>
    </row>
    <row r="1686" spans="1:10">
      <c r="A1686">
        <v>1685</v>
      </c>
      <c r="B1686" s="1">
        <v>45619</v>
      </c>
      <c r="C1686" t="s">
        <v>14</v>
      </c>
      <c r="D1686">
        <v>399</v>
      </c>
      <c r="E1686">
        <v>0.7</v>
      </c>
      <c r="F1686">
        <v>1</v>
      </c>
      <c r="G1686">
        <v>3</v>
      </c>
      <c r="H1686">
        <v>26</v>
      </c>
      <c r="I1686">
        <v>18</v>
      </c>
      <c r="J1686" t="s">
        <v>13</v>
      </c>
    </row>
    <row r="1687" spans="1:10">
      <c r="A1687">
        <v>1686</v>
      </c>
      <c r="B1687" s="1">
        <v>45224</v>
      </c>
      <c r="C1687" t="s">
        <v>14</v>
      </c>
      <c r="D1687">
        <v>399</v>
      </c>
      <c r="E1687">
        <v>8.4</v>
      </c>
      <c r="F1687">
        <v>5</v>
      </c>
      <c r="G1687">
        <v>4</v>
      </c>
      <c r="H1687">
        <v>34</v>
      </c>
      <c r="I1687">
        <v>41</v>
      </c>
      <c r="J1687" t="s">
        <v>11</v>
      </c>
    </row>
    <row r="1688" spans="1:10">
      <c r="A1688">
        <v>1687</v>
      </c>
      <c r="B1688" s="1">
        <v>45400</v>
      </c>
      <c r="C1688" t="s">
        <v>10</v>
      </c>
      <c r="D1688">
        <v>699</v>
      </c>
      <c r="E1688">
        <v>20.2</v>
      </c>
      <c r="F1688">
        <v>5</v>
      </c>
      <c r="G1688">
        <v>4</v>
      </c>
      <c r="H1688">
        <v>14</v>
      </c>
      <c r="I1688">
        <v>38</v>
      </c>
      <c r="J1688" t="s">
        <v>11</v>
      </c>
    </row>
    <row r="1689" spans="1:10">
      <c r="A1689">
        <v>1688</v>
      </c>
      <c r="B1689" s="1">
        <v>45412</v>
      </c>
      <c r="C1689" t="s">
        <v>12</v>
      </c>
      <c r="D1689">
        <v>199</v>
      </c>
      <c r="E1689">
        <v>23.2</v>
      </c>
      <c r="F1689">
        <v>2</v>
      </c>
      <c r="G1689">
        <v>1</v>
      </c>
      <c r="H1689">
        <v>22</v>
      </c>
      <c r="I1689">
        <v>33</v>
      </c>
      <c r="J1689" t="s">
        <v>13</v>
      </c>
    </row>
    <row r="1690" spans="1:10">
      <c r="A1690">
        <v>1689</v>
      </c>
      <c r="B1690" s="1">
        <v>44932</v>
      </c>
      <c r="C1690" t="s">
        <v>12</v>
      </c>
      <c r="D1690">
        <v>199</v>
      </c>
      <c r="E1690">
        <v>10.7</v>
      </c>
      <c r="F1690">
        <v>2</v>
      </c>
      <c r="G1690">
        <v>3</v>
      </c>
      <c r="H1690">
        <v>21</v>
      </c>
      <c r="I1690">
        <v>4</v>
      </c>
      <c r="J1690" t="s">
        <v>13</v>
      </c>
    </row>
    <row r="1691" spans="1:10">
      <c r="A1691">
        <v>1690</v>
      </c>
      <c r="B1691" s="1">
        <v>44989</v>
      </c>
      <c r="C1691" t="s">
        <v>14</v>
      </c>
      <c r="D1691">
        <v>399</v>
      </c>
      <c r="E1691">
        <v>5.4</v>
      </c>
      <c r="F1691">
        <v>1</v>
      </c>
      <c r="G1691">
        <v>4</v>
      </c>
      <c r="H1691">
        <v>13</v>
      </c>
      <c r="I1691">
        <v>29</v>
      </c>
      <c r="J1691" t="s">
        <v>11</v>
      </c>
    </row>
    <row r="1692" spans="1:10">
      <c r="A1692">
        <v>1691</v>
      </c>
      <c r="B1692" s="1">
        <v>45158</v>
      </c>
      <c r="C1692" t="s">
        <v>10</v>
      </c>
      <c r="D1692">
        <v>699</v>
      </c>
      <c r="E1692">
        <v>15.1</v>
      </c>
      <c r="F1692">
        <v>1</v>
      </c>
      <c r="G1692">
        <v>2</v>
      </c>
      <c r="H1692">
        <v>30</v>
      </c>
      <c r="I1692">
        <v>40</v>
      </c>
      <c r="J1692" t="s">
        <v>11</v>
      </c>
    </row>
    <row r="1693" spans="1:10">
      <c r="A1693">
        <v>1692</v>
      </c>
      <c r="B1693" s="1">
        <v>45363</v>
      </c>
      <c r="C1693" t="s">
        <v>14</v>
      </c>
      <c r="D1693">
        <v>399</v>
      </c>
      <c r="E1693">
        <v>23.2</v>
      </c>
      <c r="F1693">
        <v>4</v>
      </c>
      <c r="G1693">
        <v>2</v>
      </c>
      <c r="H1693">
        <v>1</v>
      </c>
      <c r="I1693">
        <v>52</v>
      </c>
      <c r="J1693" t="s">
        <v>13</v>
      </c>
    </row>
    <row r="1694" spans="1:10">
      <c r="A1694">
        <v>1693</v>
      </c>
      <c r="B1694" s="1">
        <v>45602</v>
      </c>
      <c r="C1694" t="s">
        <v>10</v>
      </c>
      <c r="D1694">
        <v>699</v>
      </c>
      <c r="E1694">
        <v>9.5</v>
      </c>
      <c r="F1694">
        <v>6</v>
      </c>
      <c r="G1694">
        <v>2</v>
      </c>
      <c r="H1694">
        <v>20</v>
      </c>
      <c r="I1694">
        <v>35</v>
      </c>
      <c r="J1694" t="s">
        <v>11</v>
      </c>
    </row>
    <row r="1695" spans="1:10">
      <c r="A1695">
        <v>1694</v>
      </c>
      <c r="B1695" s="1">
        <v>45196</v>
      </c>
      <c r="C1695" t="s">
        <v>12</v>
      </c>
      <c r="D1695">
        <v>199</v>
      </c>
      <c r="E1695">
        <v>15</v>
      </c>
      <c r="F1695">
        <v>1</v>
      </c>
      <c r="G1695">
        <v>5</v>
      </c>
      <c r="H1695">
        <v>5</v>
      </c>
      <c r="I1695">
        <v>13</v>
      </c>
      <c r="J1695" t="s">
        <v>11</v>
      </c>
    </row>
    <row r="1696" spans="1:10">
      <c r="A1696">
        <v>1695</v>
      </c>
      <c r="B1696" s="1">
        <v>45265</v>
      </c>
      <c r="C1696" t="s">
        <v>10</v>
      </c>
      <c r="D1696">
        <v>699</v>
      </c>
      <c r="E1696">
        <v>3.6</v>
      </c>
      <c r="F1696">
        <v>8</v>
      </c>
      <c r="G1696">
        <v>4</v>
      </c>
      <c r="H1696">
        <v>7</v>
      </c>
      <c r="I1696">
        <v>41</v>
      </c>
      <c r="J1696" t="s">
        <v>11</v>
      </c>
    </row>
    <row r="1697" spans="1:10">
      <c r="A1697">
        <v>1696</v>
      </c>
      <c r="B1697" s="1">
        <v>45164</v>
      </c>
      <c r="C1697" t="s">
        <v>10</v>
      </c>
      <c r="D1697">
        <v>699</v>
      </c>
      <c r="E1697">
        <v>24.2</v>
      </c>
      <c r="F1697">
        <v>7</v>
      </c>
      <c r="G1697">
        <v>1</v>
      </c>
      <c r="H1697">
        <v>18</v>
      </c>
      <c r="I1697">
        <v>10</v>
      </c>
      <c r="J1697" t="s">
        <v>11</v>
      </c>
    </row>
    <row r="1698" spans="1:10">
      <c r="A1698">
        <v>1697</v>
      </c>
      <c r="B1698" s="1">
        <v>44927</v>
      </c>
      <c r="C1698" t="s">
        <v>12</v>
      </c>
      <c r="D1698">
        <v>199</v>
      </c>
      <c r="E1698">
        <v>23.3</v>
      </c>
      <c r="F1698">
        <v>2</v>
      </c>
      <c r="G1698">
        <v>1</v>
      </c>
      <c r="H1698">
        <v>6</v>
      </c>
      <c r="I1698">
        <v>10</v>
      </c>
      <c r="J1698" t="s">
        <v>13</v>
      </c>
    </row>
    <row r="1699" spans="1:10">
      <c r="A1699">
        <v>1698</v>
      </c>
      <c r="B1699" s="1">
        <v>45362</v>
      </c>
      <c r="C1699" t="s">
        <v>14</v>
      </c>
      <c r="D1699">
        <v>399</v>
      </c>
      <c r="E1699">
        <v>22.5</v>
      </c>
      <c r="F1699">
        <v>0</v>
      </c>
      <c r="G1699">
        <v>1</v>
      </c>
      <c r="H1699">
        <v>5</v>
      </c>
      <c r="I1699">
        <v>32</v>
      </c>
      <c r="J1699" t="s">
        <v>13</v>
      </c>
    </row>
    <row r="1700" spans="1:10">
      <c r="A1700">
        <v>1699</v>
      </c>
      <c r="B1700" s="1">
        <v>45313</v>
      </c>
      <c r="C1700" t="s">
        <v>10</v>
      </c>
      <c r="D1700">
        <v>699</v>
      </c>
      <c r="E1700">
        <v>8.5</v>
      </c>
      <c r="F1700">
        <v>8</v>
      </c>
      <c r="G1700">
        <v>0</v>
      </c>
      <c r="H1700">
        <v>31</v>
      </c>
      <c r="I1700">
        <v>15</v>
      </c>
      <c r="J1700" t="s">
        <v>13</v>
      </c>
    </row>
    <row r="1701" spans="1:10">
      <c r="A1701">
        <v>1700</v>
      </c>
      <c r="B1701" s="1">
        <v>45546</v>
      </c>
      <c r="C1701" t="s">
        <v>14</v>
      </c>
      <c r="D1701">
        <v>399</v>
      </c>
      <c r="E1701">
        <v>9.1999999999999993</v>
      </c>
      <c r="F1701">
        <v>8</v>
      </c>
      <c r="G1701">
        <v>2</v>
      </c>
      <c r="H1701">
        <v>31</v>
      </c>
      <c r="I1701">
        <v>33</v>
      </c>
      <c r="J1701" t="s">
        <v>11</v>
      </c>
    </row>
    <row r="1702" spans="1:10">
      <c r="A1702">
        <v>1701</v>
      </c>
      <c r="B1702" s="1">
        <v>45500</v>
      </c>
      <c r="C1702" t="s">
        <v>12</v>
      </c>
      <c r="D1702">
        <v>199</v>
      </c>
      <c r="E1702">
        <v>23.7</v>
      </c>
      <c r="F1702">
        <v>4</v>
      </c>
      <c r="G1702">
        <v>5</v>
      </c>
      <c r="H1702">
        <v>11</v>
      </c>
      <c r="I1702">
        <v>9</v>
      </c>
      <c r="J1702" t="s">
        <v>13</v>
      </c>
    </row>
    <row r="1703" spans="1:10">
      <c r="A1703">
        <v>1702</v>
      </c>
      <c r="B1703" s="1">
        <v>45372</v>
      </c>
      <c r="C1703" t="s">
        <v>14</v>
      </c>
      <c r="D1703">
        <v>399</v>
      </c>
      <c r="E1703">
        <v>17.5</v>
      </c>
      <c r="F1703">
        <v>4</v>
      </c>
      <c r="G1703">
        <v>5</v>
      </c>
      <c r="H1703">
        <v>32</v>
      </c>
      <c r="I1703">
        <v>7</v>
      </c>
      <c r="J1703" t="s">
        <v>13</v>
      </c>
    </row>
    <row r="1704" spans="1:10">
      <c r="A1704">
        <v>1703</v>
      </c>
      <c r="B1704" s="1">
        <v>45361</v>
      </c>
      <c r="C1704" t="s">
        <v>10</v>
      </c>
      <c r="D1704">
        <v>699</v>
      </c>
      <c r="E1704">
        <v>4.9000000000000004</v>
      </c>
      <c r="F1704">
        <v>5</v>
      </c>
      <c r="G1704">
        <v>3</v>
      </c>
      <c r="H1704">
        <v>23</v>
      </c>
      <c r="I1704">
        <v>49</v>
      </c>
      <c r="J1704" t="s">
        <v>11</v>
      </c>
    </row>
    <row r="1705" spans="1:10">
      <c r="A1705">
        <v>1704</v>
      </c>
      <c r="B1705" s="1">
        <v>44937</v>
      </c>
      <c r="C1705" t="s">
        <v>12</v>
      </c>
      <c r="D1705">
        <v>199</v>
      </c>
      <c r="E1705">
        <v>22</v>
      </c>
      <c r="F1705">
        <v>3</v>
      </c>
      <c r="G1705">
        <v>3</v>
      </c>
      <c r="H1705">
        <v>36</v>
      </c>
      <c r="I1705">
        <v>23</v>
      </c>
      <c r="J1705" t="s">
        <v>11</v>
      </c>
    </row>
    <row r="1706" spans="1:10">
      <c r="A1706">
        <v>1705</v>
      </c>
      <c r="B1706" s="1">
        <v>45023</v>
      </c>
      <c r="C1706" t="s">
        <v>12</v>
      </c>
      <c r="D1706">
        <v>199</v>
      </c>
      <c r="E1706">
        <v>9.3000000000000007</v>
      </c>
      <c r="F1706">
        <v>3</v>
      </c>
      <c r="G1706">
        <v>0</v>
      </c>
      <c r="H1706">
        <v>29</v>
      </c>
      <c r="I1706">
        <v>37</v>
      </c>
      <c r="J1706" t="s">
        <v>11</v>
      </c>
    </row>
    <row r="1707" spans="1:10">
      <c r="A1707">
        <v>1706</v>
      </c>
      <c r="B1707" s="1">
        <v>45208</v>
      </c>
      <c r="C1707" t="s">
        <v>14</v>
      </c>
      <c r="D1707">
        <v>399</v>
      </c>
      <c r="E1707">
        <v>12.8</v>
      </c>
      <c r="F1707">
        <v>0</v>
      </c>
      <c r="G1707">
        <v>4</v>
      </c>
      <c r="H1707">
        <v>17</v>
      </c>
      <c r="I1707">
        <v>17</v>
      </c>
      <c r="J1707" t="s">
        <v>11</v>
      </c>
    </row>
    <row r="1708" spans="1:10">
      <c r="A1708">
        <v>1707</v>
      </c>
      <c r="B1708" s="1">
        <v>45512</v>
      </c>
      <c r="C1708" t="s">
        <v>10</v>
      </c>
      <c r="D1708">
        <v>699</v>
      </c>
      <c r="E1708">
        <v>10.3</v>
      </c>
      <c r="F1708">
        <v>4</v>
      </c>
      <c r="G1708">
        <v>2</v>
      </c>
      <c r="H1708">
        <v>31</v>
      </c>
      <c r="I1708">
        <v>40</v>
      </c>
      <c r="J1708" t="s">
        <v>11</v>
      </c>
    </row>
    <row r="1709" spans="1:10">
      <c r="A1709">
        <v>1708</v>
      </c>
      <c r="B1709" s="1">
        <v>45590</v>
      </c>
      <c r="C1709" t="s">
        <v>12</v>
      </c>
      <c r="D1709">
        <v>199</v>
      </c>
      <c r="E1709">
        <v>24.9</v>
      </c>
      <c r="F1709">
        <v>7</v>
      </c>
      <c r="G1709">
        <v>3</v>
      </c>
      <c r="H1709">
        <v>31</v>
      </c>
      <c r="I1709">
        <v>11</v>
      </c>
      <c r="J1709" t="s">
        <v>11</v>
      </c>
    </row>
    <row r="1710" spans="1:10">
      <c r="A1710">
        <v>1709</v>
      </c>
      <c r="B1710" s="1">
        <v>45649</v>
      </c>
      <c r="C1710" t="s">
        <v>10</v>
      </c>
      <c r="D1710">
        <v>699</v>
      </c>
      <c r="E1710">
        <v>1.4</v>
      </c>
      <c r="F1710">
        <v>0</v>
      </c>
      <c r="G1710">
        <v>4</v>
      </c>
      <c r="H1710">
        <v>7</v>
      </c>
      <c r="I1710">
        <v>57</v>
      </c>
      <c r="J1710" t="s">
        <v>11</v>
      </c>
    </row>
    <row r="1711" spans="1:10">
      <c r="A1711">
        <v>1710</v>
      </c>
      <c r="B1711" s="1">
        <v>45049</v>
      </c>
      <c r="C1711" t="s">
        <v>10</v>
      </c>
      <c r="D1711">
        <v>699</v>
      </c>
      <c r="E1711">
        <v>21.8</v>
      </c>
      <c r="F1711">
        <v>2</v>
      </c>
      <c r="G1711">
        <v>0</v>
      </c>
      <c r="H1711">
        <v>12</v>
      </c>
      <c r="I1711">
        <v>26</v>
      </c>
      <c r="J1711" t="s">
        <v>13</v>
      </c>
    </row>
    <row r="1712" spans="1:10">
      <c r="A1712">
        <v>1711</v>
      </c>
      <c r="B1712" s="1">
        <v>45211</v>
      </c>
      <c r="C1712" t="s">
        <v>12</v>
      </c>
      <c r="D1712">
        <v>199</v>
      </c>
      <c r="E1712">
        <v>16.100000000000001</v>
      </c>
      <c r="F1712">
        <v>0</v>
      </c>
      <c r="G1712">
        <v>2</v>
      </c>
      <c r="H1712">
        <v>29</v>
      </c>
      <c r="I1712">
        <v>6</v>
      </c>
      <c r="J1712" t="s">
        <v>13</v>
      </c>
    </row>
    <row r="1713" spans="1:10">
      <c r="A1713">
        <v>1712</v>
      </c>
      <c r="B1713" s="1">
        <v>45527</v>
      </c>
      <c r="C1713" t="s">
        <v>12</v>
      </c>
      <c r="D1713">
        <v>199</v>
      </c>
      <c r="E1713">
        <v>8.6999999999999993</v>
      </c>
      <c r="F1713">
        <v>5</v>
      </c>
      <c r="G1713">
        <v>5</v>
      </c>
      <c r="H1713">
        <v>2</v>
      </c>
      <c r="I1713">
        <v>10</v>
      </c>
      <c r="J1713" t="s">
        <v>13</v>
      </c>
    </row>
    <row r="1714" spans="1:10">
      <c r="A1714">
        <v>1713</v>
      </c>
      <c r="B1714" s="1">
        <v>44989</v>
      </c>
      <c r="C1714" t="s">
        <v>10</v>
      </c>
      <c r="D1714">
        <v>699</v>
      </c>
      <c r="E1714">
        <v>13.2</v>
      </c>
      <c r="F1714">
        <v>6</v>
      </c>
      <c r="G1714">
        <v>3</v>
      </c>
      <c r="H1714">
        <v>24</v>
      </c>
      <c r="I1714">
        <v>53</v>
      </c>
      <c r="J1714" t="s">
        <v>11</v>
      </c>
    </row>
    <row r="1715" spans="1:10">
      <c r="A1715">
        <v>1714</v>
      </c>
      <c r="B1715" s="1">
        <v>45103</v>
      </c>
      <c r="C1715" t="s">
        <v>12</v>
      </c>
      <c r="D1715">
        <v>199</v>
      </c>
      <c r="E1715">
        <v>20.7</v>
      </c>
      <c r="F1715">
        <v>8</v>
      </c>
      <c r="G1715">
        <v>1</v>
      </c>
      <c r="H1715">
        <v>13</v>
      </c>
      <c r="I1715">
        <v>46</v>
      </c>
      <c r="J1715" t="s">
        <v>11</v>
      </c>
    </row>
    <row r="1716" spans="1:10">
      <c r="A1716">
        <v>1715</v>
      </c>
      <c r="B1716" s="1">
        <v>45577</v>
      </c>
      <c r="C1716" t="s">
        <v>14</v>
      </c>
      <c r="D1716">
        <v>399</v>
      </c>
      <c r="E1716">
        <v>7.3</v>
      </c>
      <c r="F1716">
        <v>3</v>
      </c>
      <c r="G1716">
        <v>5</v>
      </c>
      <c r="H1716">
        <v>3</v>
      </c>
      <c r="I1716">
        <v>32</v>
      </c>
      <c r="J1716" t="s">
        <v>11</v>
      </c>
    </row>
    <row r="1717" spans="1:10">
      <c r="A1717">
        <v>1716</v>
      </c>
      <c r="B1717" s="1">
        <v>45508</v>
      </c>
      <c r="C1717" t="s">
        <v>10</v>
      </c>
      <c r="D1717">
        <v>699</v>
      </c>
      <c r="E1717">
        <v>8.1</v>
      </c>
      <c r="F1717">
        <v>8</v>
      </c>
      <c r="G1717">
        <v>2</v>
      </c>
      <c r="H1717">
        <v>1</v>
      </c>
      <c r="I1717">
        <v>7</v>
      </c>
      <c r="J1717" t="s">
        <v>11</v>
      </c>
    </row>
    <row r="1718" spans="1:10">
      <c r="A1718">
        <v>1717</v>
      </c>
      <c r="B1718" s="1">
        <v>45113</v>
      </c>
      <c r="C1718" t="s">
        <v>10</v>
      </c>
      <c r="D1718">
        <v>699</v>
      </c>
      <c r="E1718">
        <v>14.4</v>
      </c>
      <c r="F1718">
        <v>7</v>
      </c>
      <c r="G1718">
        <v>0</v>
      </c>
      <c r="H1718">
        <v>6</v>
      </c>
      <c r="I1718">
        <v>7</v>
      </c>
      <c r="J1718" t="s">
        <v>13</v>
      </c>
    </row>
    <row r="1719" spans="1:10">
      <c r="A1719">
        <v>1718</v>
      </c>
      <c r="B1719" s="1">
        <v>45580</v>
      </c>
      <c r="C1719" t="s">
        <v>10</v>
      </c>
      <c r="D1719">
        <v>699</v>
      </c>
      <c r="E1719">
        <v>5</v>
      </c>
      <c r="F1719">
        <v>0</v>
      </c>
      <c r="G1719">
        <v>1</v>
      </c>
      <c r="H1719">
        <v>6</v>
      </c>
      <c r="I1719">
        <v>50</v>
      </c>
      <c r="J1719" t="s">
        <v>11</v>
      </c>
    </row>
    <row r="1720" spans="1:10">
      <c r="A1720">
        <v>1719</v>
      </c>
      <c r="B1720" s="1">
        <v>45122</v>
      </c>
      <c r="C1720" t="s">
        <v>14</v>
      </c>
      <c r="D1720">
        <v>399</v>
      </c>
      <c r="E1720">
        <v>2.5</v>
      </c>
      <c r="F1720">
        <v>3</v>
      </c>
      <c r="G1720">
        <v>2</v>
      </c>
      <c r="H1720">
        <v>30</v>
      </c>
      <c r="I1720">
        <v>53</v>
      </c>
      <c r="J1720" t="s">
        <v>11</v>
      </c>
    </row>
    <row r="1721" spans="1:10">
      <c r="A1721">
        <v>1720</v>
      </c>
      <c r="B1721" s="1">
        <v>45070</v>
      </c>
      <c r="C1721" t="s">
        <v>10</v>
      </c>
      <c r="D1721">
        <v>699</v>
      </c>
      <c r="E1721">
        <v>8.1</v>
      </c>
      <c r="F1721">
        <v>6</v>
      </c>
      <c r="G1721">
        <v>5</v>
      </c>
      <c r="H1721">
        <v>9</v>
      </c>
      <c r="I1721">
        <v>18</v>
      </c>
      <c r="J1721" t="s">
        <v>11</v>
      </c>
    </row>
    <row r="1722" spans="1:10">
      <c r="A1722">
        <v>1721</v>
      </c>
      <c r="B1722" s="1">
        <v>45229</v>
      </c>
      <c r="C1722" t="s">
        <v>10</v>
      </c>
      <c r="D1722">
        <v>699</v>
      </c>
      <c r="E1722">
        <v>10.6</v>
      </c>
      <c r="F1722">
        <v>3</v>
      </c>
      <c r="G1722">
        <v>2</v>
      </c>
      <c r="H1722">
        <v>21</v>
      </c>
      <c r="I1722">
        <v>56</v>
      </c>
      <c r="J1722" t="s">
        <v>11</v>
      </c>
    </row>
    <row r="1723" spans="1:10">
      <c r="A1723">
        <v>1722</v>
      </c>
      <c r="B1723" s="1">
        <v>45584</v>
      </c>
      <c r="C1723" t="s">
        <v>14</v>
      </c>
      <c r="D1723">
        <v>399</v>
      </c>
      <c r="E1723">
        <v>7</v>
      </c>
      <c r="F1723">
        <v>7</v>
      </c>
      <c r="G1723">
        <v>2</v>
      </c>
      <c r="H1723">
        <v>29</v>
      </c>
      <c r="I1723">
        <v>37</v>
      </c>
      <c r="J1723" t="s">
        <v>11</v>
      </c>
    </row>
    <row r="1724" spans="1:10">
      <c r="A1724">
        <v>1723</v>
      </c>
      <c r="B1724" s="1">
        <v>45321</v>
      </c>
      <c r="C1724" t="s">
        <v>10</v>
      </c>
      <c r="D1724">
        <v>699</v>
      </c>
      <c r="E1724">
        <v>20.8</v>
      </c>
      <c r="F1724">
        <v>2</v>
      </c>
      <c r="G1724">
        <v>0</v>
      </c>
      <c r="H1724">
        <v>29</v>
      </c>
      <c r="I1724">
        <v>60</v>
      </c>
      <c r="J1724" t="s">
        <v>13</v>
      </c>
    </row>
    <row r="1725" spans="1:10">
      <c r="A1725">
        <v>1724</v>
      </c>
      <c r="B1725" s="1">
        <v>45222</v>
      </c>
      <c r="C1725" t="s">
        <v>12</v>
      </c>
      <c r="D1725">
        <v>199</v>
      </c>
      <c r="E1725">
        <v>14.4</v>
      </c>
      <c r="F1725">
        <v>6</v>
      </c>
      <c r="G1725">
        <v>2</v>
      </c>
      <c r="H1725">
        <v>35</v>
      </c>
      <c r="I1725">
        <v>41</v>
      </c>
      <c r="J1725" t="s">
        <v>13</v>
      </c>
    </row>
    <row r="1726" spans="1:10">
      <c r="A1726">
        <v>1725</v>
      </c>
      <c r="B1726" s="1">
        <v>45202</v>
      </c>
      <c r="C1726" t="s">
        <v>12</v>
      </c>
      <c r="D1726">
        <v>199</v>
      </c>
      <c r="E1726">
        <v>17.600000000000001</v>
      </c>
      <c r="F1726">
        <v>8</v>
      </c>
      <c r="G1726">
        <v>4</v>
      </c>
      <c r="H1726">
        <v>22</v>
      </c>
      <c r="I1726">
        <v>53</v>
      </c>
      <c r="J1726" t="s">
        <v>11</v>
      </c>
    </row>
    <row r="1727" spans="1:10">
      <c r="A1727">
        <v>1726</v>
      </c>
      <c r="B1727" s="1">
        <v>45045</v>
      </c>
      <c r="C1727" t="s">
        <v>12</v>
      </c>
      <c r="D1727">
        <v>199</v>
      </c>
      <c r="E1727">
        <v>19.399999999999999</v>
      </c>
      <c r="F1727">
        <v>4</v>
      </c>
      <c r="G1727">
        <v>1</v>
      </c>
      <c r="H1727">
        <v>33</v>
      </c>
      <c r="I1727">
        <v>29</v>
      </c>
      <c r="J1727" t="s">
        <v>11</v>
      </c>
    </row>
    <row r="1728" spans="1:10">
      <c r="A1728">
        <v>1727</v>
      </c>
      <c r="B1728" s="1">
        <v>45313</v>
      </c>
      <c r="C1728" t="s">
        <v>10</v>
      </c>
      <c r="D1728">
        <v>699</v>
      </c>
      <c r="E1728">
        <v>12.1</v>
      </c>
      <c r="F1728">
        <v>7</v>
      </c>
      <c r="G1728">
        <v>4</v>
      </c>
      <c r="H1728">
        <v>12</v>
      </c>
      <c r="I1728">
        <v>20</v>
      </c>
      <c r="J1728" t="s">
        <v>11</v>
      </c>
    </row>
    <row r="1729" spans="1:10">
      <c r="A1729">
        <v>1728</v>
      </c>
      <c r="B1729" s="1">
        <v>44935</v>
      </c>
      <c r="C1729" t="s">
        <v>10</v>
      </c>
      <c r="D1729">
        <v>699</v>
      </c>
      <c r="E1729">
        <v>8.4</v>
      </c>
      <c r="F1729">
        <v>1</v>
      </c>
      <c r="G1729">
        <v>5</v>
      </c>
      <c r="H1729">
        <v>3</v>
      </c>
      <c r="I1729">
        <v>22</v>
      </c>
      <c r="J1729" t="s">
        <v>13</v>
      </c>
    </row>
    <row r="1730" spans="1:10">
      <c r="A1730">
        <v>1729</v>
      </c>
      <c r="B1730" s="1">
        <v>45293</v>
      </c>
      <c r="C1730" t="s">
        <v>12</v>
      </c>
      <c r="D1730">
        <v>199</v>
      </c>
      <c r="E1730">
        <v>12.1</v>
      </c>
      <c r="F1730">
        <v>5</v>
      </c>
      <c r="G1730">
        <v>5</v>
      </c>
      <c r="H1730">
        <v>27</v>
      </c>
      <c r="I1730">
        <v>57</v>
      </c>
      <c r="J1730" t="s">
        <v>11</v>
      </c>
    </row>
    <row r="1731" spans="1:10">
      <c r="A1731">
        <v>1730</v>
      </c>
      <c r="B1731" s="1">
        <v>45394</v>
      </c>
      <c r="C1731" t="s">
        <v>14</v>
      </c>
      <c r="D1731">
        <v>399</v>
      </c>
      <c r="E1731">
        <v>11.9</v>
      </c>
      <c r="F1731">
        <v>2</v>
      </c>
      <c r="G1731">
        <v>0</v>
      </c>
      <c r="H1731">
        <v>11</v>
      </c>
      <c r="I1731">
        <v>28</v>
      </c>
      <c r="J1731" t="s">
        <v>13</v>
      </c>
    </row>
    <row r="1732" spans="1:10">
      <c r="A1732">
        <v>1731</v>
      </c>
      <c r="B1732" s="1">
        <v>45542</v>
      </c>
      <c r="C1732" t="s">
        <v>10</v>
      </c>
      <c r="D1732">
        <v>699</v>
      </c>
      <c r="E1732">
        <v>18.399999999999999</v>
      </c>
      <c r="F1732">
        <v>7</v>
      </c>
      <c r="G1732">
        <v>1</v>
      </c>
      <c r="H1732">
        <v>28</v>
      </c>
      <c r="I1732">
        <v>16</v>
      </c>
      <c r="J1732" t="s">
        <v>13</v>
      </c>
    </row>
    <row r="1733" spans="1:10">
      <c r="A1733">
        <v>1732</v>
      </c>
      <c r="B1733" s="1">
        <v>45446</v>
      </c>
      <c r="C1733" t="s">
        <v>14</v>
      </c>
      <c r="D1733">
        <v>399</v>
      </c>
      <c r="E1733">
        <v>17.100000000000001</v>
      </c>
      <c r="F1733">
        <v>4</v>
      </c>
      <c r="G1733">
        <v>0</v>
      </c>
      <c r="H1733">
        <v>31</v>
      </c>
      <c r="I1733">
        <v>59</v>
      </c>
      <c r="J1733" t="s">
        <v>13</v>
      </c>
    </row>
    <row r="1734" spans="1:10">
      <c r="A1734">
        <v>1733</v>
      </c>
      <c r="B1734" s="1">
        <v>45094</v>
      </c>
      <c r="C1734" t="s">
        <v>12</v>
      </c>
      <c r="D1734">
        <v>199</v>
      </c>
      <c r="E1734">
        <v>10.9</v>
      </c>
      <c r="F1734">
        <v>4</v>
      </c>
      <c r="G1734">
        <v>4</v>
      </c>
      <c r="H1734">
        <v>27</v>
      </c>
      <c r="I1734">
        <v>25</v>
      </c>
      <c r="J1734" t="s">
        <v>11</v>
      </c>
    </row>
    <row r="1735" spans="1:10">
      <c r="A1735">
        <v>1734</v>
      </c>
      <c r="B1735" s="1">
        <v>45069</v>
      </c>
      <c r="C1735" t="s">
        <v>10</v>
      </c>
      <c r="D1735">
        <v>699</v>
      </c>
      <c r="E1735">
        <v>23.1</v>
      </c>
      <c r="F1735">
        <v>8</v>
      </c>
      <c r="G1735">
        <v>1</v>
      </c>
      <c r="H1735">
        <v>11</v>
      </c>
      <c r="I1735">
        <v>60</v>
      </c>
      <c r="J1735" t="s">
        <v>13</v>
      </c>
    </row>
    <row r="1736" spans="1:10">
      <c r="A1736">
        <v>1735</v>
      </c>
      <c r="B1736" s="1">
        <v>45071</v>
      </c>
      <c r="C1736" t="s">
        <v>12</v>
      </c>
      <c r="D1736">
        <v>199</v>
      </c>
      <c r="E1736">
        <v>19.8</v>
      </c>
      <c r="F1736">
        <v>0</v>
      </c>
      <c r="G1736">
        <v>0</v>
      </c>
      <c r="H1736">
        <v>22</v>
      </c>
      <c r="I1736">
        <v>19</v>
      </c>
      <c r="J1736" t="s">
        <v>13</v>
      </c>
    </row>
    <row r="1737" spans="1:10">
      <c r="A1737">
        <v>1736</v>
      </c>
      <c r="B1737" s="1">
        <v>45103</v>
      </c>
      <c r="C1737" t="s">
        <v>14</v>
      </c>
      <c r="D1737">
        <v>399</v>
      </c>
      <c r="E1737">
        <v>10.199999999999999</v>
      </c>
      <c r="F1737">
        <v>7</v>
      </c>
      <c r="G1737">
        <v>0</v>
      </c>
      <c r="H1737">
        <v>30</v>
      </c>
      <c r="I1737">
        <v>42</v>
      </c>
      <c r="J1737" t="s">
        <v>11</v>
      </c>
    </row>
    <row r="1738" spans="1:10">
      <c r="A1738">
        <v>1737</v>
      </c>
      <c r="B1738" s="1">
        <v>45177</v>
      </c>
      <c r="C1738" t="s">
        <v>14</v>
      </c>
      <c r="D1738">
        <v>399</v>
      </c>
      <c r="E1738">
        <v>2.5</v>
      </c>
      <c r="F1738">
        <v>3</v>
      </c>
      <c r="G1738">
        <v>1</v>
      </c>
      <c r="H1738">
        <v>20</v>
      </c>
      <c r="I1738">
        <v>27</v>
      </c>
      <c r="J1738" t="s">
        <v>11</v>
      </c>
    </row>
    <row r="1739" spans="1:10">
      <c r="A1739">
        <v>1738</v>
      </c>
      <c r="B1739" s="1">
        <v>45029</v>
      </c>
      <c r="C1739" t="s">
        <v>12</v>
      </c>
      <c r="D1739">
        <v>199</v>
      </c>
      <c r="E1739">
        <v>21.2</v>
      </c>
      <c r="F1739">
        <v>5</v>
      </c>
      <c r="G1739">
        <v>0</v>
      </c>
      <c r="H1739">
        <v>36</v>
      </c>
      <c r="I1739">
        <v>30</v>
      </c>
      <c r="J1739" t="s">
        <v>11</v>
      </c>
    </row>
    <row r="1740" spans="1:10">
      <c r="A1740">
        <v>1739</v>
      </c>
      <c r="B1740" s="1">
        <v>45401</v>
      </c>
      <c r="C1740" t="s">
        <v>14</v>
      </c>
      <c r="D1740">
        <v>399</v>
      </c>
      <c r="E1740">
        <v>17.3</v>
      </c>
      <c r="F1740">
        <v>3</v>
      </c>
      <c r="G1740">
        <v>3</v>
      </c>
      <c r="H1740">
        <v>36</v>
      </c>
      <c r="I1740">
        <v>42</v>
      </c>
      <c r="J1740" t="s">
        <v>11</v>
      </c>
    </row>
    <row r="1741" spans="1:10">
      <c r="A1741">
        <v>1740</v>
      </c>
      <c r="B1741" s="1">
        <v>45063</v>
      </c>
      <c r="C1741" t="s">
        <v>10</v>
      </c>
      <c r="D1741">
        <v>699</v>
      </c>
      <c r="E1741">
        <v>19.2</v>
      </c>
      <c r="F1741">
        <v>1</v>
      </c>
      <c r="G1741">
        <v>3</v>
      </c>
      <c r="H1741">
        <v>16</v>
      </c>
      <c r="I1741">
        <v>8</v>
      </c>
      <c r="J1741" t="s">
        <v>11</v>
      </c>
    </row>
    <row r="1742" spans="1:10">
      <c r="A1742">
        <v>1741</v>
      </c>
      <c r="B1742" s="1">
        <v>45282</v>
      </c>
      <c r="C1742" t="s">
        <v>14</v>
      </c>
      <c r="D1742">
        <v>399</v>
      </c>
      <c r="E1742">
        <v>22.5</v>
      </c>
      <c r="F1742">
        <v>6</v>
      </c>
      <c r="G1742">
        <v>4</v>
      </c>
      <c r="H1742">
        <v>21</v>
      </c>
      <c r="I1742">
        <v>25</v>
      </c>
      <c r="J1742" t="s">
        <v>11</v>
      </c>
    </row>
    <row r="1743" spans="1:10">
      <c r="A1743">
        <v>1742</v>
      </c>
      <c r="B1743" s="1">
        <v>45440</v>
      </c>
      <c r="C1743" t="s">
        <v>14</v>
      </c>
      <c r="D1743">
        <v>399</v>
      </c>
      <c r="E1743">
        <v>5.9</v>
      </c>
      <c r="F1743">
        <v>2</v>
      </c>
      <c r="G1743">
        <v>1</v>
      </c>
      <c r="H1743">
        <v>2</v>
      </c>
      <c r="I1743">
        <v>23</v>
      </c>
      <c r="J1743" t="s">
        <v>13</v>
      </c>
    </row>
    <row r="1744" spans="1:10">
      <c r="A1744">
        <v>1743</v>
      </c>
      <c r="B1744" s="1">
        <v>45143</v>
      </c>
      <c r="C1744" t="s">
        <v>12</v>
      </c>
      <c r="D1744">
        <v>199</v>
      </c>
      <c r="E1744">
        <v>22.9</v>
      </c>
      <c r="F1744">
        <v>3</v>
      </c>
      <c r="G1744">
        <v>1</v>
      </c>
      <c r="H1744">
        <v>26</v>
      </c>
      <c r="I1744">
        <v>31</v>
      </c>
      <c r="J1744" t="s">
        <v>11</v>
      </c>
    </row>
    <row r="1745" spans="1:10">
      <c r="A1745">
        <v>1744</v>
      </c>
      <c r="B1745" s="1">
        <v>45218</v>
      </c>
      <c r="C1745" t="s">
        <v>14</v>
      </c>
      <c r="D1745">
        <v>399</v>
      </c>
      <c r="E1745">
        <v>2.8</v>
      </c>
      <c r="F1745">
        <v>6</v>
      </c>
      <c r="G1745">
        <v>5</v>
      </c>
      <c r="H1745">
        <v>28</v>
      </c>
      <c r="I1745">
        <v>11</v>
      </c>
      <c r="J1745" t="s">
        <v>11</v>
      </c>
    </row>
    <row r="1746" spans="1:10">
      <c r="A1746">
        <v>1745</v>
      </c>
      <c r="B1746" s="1">
        <v>45358</v>
      </c>
      <c r="C1746" t="s">
        <v>14</v>
      </c>
      <c r="D1746">
        <v>399</v>
      </c>
      <c r="E1746">
        <v>17</v>
      </c>
      <c r="F1746">
        <v>7</v>
      </c>
      <c r="G1746">
        <v>0</v>
      </c>
      <c r="H1746">
        <v>25</v>
      </c>
      <c r="I1746">
        <v>16</v>
      </c>
      <c r="J1746" t="s">
        <v>13</v>
      </c>
    </row>
    <row r="1747" spans="1:10">
      <c r="A1747">
        <v>1746</v>
      </c>
      <c r="B1747" s="1">
        <v>45281</v>
      </c>
      <c r="C1747" t="s">
        <v>12</v>
      </c>
      <c r="D1747">
        <v>199</v>
      </c>
      <c r="E1747">
        <v>10.3</v>
      </c>
      <c r="F1747">
        <v>8</v>
      </c>
      <c r="G1747">
        <v>0</v>
      </c>
      <c r="H1747">
        <v>11</v>
      </c>
      <c r="I1747">
        <v>29</v>
      </c>
      <c r="J1747" t="s">
        <v>13</v>
      </c>
    </row>
    <row r="1748" spans="1:10">
      <c r="A1748">
        <v>1747</v>
      </c>
      <c r="B1748" s="1">
        <v>45515</v>
      </c>
      <c r="C1748" t="s">
        <v>10</v>
      </c>
      <c r="D1748">
        <v>699</v>
      </c>
      <c r="E1748">
        <v>16.600000000000001</v>
      </c>
      <c r="F1748">
        <v>6</v>
      </c>
      <c r="G1748">
        <v>0</v>
      </c>
      <c r="H1748">
        <v>7</v>
      </c>
      <c r="I1748">
        <v>10</v>
      </c>
      <c r="J1748" t="s">
        <v>13</v>
      </c>
    </row>
    <row r="1749" spans="1:10">
      <c r="A1749">
        <v>1748</v>
      </c>
      <c r="B1749" s="1">
        <v>45338</v>
      </c>
      <c r="C1749" t="s">
        <v>10</v>
      </c>
      <c r="D1749">
        <v>699</v>
      </c>
      <c r="E1749">
        <v>17.3</v>
      </c>
      <c r="F1749">
        <v>0</v>
      </c>
      <c r="G1749">
        <v>3</v>
      </c>
      <c r="H1749">
        <v>25</v>
      </c>
      <c r="I1749">
        <v>41</v>
      </c>
      <c r="J1749" t="s">
        <v>13</v>
      </c>
    </row>
    <row r="1750" spans="1:10">
      <c r="A1750">
        <v>1749</v>
      </c>
      <c r="B1750" s="1">
        <v>45388</v>
      </c>
      <c r="C1750" t="s">
        <v>14</v>
      </c>
      <c r="D1750">
        <v>399</v>
      </c>
      <c r="E1750">
        <v>7.9</v>
      </c>
      <c r="F1750">
        <v>4</v>
      </c>
      <c r="G1750">
        <v>5</v>
      </c>
      <c r="H1750">
        <v>4</v>
      </c>
      <c r="I1750">
        <v>40</v>
      </c>
      <c r="J1750" t="s">
        <v>11</v>
      </c>
    </row>
    <row r="1751" spans="1:10">
      <c r="A1751">
        <v>1750</v>
      </c>
      <c r="B1751" s="1">
        <v>45110</v>
      </c>
      <c r="C1751" t="s">
        <v>10</v>
      </c>
      <c r="D1751">
        <v>699</v>
      </c>
      <c r="E1751">
        <v>19.600000000000001</v>
      </c>
      <c r="F1751">
        <v>5</v>
      </c>
      <c r="G1751">
        <v>4</v>
      </c>
      <c r="H1751">
        <v>24</v>
      </c>
      <c r="I1751">
        <v>23</v>
      </c>
      <c r="J1751" t="s">
        <v>11</v>
      </c>
    </row>
    <row r="1752" spans="1:10">
      <c r="A1752">
        <v>1751</v>
      </c>
      <c r="B1752" s="1">
        <v>45651</v>
      </c>
      <c r="C1752" t="s">
        <v>14</v>
      </c>
      <c r="D1752">
        <v>399</v>
      </c>
      <c r="E1752">
        <v>19.100000000000001</v>
      </c>
      <c r="F1752">
        <v>1</v>
      </c>
      <c r="G1752">
        <v>1</v>
      </c>
      <c r="H1752">
        <v>35</v>
      </c>
      <c r="I1752">
        <v>0</v>
      </c>
      <c r="J1752" t="s">
        <v>13</v>
      </c>
    </row>
    <row r="1753" spans="1:10">
      <c r="A1753">
        <v>1752</v>
      </c>
      <c r="B1753" s="1">
        <v>44967</v>
      </c>
      <c r="C1753" t="s">
        <v>10</v>
      </c>
      <c r="D1753">
        <v>699</v>
      </c>
      <c r="E1753">
        <v>5.3</v>
      </c>
      <c r="F1753">
        <v>7</v>
      </c>
      <c r="G1753">
        <v>3</v>
      </c>
      <c r="H1753">
        <v>17</v>
      </c>
      <c r="I1753">
        <v>3</v>
      </c>
      <c r="J1753" t="s">
        <v>11</v>
      </c>
    </row>
    <row r="1754" spans="1:10">
      <c r="A1754">
        <v>1753</v>
      </c>
      <c r="B1754" s="1">
        <v>45362</v>
      </c>
      <c r="C1754" t="s">
        <v>12</v>
      </c>
      <c r="D1754">
        <v>199</v>
      </c>
      <c r="E1754">
        <v>11.8</v>
      </c>
      <c r="F1754">
        <v>0</v>
      </c>
      <c r="G1754">
        <v>4</v>
      </c>
      <c r="H1754">
        <v>32</v>
      </c>
      <c r="I1754">
        <v>43</v>
      </c>
      <c r="J1754" t="s">
        <v>11</v>
      </c>
    </row>
    <row r="1755" spans="1:10">
      <c r="A1755">
        <v>1754</v>
      </c>
      <c r="B1755" s="1">
        <v>45292</v>
      </c>
      <c r="C1755" t="s">
        <v>14</v>
      </c>
      <c r="D1755">
        <v>399</v>
      </c>
      <c r="E1755">
        <v>19.3</v>
      </c>
      <c r="F1755">
        <v>0</v>
      </c>
      <c r="G1755">
        <v>4</v>
      </c>
      <c r="H1755">
        <v>19</v>
      </c>
      <c r="I1755">
        <v>17</v>
      </c>
      <c r="J1755" t="s">
        <v>11</v>
      </c>
    </row>
    <row r="1756" spans="1:10">
      <c r="A1756">
        <v>1755</v>
      </c>
      <c r="B1756" s="1">
        <v>45292</v>
      </c>
      <c r="C1756" t="s">
        <v>14</v>
      </c>
      <c r="D1756">
        <v>399</v>
      </c>
      <c r="E1756">
        <v>11.4</v>
      </c>
      <c r="F1756">
        <v>4</v>
      </c>
      <c r="G1756">
        <v>5</v>
      </c>
      <c r="H1756">
        <v>2</v>
      </c>
      <c r="I1756">
        <v>2</v>
      </c>
      <c r="J1756" t="s">
        <v>13</v>
      </c>
    </row>
    <row r="1757" spans="1:10">
      <c r="A1757">
        <v>1756</v>
      </c>
      <c r="B1757" s="1">
        <v>45023</v>
      </c>
      <c r="C1757" t="s">
        <v>10</v>
      </c>
      <c r="D1757">
        <v>699</v>
      </c>
      <c r="E1757">
        <v>13.5</v>
      </c>
      <c r="F1757">
        <v>6</v>
      </c>
      <c r="G1757">
        <v>1</v>
      </c>
      <c r="H1757">
        <v>3</v>
      </c>
      <c r="I1757">
        <v>11</v>
      </c>
      <c r="J1757" t="s">
        <v>11</v>
      </c>
    </row>
    <row r="1758" spans="1:10">
      <c r="A1758">
        <v>1757</v>
      </c>
      <c r="B1758" s="1">
        <v>45632</v>
      </c>
      <c r="C1758" t="s">
        <v>12</v>
      </c>
      <c r="D1758">
        <v>199</v>
      </c>
      <c r="E1758">
        <v>16</v>
      </c>
      <c r="F1758">
        <v>6</v>
      </c>
      <c r="G1758">
        <v>2</v>
      </c>
      <c r="H1758">
        <v>10</v>
      </c>
      <c r="I1758">
        <v>22</v>
      </c>
      <c r="J1758" t="s">
        <v>13</v>
      </c>
    </row>
    <row r="1759" spans="1:10">
      <c r="A1759">
        <v>1758</v>
      </c>
      <c r="B1759" s="1">
        <v>45261</v>
      </c>
      <c r="C1759" t="s">
        <v>10</v>
      </c>
      <c r="D1759">
        <v>699</v>
      </c>
      <c r="E1759">
        <v>23</v>
      </c>
      <c r="F1759">
        <v>8</v>
      </c>
      <c r="G1759">
        <v>4</v>
      </c>
      <c r="H1759">
        <v>16</v>
      </c>
      <c r="I1759">
        <v>29</v>
      </c>
      <c r="J1759" t="s">
        <v>11</v>
      </c>
    </row>
    <row r="1760" spans="1:10">
      <c r="A1760">
        <v>1759</v>
      </c>
      <c r="B1760" s="1">
        <v>45007</v>
      </c>
      <c r="C1760" t="s">
        <v>14</v>
      </c>
      <c r="D1760">
        <v>399</v>
      </c>
      <c r="E1760">
        <v>4.0999999999999996</v>
      </c>
      <c r="F1760">
        <v>1</v>
      </c>
      <c r="G1760">
        <v>3</v>
      </c>
      <c r="H1760">
        <v>3</v>
      </c>
      <c r="I1760">
        <v>32</v>
      </c>
      <c r="J1760" t="s">
        <v>13</v>
      </c>
    </row>
    <row r="1761" spans="1:10">
      <c r="A1761">
        <v>1760</v>
      </c>
      <c r="B1761" s="1">
        <v>45595</v>
      </c>
      <c r="C1761" t="s">
        <v>14</v>
      </c>
      <c r="D1761">
        <v>399</v>
      </c>
      <c r="E1761">
        <v>10.9</v>
      </c>
      <c r="F1761">
        <v>0</v>
      </c>
      <c r="G1761">
        <v>1</v>
      </c>
      <c r="H1761">
        <v>20</v>
      </c>
      <c r="I1761">
        <v>60</v>
      </c>
      <c r="J1761" t="s">
        <v>13</v>
      </c>
    </row>
    <row r="1762" spans="1:10">
      <c r="A1762">
        <v>1761</v>
      </c>
      <c r="B1762" s="1">
        <v>45194</v>
      </c>
      <c r="C1762" t="s">
        <v>10</v>
      </c>
      <c r="D1762">
        <v>699</v>
      </c>
      <c r="E1762">
        <v>21</v>
      </c>
      <c r="F1762">
        <v>6</v>
      </c>
      <c r="G1762">
        <v>0</v>
      </c>
      <c r="H1762">
        <v>6</v>
      </c>
      <c r="I1762">
        <v>50</v>
      </c>
      <c r="J1762" t="s">
        <v>11</v>
      </c>
    </row>
    <row r="1763" spans="1:10">
      <c r="A1763">
        <v>1762</v>
      </c>
      <c r="B1763" s="1">
        <v>45514</v>
      </c>
      <c r="C1763" t="s">
        <v>14</v>
      </c>
      <c r="D1763">
        <v>399</v>
      </c>
      <c r="E1763">
        <v>13.7</v>
      </c>
      <c r="F1763">
        <v>3</v>
      </c>
      <c r="G1763">
        <v>5</v>
      </c>
      <c r="H1763">
        <v>33</v>
      </c>
      <c r="I1763">
        <v>51</v>
      </c>
      <c r="J1763" t="s">
        <v>11</v>
      </c>
    </row>
    <row r="1764" spans="1:10">
      <c r="A1764">
        <v>1763</v>
      </c>
      <c r="B1764" s="1">
        <v>45117</v>
      </c>
      <c r="C1764" t="s">
        <v>14</v>
      </c>
      <c r="D1764">
        <v>399</v>
      </c>
      <c r="E1764">
        <v>19.100000000000001</v>
      </c>
      <c r="F1764">
        <v>6</v>
      </c>
      <c r="G1764">
        <v>2</v>
      </c>
      <c r="H1764">
        <v>14</v>
      </c>
      <c r="I1764">
        <v>47</v>
      </c>
      <c r="J1764" t="s">
        <v>11</v>
      </c>
    </row>
    <row r="1765" spans="1:10">
      <c r="A1765">
        <v>1764</v>
      </c>
      <c r="B1765" s="1">
        <v>44932</v>
      </c>
      <c r="C1765" t="s">
        <v>14</v>
      </c>
      <c r="D1765">
        <v>399</v>
      </c>
      <c r="E1765">
        <v>17</v>
      </c>
      <c r="F1765">
        <v>6</v>
      </c>
      <c r="G1765">
        <v>1</v>
      </c>
      <c r="H1765">
        <v>33</v>
      </c>
      <c r="I1765">
        <v>43</v>
      </c>
      <c r="J1765" t="s">
        <v>11</v>
      </c>
    </row>
    <row r="1766" spans="1:10">
      <c r="A1766">
        <v>1765</v>
      </c>
      <c r="B1766" s="1">
        <v>45400</v>
      </c>
      <c r="C1766" t="s">
        <v>14</v>
      </c>
      <c r="D1766">
        <v>399</v>
      </c>
      <c r="E1766">
        <v>1</v>
      </c>
      <c r="F1766">
        <v>6</v>
      </c>
      <c r="G1766">
        <v>5</v>
      </c>
      <c r="H1766">
        <v>14</v>
      </c>
      <c r="I1766">
        <v>8</v>
      </c>
      <c r="J1766" t="s">
        <v>11</v>
      </c>
    </row>
    <row r="1767" spans="1:10">
      <c r="A1767">
        <v>1766</v>
      </c>
      <c r="B1767" s="1">
        <v>44992</v>
      </c>
      <c r="C1767" t="s">
        <v>10</v>
      </c>
      <c r="D1767">
        <v>699</v>
      </c>
      <c r="E1767">
        <v>2.9</v>
      </c>
      <c r="F1767">
        <v>3</v>
      </c>
      <c r="G1767">
        <v>0</v>
      </c>
      <c r="H1767">
        <v>21</v>
      </c>
      <c r="I1767">
        <v>45</v>
      </c>
      <c r="J1767" t="s">
        <v>11</v>
      </c>
    </row>
    <row r="1768" spans="1:10">
      <c r="A1768">
        <v>1767</v>
      </c>
      <c r="B1768" s="1">
        <v>45263</v>
      </c>
      <c r="C1768" t="s">
        <v>10</v>
      </c>
      <c r="D1768">
        <v>699</v>
      </c>
      <c r="E1768">
        <v>18.3</v>
      </c>
      <c r="F1768">
        <v>7</v>
      </c>
      <c r="G1768">
        <v>4</v>
      </c>
      <c r="H1768">
        <v>19</v>
      </c>
      <c r="I1768">
        <v>26</v>
      </c>
      <c r="J1768" t="s">
        <v>11</v>
      </c>
    </row>
    <row r="1769" spans="1:10">
      <c r="A1769">
        <v>1768</v>
      </c>
      <c r="B1769" s="1">
        <v>45281</v>
      </c>
      <c r="C1769" t="s">
        <v>10</v>
      </c>
      <c r="D1769">
        <v>699</v>
      </c>
      <c r="E1769">
        <v>12.2</v>
      </c>
      <c r="F1769">
        <v>8</v>
      </c>
      <c r="G1769">
        <v>0</v>
      </c>
      <c r="H1769">
        <v>25</v>
      </c>
      <c r="I1769">
        <v>21</v>
      </c>
      <c r="J1769" t="s">
        <v>11</v>
      </c>
    </row>
    <row r="1770" spans="1:10">
      <c r="A1770">
        <v>1769</v>
      </c>
      <c r="B1770" s="1">
        <v>45616</v>
      </c>
      <c r="C1770" t="s">
        <v>14</v>
      </c>
      <c r="D1770">
        <v>399</v>
      </c>
      <c r="E1770">
        <v>11.8</v>
      </c>
      <c r="F1770">
        <v>7</v>
      </c>
      <c r="G1770">
        <v>1</v>
      </c>
      <c r="H1770">
        <v>10</v>
      </c>
      <c r="I1770">
        <v>34</v>
      </c>
      <c r="J1770" t="s">
        <v>13</v>
      </c>
    </row>
    <row r="1771" spans="1:10">
      <c r="A1771">
        <v>1770</v>
      </c>
      <c r="B1771" s="1">
        <v>45280</v>
      </c>
      <c r="C1771" t="s">
        <v>14</v>
      </c>
      <c r="D1771">
        <v>399</v>
      </c>
      <c r="E1771">
        <v>10.4</v>
      </c>
      <c r="F1771">
        <v>1</v>
      </c>
      <c r="G1771">
        <v>5</v>
      </c>
      <c r="H1771">
        <v>17</v>
      </c>
      <c r="I1771">
        <v>31</v>
      </c>
      <c r="J1771" t="s">
        <v>11</v>
      </c>
    </row>
    <row r="1772" spans="1:10">
      <c r="A1772">
        <v>1771</v>
      </c>
      <c r="B1772" s="1">
        <v>45249</v>
      </c>
      <c r="C1772" t="s">
        <v>12</v>
      </c>
      <c r="D1772">
        <v>199</v>
      </c>
      <c r="E1772">
        <v>18.8</v>
      </c>
      <c r="F1772">
        <v>8</v>
      </c>
      <c r="G1772">
        <v>2</v>
      </c>
      <c r="H1772">
        <v>14</v>
      </c>
      <c r="I1772">
        <v>19</v>
      </c>
      <c r="J1772" t="s">
        <v>11</v>
      </c>
    </row>
    <row r="1773" spans="1:10">
      <c r="A1773">
        <v>1772</v>
      </c>
      <c r="B1773" s="1">
        <v>45352</v>
      </c>
      <c r="C1773" t="s">
        <v>14</v>
      </c>
      <c r="D1773">
        <v>399</v>
      </c>
      <c r="E1773">
        <v>1.2</v>
      </c>
      <c r="F1773">
        <v>2</v>
      </c>
      <c r="G1773">
        <v>4</v>
      </c>
      <c r="H1773">
        <v>30</v>
      </c>
      <c r="I1773">
        <v>22</v>
      </c>
      <c r="J1773" t="s">
        <v>11</v>
      </c>
    </row>
    <row r="1774" spans="1:10">
      <c r="A1774">
        <v>1773</v>
      </c>
      <c r="B1774" s="1">
        <v>45061</v>
      </c>
      <c r="C1774" t="s">
        <v>12</v>
      </c>
      <c r="D1774">
        <v>199</v>
      </c>
      <c r="E1774">
        <v>14.1</v>
      </c>
      <c r="F1774">
        <v>7</v>
      </c>
      <c r="G1774">
        <v>1</v>
      </c>
      <c r="H1774">
        <v>19</v>
      </c>
      <c r="I1774">
        <v>24</v>
      </c>
      <c r="J1774" t="s">
        <v>13</v>
      </c>
    </row>
    <row r="1775" spans="1:10">
      <c r="A1775">
        <v>1774</v>
      </c>
      <c r="B1775" s="1">
        <v>45109</v>
      </c>
      <c r="C1775" t="s">
        <v>14</v>
      </c>
      <c r="D1775">
        <v>399</v>
      </c>
      <c r="E1775">
        <v>2.9</v>
      </c>
      <c r="F1775">
        <v>3</v>
      </c>
      <c r="G1775">
        <v>1</v>
      </c>
      <c r="H1775">
        <v>8</v>
      </c>
      <c r="I1775">
        <v>7</v>
      </c>
      <c r="J1775" t="s">
        <v>13</v>
      </c>
    </row>
    <row r="1776" spans="1:10">
      <c r="A1776">
        <v>1775</v>
      </c>
      <c r="B1776" s="1">
        <v>45212</v>
      </c>
      <c r="C1776" t="s">
        <v>12</v>
      </c>
      <c r="D1776">
        <v>199</v>
      </c>
      <c r="E1776">
        <v>14</v>
      </c>
      <c r="F1776">
        <v>5</v>
      </c>
      <c r="G1776">
        <v>1</v>
      </c>
      <c r="H1776">
        <v>26</v>
      </c>
      <c r="I1776">
        <v>26</v>
      </c>
      <c r="J1776" t="s">
        <v>13</v>
      </c>
    </row>
    <row r="1777" spans="1:10">
      <c r="A1777">
        <v>1776</v>
      </c>
      <c r="B1777" s="1">
        <v>45157</v>
      </c>
      <c r="C1777" t="s">
        <v>14</v>
      </c>
      <c r="D1777">
        <v>399</v>
      </c>
      <c r="E1777">
        <v>15.9</v>
      </c>
      <c r="F1777">
        <v>5</v>
      </c>
      <c r="G1777">
        <v>4</v>
      </c>
      <c r="H1777">
        <v>24</v>
      </c>
      <c r="I1777">
        <v>34</v>
      </c>
      <c r="J1777" t="s">
        <v>11</v>
      </c>
    </row>
    <row r="1778" spans="1:10">
      <c r="A1778">
        <v>1777</v>
      </c>
      <c r="B1778" s="1">
        <v>45108</v>
      </c>
      <c r="C1778" t="s">
        <v>14</v>
      </c>
      <c r="D1778">
        <v>399</v>
      </c>
      <c r="E1778">
        <v>19</v>
      </c>
      <c r="F1778">
        <v>4</v>
      </c>
      <c r="G1778">
        <v>3</v>
      </c>
      <c r="H1778">
        <v>32</v>
      </c>
      <c r="I1778">
        <v>10</v>
      </c>
      <c r="J1778" t="s">
        <v>13</v>
      </c>
    </row>
    <row r="1779" spans="1:10">
      <c r="A1779">
        <v>1778</v>
      </c>
      <c r="B1779" s="1">
        <v>45027</v>
      </c>
      <c r="C1779" t="s">
        <v>14</v>
      </c>
      <c r="D1779">
        <v>399</v>
      </c>
      <c r="E1779">
        <v>0.6</v>
      </c>
      <c r="F1779">
        <v>5</v>
      </c>
      <c r="G1779">
        <v>3</v>
      </c>
      <c r="H1779">
        <v>19</v>
      </c>
      <c r="I1779">
        <v>41</v>
      </c>
      <c r="J1779" t="s">
        <v>11</v>
      </c>
    </row>
    <row r="1780" spans="1:10">
      <c r="A1780">
        <v>1779</v>
      </c>
      <c r="B1780" s="1">
        <v>45156</v>
      </c>
      <c r="C1780" t="s">
        <v>14</v>
      </c>
      <c r="D1780">
        <v>399</v>
      </c>
      <c r="E1780">
        <v>24.4</v>
      </c>
      <c r="F1780">
        <v>6</v>
      </c>
      <c r="G1780">
        <v>1</v>
      </c>
      <c r="H1780">
        <v>27</v>
      </c>
      <c r="I1780">
        <v>40</v>
      </c>
      <c r="J1780" t="s">
        <v>11</v>
      </c>
    </row>
    <row r="1781" spans="1:10">
      <c r="A1781">
        <v>1780</v>
      </c>
      <c r="B1781" s="1">
        <v>45097</v>
      </c>
      <c r="C1781" t="s">
        <v>12</v>
      </c>
      <c r="D1781">
        <v>199</v>
      </c>
      <c r="E1781">
        <v>25</v>
      </c>
      <c r="F1781">
        <v>6</v>
      </c>
      <c r="G1781">
        <v>0</v>
      </c>
      <c r="H1781">
        <v>33</v>
      </c>
      <c r="I1781">
        <v>20</v>
      </c>
      <c r="J1781" t="s">
        <v>13</v>
      </c>
    </row>
    <row r="1782" spans="1:10">
      <c r="A1782">
        <v>1781</v>
      </c>
      <c r="B1782" s="1">
        <v>45596</v>
      </c>
      <c r="C1782" t="s">
        <v>10</v>
      </c>
      <c r="D1782">
        <v>699</v>
      </c>
      <c r="E1782">
        <v>17.3</v>
      </c>
      <c r="F1782">
        <v>5</v>
      </c>
      <c r="G1782">
        <v>0</v>
      </c>
      <c r="H1782">
        <v>31</v>
      </c>
      <c r="I1782">
        <v>47</v>
      </c>
      <c r="J1782" t="s">
        <v>13</v>
      </c>
    </row>
    <row r="1783" spans="1:10">
      <c r="A1783">
        <v>1782</v>
      </c>
      <c r="B1783" s="1">
        <v>45172</v>
      </c>
      <c r="C1783" t="s">
        <v>14</v>
      </c>
      <c r="D1783">
        <v>399</v>
      </c>
      <c r="E1783">
        <v>13</v>
      </c>
      <c r="F1783">
        <v>3</v>
      </c>
      <c r="G1783">
        <v>1</v>
      </c>
      <c r="H1783">
        <v>36</v>
      </c>
      <c r="I1783">
        <v>29</v>
      </c>
      <c r="J1783" t="s">
        <v>13</v>
      </c>
    </row>
    <row r="1784" spans="1:10">
      <c r="A1784">
        <v>1783</v>
      </c>
      <c r="B1784" s="1">
        <v>44958</v>
      </c>
      <c r="C1784" t="s">
        <v>12</v>
      </c>
      <c r="D1784">
        <v>199</v>
      </c>
      <c r="E1784">
        <v>23.5</v>
      </c>
      <c r="F1784">
        <v>3</v>
      </c>
      <c r="G1784">
        <v>2</v>
      </c>
      <c r="H1784">
        <v>31</v>
      </c>
      <c r="I1784">
        <v>8</v>
      </c>
      <c r="J1784" t="s">
        <v>11</v>
      </c>
    </row>
    <row r="1785" spans="1:10">
      <c r="A1785">
        <v>1784</v>
      </c>
      <c r="B1785" s="1">
        <v>45399</v>
      </c>
      <c r="C1785" t="s">
        <v>12</v>
      </c>
      <c r="D1785">
        <v>199</v>
      </c>
      <c r="E1785">
        <v>11.8</v>
      </c>
      <c r="F1785">
        <v>7</v>
      </c>
      <c r="G1785">
        <v>1</v>
      </c>
      <c r="H1785">
        <v>30</v>
      </c>
      <c r="I1785">
        <v>50</v>
      </c>
      <c r="J1785" t="s">
        <v>11</v>
      </c>
    </row>
    <row r="1786" spans="1:10">
      <c r="A1786">
        <v>1785</v>
      </c>
      <c r="B1786" s="1">
        <v>44998</v>
      </c>
      <c r="C1786" t="s">
        <v>10</v>
      </c>
      <c r="D1786">
        <v>699</v>
      </c>
      <c r="E1786">
        <v>20.2</v>
      </c>
      <c r="F1786">
        <v>5</v>
      </c>
      <c r="G1786">
        <v>1</v>
      </c>
      <c r="H1786">
        <v>8</v>
      </c>
      <c r="I1786">
        <v>15</v>
      </c>
      <c r="J1786" t="s">
        <v>13</v>
      </c>
    </row>
    <row r="1787" spans="1:10">
      <c r="A1787">
        <v>1786</v>
      </c>
      <c r="B1787" s="1">
        <v>44999</v>
      </c>
      <c r="C1787" t="s">
        <v>12</v>
      </c>
      <c r="D1787">
        <v>199</v>
      </c>
      <c r="E1787">
        <v>17.2</v>
      </c>
      <c r="F1787">
        <v>6</v>
      </c>
      <c r="G1787">
        <v>4</v>
      </c>
      <c r="H1787">
        <v>3</v>
      </c>
      <c r="I1787">
        <v>30</v>
      </c>
      <c r="J1787" t="s">
        <v>13</v>
      </c>
    </row>
    <row r="1788" spans="1:10">
      <c r="A1788">
        <v>1787</v>
      </c>
      <c r="B1788" s="1">
        <v>45589</v>
      </c>
      <c r="C1788" t="s">
        <v>14</v>
      </c>
      <c r="D1788">
        <v>399</v>
      </c>
      <c r="E1788">
        <v>22.1</v>
      </c>
      <c r="F1788">
        <v>8</v>
      </c>
      <c r="G1788">
        <v>0</v>
      </c>
      <c r="H1788">
        <v>17</v>
      </c>
      <c r="I1788">
        <v>45</v>
      </c>
      <c r="J1788" t="s">
        <v>13</v>
      </c>
    </row>
    <row r="1789" spans="1:10">
      <c r="A1789">
        <v>1788</v>
      </c>
      <c r="B1789" s="1">
        <v>44967</v>
      </c>
      <c r="C1789" t="s">
        <v>10</v>
      </c>
      <c r="D1789">
        <v>699</v>
      </c>
      <c r="E1789">
        <v>11.2</v>
      </c>
      <c r="F1789">
        <v>0</v>
      </c>
      <c r="G1789">
        <v>2</v>
      </c>
      <c r="H1789">
        <v>2</v>
      </c>
      <c r="I1789">
        <v>51</v>
      </c>
      <c r="J1789" t="s">
        <v>11</v>
      </c>
    </row>
    <row r="1790" spans="1:10">
      <c r="A1790">
        <v>1789</v>
      </c>
      <c r="B1790" s="1">
        <v>45054</v>
      </c>
      <c r="C1790" t="s">
        <v>14</v>
      </c>
      <c r="D1790">
        <v>399</v>
      </c>
      <c r="E1790">
        <v>18.100000000000001</v>
      </c>
      <c r="F1790">
        <v>8</v>
      </c>
      <c r="G1790">
        <v>5</v>
      </c>
      <c r="H1790">
        <v>26</v>
      </c>
      <c r="I1790">
        <v>41</v>
      </c>
      <c r="J1790" t="s">
        <v>11</v>
      </c>
    </row>
    <row r="1791" spans="1:10">
      <c r="A1791">
        <v>1790</v>
      </c>
      <c r="B1791" s="1">
        <v>45599</v>
      </c>
      <c r="C1791" t="s">
        <v>12</v>
      </c>
      <c r="D1791">
        <v>199</v>
      </c>
      <c r="E1791">
        <v>21.3</v>
      </c>
      <c r="F1791">
        <v>1</v>
      </c>
      <c r="G1791">
        <v>5</v>
      </c>
      <c r="H1791">
        <v>10</v>
      </c>
      <c r="I1791">
        <v>10</v>
      </c>
      <c r="J1791" t="s">
        <v>13</v>
      </c>
    </row>
    <row r="1792" spans="1:10">
      <c r="A1792">
        <v>1791</v>
      </c>
      <c r="B1792" s="1">
        <v>45584</v>
      </c>
      <c r="C1792" t="s">
        <v>14</v>
      </c>
      <c r="D1792">
        <v>399</v>
      </c>
      <c r="E1792">
        <v>22.9</v>
      </c>
      <c r="F1792">
        <v>7</v>
      </c>
      <c r="G1792">
        <v>1</v>
      </c>
      <c r="H1792">
        <v>10</v>
      </c>
      <c r="I1792">
        <v>16</v>
      </c>
      <c r="J1792" t="s">
        <v>11</v>
      </c>
    </row>
    <row r="1793" spans="1:10">
      <c r="A1793">
        <v>1792</v>
      </c>
      <c r="B1793" s="1">
        <v>45229</v>
      </c>
      <c r="C1793" t="s">
        <v>10</v>
      </c>
      <c r="D1793">
        <v>699</v>
      </c>
      <c r="E1793">
        <v>11.7</v>
      </c>
      <c r="F1793">
        <v>7</v>
      </c>
      <c r="G1793">
        <v>1</v>
      </c>
      <c r="H1793">
        <v>5</v>
      </c>
      <c r="I1793">
        <v>48</v>
      </c>
      <c r="J1793" t="s">
        <v>11</v>
      </c>
    </row>
    <row r="1794" spans="1:10">
      <c r="A1794">
        <v>1793</v>
      </c>
      <c r="B1794" s="1">
        <v>45535</v>
      </c>
      <c r="C1794" t="s">
        <v>10</v>
      </c>
      <c r="D1794">
        <v>699</v>
      </c>
      <c r="E1794">
        <v>8.6</v>
      </c>
      <c r="F1794">
        <v>7</v>
      </c>
      <c r="G1794">
        <v>5</v>
      </c>
      <c r="H1794">
        <v>29</v>
      </c>
      <c r="I1794">
        <v>16</v>
      </c>
      <c r="J1794" t="s">
        <v>13</v>
      </c>
    </row>
    <row r="1795" spans="1:10">
      <c r="A1795">
        <v>1794</v>
      </c>
      <c r="B1795" s="1">
        <v>45504</v>
      </c>
      <c r="C1795" t="s">
        <v>12</v>
      </c>
      <c r="D1795">
        <v>199</v>
      </c>
      <c r="E1795">
        <v>4.0999999999999996</v>
      </c>
      <c r="F1795">
        <v>4</v>
      </c>
      <c r="G1795">
        <v>0</v>
      </c>
      <c r="H1795">
        <v>9</v>
      </c>
      <c r="I1795">
        <v>14</v>
      </c>
      <c r="J1795" t="s">
        <v>13</v>
      </c>
    </row>
    <row r="1796" spans="1:10">
      <c r="A1796">
        <v>1795</v>
      </c>
      <c r="B1796" s="1">
        <v>45657</v>
      </c>
      <c r="C1796" t="s">
        <v>14</v>
      </c>
      <c r="D1796">
        <v>399</v>
      </c>
      <c r="E1796">
        <v>8</v>
      </c>
      <c r="F1796">
        <v>2</v>
      </c>
      <c r="G1796">
        <v>4</v>
      </c>
      <c r="H1796">
        <v>19</v>
      </c>
      <c r="I1796">
        <v>40</v>
      </c>
      <c r="J1796" t="s">
        <v>11</v>
      </c>
    </row>
    <row r="1797" spans="1:10">
      <c r="A1797">
        <v>1796</v>
      </c>
      <c r="B1797" s="1">
        <v>45320</v>
      </c>
      <c r="C1797" t="s">
        <v>14</v>
      </c>
      <c r="D1797">
        <v>399</v>
      </c>
      <c r="E1797">
        <v>4.3</v>
      </c>
      <c r="F1797">
        <v>2</v>
      </c>
      <c r="G1797">
        <v>1</v>
      </c>
      <c r="H1797">
        <v>19</v>
      </c>
      <c r="I1797">
        <v>38</v>
      </c>
      <c r="J1797" t="s">
        <v>11</v>
      </c>
    </row>
    <row r="1798" spans="1:10">
      <c r="A1798">
        <v>1797</v>
      </c>
      <c r="B1798" s="1">
        <v>44939</v>
      </c>
      <c r="C1798" t="s">
        <v>14</v>
      </c>
      <c r="D1798">
        <v>399</v>
      </c>
      <c r="E1798">
        <v>1.2</v>
      </c>
      <c r="F1798">
        <v>3</v>
      </c>
      <c r="G1798">
        <v>4</v>
      </c>
      <c r="H1798">
        <v>15</v>
      </c>
      <c r="I1798">
        <v>19</v>
      </c>
      <c r="J1798" t="s">
        <v>11</v>
      </c>
    </row>
    <row r="1799" spans="1:10">
      <c r="A1799">
        <v>1798</v>
      </c>
      <c r="B1799" s="1">
        <v>45101</v>
      </c>
      <c r="C1799" t="s">
        <v>14</v>
      </c>
      <c r="D1799">
        <v>399</v>
      </c>
      <c r="E1799">
        <v>18.2</v>
      </c>
      <c r="F1799">
        <v>8</v>
      </c>
      <c r="G1799">
        <v>3</v>
      </c>
      <c r="H1799">
        <v>24</v>
      </c>
      <c r="I1799">
        <v>30</v>
      </c>
      <c r="J1799" t="s">
        <v>11</v>
      </c>
    </row>
    <row r="1800" spans="1:10">
      <c r="A1800">
        <v>1799</v>
      </c>
      <c r="B1800" s="1">
        <v>45423</v>
      </c>
      <c r="C1800" t="s">
        <v>14</v>
      </c>
      <c r="D1800">
        <v>399</v>
      </c>
      <c r="E1800">
        <v>14.9</v>
      </c>
      <c r="F1800">
        <v>8</v>
      </c>
      <c r="G1800">
        <v>2</v>
      </c>
      <c r="H1800">
        <v>10</v>
      </c>
      <c r="I1800">
        <v>33</v>
      </c>
      <c r="J1800" t="s">
        <v>11</v>
      </c>
    </row>
    <row r="1801" spans="1:10">
      <c r="A1801">
        <v>1800</v>
      </c>
      <c r="B1801" s="1">
        <v>44941</v>
      </c>
      <c r="C1801" t="s">
        <v>10</v>
      </c>
      <c r="D1801">
        <v>699</v>
      </c>
      <c r="E1801">
        <v>21.8</v>
      </c>
      <c r="F1801">
        <v>7</v>
      </c>
      <c r="G1801">
        <v>1</v>
      </c>
      <c r="H1801">
        <v>11</v>
      </c>
      <c r="I1801">
        <v>30</v>
      </c>
      <c r="J1801" t="s">
        <v>13</v>
      </c>
    </row>
    <row r="1802" spans="1:10">
      <c r="A1802">
        <v>1801</v>
      </c>
      <c r="B1802" s="1">
        <v>45550</v>
      </c>
      <c r="C1802" t="s">
        <v>10</v>
      </c>
      <c r="D1802">
        <v>699</v>
      </c>
      <c r="E1802">
        <v>8.9</v>
      </c>
      <c r="F1802">
        <v>4</v>
      </c>
      <c r="G1802">
        <v>1</v>
      </c>
      <c r="H1802">
        <v>5</v>
      </c>
      <c r="I1802">
        <v>14</v>
      </c>
      <c r="J1802" t="s">
        <v>11</v>
      </c>
    </row>
    <row r="1803" spans="1:10">
      <c r="A1803">
        <v>1802</v>
      </c>
      <c r="B1803" s="1">
        <v>45580</v>
      </c>
      <c r="C1803" t="s">
        <v>10</v>
      </c>
      <c r="D1803">
        <v>699</v>
      </c>
      <c r="E1803">
        <v>16.399999999999999</v>
      </c>
      <c r="F1803">
        <v>5</v>
      </c>
      <c r="G1803">
        <v>3</v>
      </c>
      <c r="H1803">
        <v>8</v>
      </c>
      <c r="I1803">
        <v>29</v>
      </c>
      <c r="J1803" t="s">
        <v>11</v>
      </c>
    </row>
    <row r="1804" spans="1:10">
      <c r="A1804">
        <v>1803</v>
      </c>
      <c r="B1804" s="1">
        <v>45568</v>
      </c>
      <c r="C1804" t="s">
        <v>12</v>
      </c>
      <c r="D1804">
        <v>199</v>
      </c>
      <c r="E1804">
        <v>22.5</v>
      </c>
      <c r="F1804">
        <v>3</v>
      </c>
      <c r="G1804">
        <v>2</v>
      </c>
      <c r="H1804">
        <v>34</v>
      </c>
      <c r="I1804">
        <v>42</v>
      </c>
      <c r="J1804" t="s">
        <v>11</v>
      </c>
    </row>
    <row r="1805" spans="1:10">
      <c r="A1805">
        <v>1804</v>
      </c>
      <c r="B1805" s="1">
        <v>45477</v>
      </c>
      <c r="C1805" t="s">
        <v>12</v>
      </c>
      <c r="D1805">
        <v>199</v>
      </c>
      <c r="E1805">
        <v>12.9</v>
      </c>
      <c r="F1805">
        <v>4</v>
      </c>
      <c r="G1805">
        <v>4</v>
      </c>
      <c r="H1805">
        <v>22</v>
      </c>
      <c r="I1805">
        <v>34</v>
      </c>
      <c r="J1805" t="s">
        <v>13</v>
      </c>
    </row>
    <row r="1806" spans="1:10">
      <c r="A1806">
        <v>1805</v>
      </c>
      <c r="B1806" s="1">
        <v>45114</v>
      </c>
      <c r="C1806" t="s">
        <v>12</v>
      </c>
      <c r="D1806">
        <v>199</v>
      </c>
      <c r="E1806">
        <v>11.4</v>
      </c>
      <c r="F1806">
        <v>8</v>
      </c>
      <c r="G1806">
        <v>1</v>
      </c>
      <c r="H1806">
        <v>4</v>
      </c>
      <c r="I1806">
        <v>15</v>
      </c>
      <c r="J1806" t="s">
        <v>13</v>
      </c>
    </row>
    <row r="1807" spans="1:10">
      <c r="A1807">
        <v>1806</v>
      </c>
      <c r="B1807" s="1">
        <v>45199</v>
      </c>
      <c r="C1807" t="s">
        <v>10</v>
      </c>
      <c r="D1807">
        <v>699</v>
      </c>
      <c r="E1807">
        <v>6.1</v>
      </c>
      <c r="F1807">
        <v>7</v>
      </c>
      <c r="G1807">
        <v>1</v>
      </c>
      <c r="H1807">
        <v>16</v>
      </c>
      <c r="I1807">
        <v>2</v>
      </c>
      <c r="J1807" t="s">
        <v>13</v>
      </c>
    </row>
    <row r="1808" spans="1:10">
      <c r="A1808">
        <v>1807</v>
      </c>
      <c r="B1808" s="1">
        <v>45062</v>
      </c>
      <c r="C1808" t="s">
        <v>10</v>
      </c>
      <c r="D1808">
        <v>699</v>
      </c>
      <c r="E1808">
        <v>2.7</v>
      </c>
      <c r="F1808">
        <v>3</v>
      </c>
      <c r="G1808">
        <v>5</v>
      </c>
      <c r="H1808">
        <v>18</v>
      </c>
      <c r="I1808">
        <v>53</v>
      </c>
      <c r="J1808" t="s">
        <v>13</v>
      </c>
    </row>
    <row r="1809" spans="1:10">
      <c r="A1809">
        <v>1808</v>
      </c>
      <c r="B1809" s="1">
        <v>45415</v>
      </c>
      <c r="C1809" t="s">
        <v>10</v>
      </c>
      <c r="D1809">
        <v>699</v>
      </c>
      <c r="E1809">
        <v>2</v>
      </c>
      <c r="F1809">
        <v>3</v>
      </c>
      <c r="G1809">
        <v>1</v>
      </c>
      <c r="H1809">
        <v>20</v>
      </c>
      <c r="I1809">
        <v>37</v>
      </c>
      <c r="J1809" t="s">
        <v>13</v>
      </c>
    </row>
    <row r="1810" spans="1:10">
      <c r="A1810">
        <v>1809</v>
      </c>
      <c r="B1810" s="1">
        <v>45128</v>
      </c>
      <c r="C1810" t="s">
        <v>14</v>
      </c>
      <c r="D1810">
        <v>399</v>
      </c>
      <c r="E1810">
        <v>13.7</v>
      </c>
      <c r="F1810">
        <v>0</v>
      </c>
      <c r="G1810">
        <v>2</v>
      </c>
      <c r="H1810">
        <v>7</v>
      </c>
      <c r="I1810">
        <v>50</v>
      </c>
      <c r="J1810" t="s">
        <v>13</v>
      </c>
    </row>
    <row r="1811" spans="1:10">
      <c r="A1811">
        <v>1810</v>
      </c>
      <c r="B1811" s="1">
        <v>45147</v>
      </c>
      <c r="C1811" t="s">
        <v>14</v>
      </c>
      <c r="D1811">
        <v>399</v>
      </c>
      <c r="E1811">
        <v>11.3</v>
      </c>
      <c r="F1811">
        <v>7</v>
      </c>
      <c r="G1811">
        <v>1</v>
      </c>
      <c r="H1811">
        <v>8</v>
      </c>
      <c r="I1811">
        <v>6</v>
      </c>
      <c r="J1811" t="s">
        <v>13</v>
      </c>
    </row>
    <row r="1812" spans="1:10">
      <c r="A1812">
        <v>1811</v>
      </c>
      <c r="B1812" s="1">
        <v>45041</v>
      </c>
      <c r="C1812" t="s">
        <v>10</v>
      </c>
      <c r="D1812">
        <v>699</v>
      </c>
      <c r="E1812">
        <v>7.8</v>
      </c>
      <c r="F1812">
        <v>0</v>
      </c>
      <c r="G1812">
        <v>4</v>
      </c>
      <c r="H1812">
        <v>32</v>
      </c>
      <c r="I1812">
        <v>27</v>
      </c>
      <c r="J1812" t="s">
        <v>13</v>
      </c>
    </row>
    <row r="1813" spans="1:10">
      <c r="A1813">
        <v>1812</v>
      </c>
      <c r="B1813" s="1">
        <v>45394</v>
      </c>
      <c r="C1813" t="s">
        <v>10</v>
      </c>
      <c r="D1813">
        <v>699</v>
      </c>
      <c r="E1813">
        <v>19.5</v>
      </c>
      <c r="F1813">
        <v>3</v>
      </c>
      <c r="G1813">
        <v>4</v>
      </c>
      <c r="H1813">
        <v>29</v>
      </c>
      <c r="I1813">
        <v>51</v>
      </c>
      <c r="J1813" t="s">
        <v>13</v>
      </c>
    </row>
    <row r="1814" spans="1:10">
      <c r="A1814">
        <v>1813</v>
      </c>
      <c r="B1814" s="1">
        <v>45446</v>
      </c>
      <c r="C1814" t="s">
        <v>12</v>
      </c>
      <c r="D1814">
        <v>199</v>
      </c>
      <c r="E1814">
        <v>19</v>
      </c>
      <c r="F1814">
        <v>4</v>
      </c>
      <c r="G1814">
        <v>3</v>
      </c>
      <c r="H1814">
        <v>17</v>
      </c>
      <c r="I1814">
        <v>40</v>
      </c>
      <c r="J1814" t="s">
        <v>11</v>
      </c>
    </row>
    <row r="1815" spans="1:10">
      <c r="A1815">
        <v>1814</v>
      </c>
      <c r="B1815" s="1">
        <v>45276</v>
      </c>
      <c r="C1815" t="s">
        <v>14</v>
      </c>
      <c r="D1815">
        <v>399</v>
      </c>
      <c r="E1815">
        <v>7.5</v>
      </c>
      <c r="F1815">
        <v>4</v>
      </c>
      <c r="G1815">
        <v>2</v>
      </c>
      <c r="H1815">
        <v>33</v>
      </c>
      <c r="I1815">
        <v>55</v>
      </c>
      <c r="J1815" t="s">
        <v>11</v>
      </c>
    </row>
    <row r="1816" spans="1:10">
      <c r="A1816">
        <v>1815</v>
      </c>
      <c r="B1816" s="1">
        <v>45426</v>
      </c>
      <c r="C1816" t="s">
        <v>14</v>
      </c>
      <c r="D1816">
        <v>399</v>
      </c>
      <c r="E1816">
        <v>12.8</v>
      </c>
      <c r="F1816">
        <v>7</v>
      </c>
      <c r="G1816">
        <v>0</v>
      </c>
      <c r="H1816">
        <v>36</v>
      </c>
      <c r="I1816">
        <v>48</v>
      </c>
      <c r="J1816" t="s">
        <v>13</v>
      </c>
    </row>
    <row r="1817" spans="1:10">
      <c r="A1817">
        <v>1816</v>
      </c>
      <c r="B1817" s="1">
        <v>44994</v>
      </c>
      <c r="C1817" t="s">
        <v>12</v>
      </c>
      <c r="D1817">
        <v>199</v>
      </c>
      <c r="E1817">
        <v>22.4</v>
      </c>
      <c r="F1817">
        <v>8</v>
      </c>
      <c r="G1817">
        <v>3</v>
      </c>
      <c r="H1817">
        <v>21</v>
      </c>
      <c r="I1817">
        <v>31</v>
      </c>
      <c r="J1817" t="s">
        <v>11</v>
      </c>
    </row>
    <row r="1818" spans="1:10">
      <c r="A1818">
        <v>1817</v>
      </c>
      <c r="B1818" s="1">
        <v>45114</v>
      </c>
      <c r="C1818" t="s">
        <v>14</v>
      </c>
      <c r="D1818">
        <v>399</v>
      </c>
      <c r="E1818">
        <v>2.8</v>
      </c>
      <c r="F1818">
        <v>7</v>
      </c>
      <c r="G1818">
        <v>2</v>
      </c>
      <c r="H1818">
        <v>20</v>
      </c>
      <c r="I1818">
        <v>40</v>
      </c>
      <c r="J1818" t="s">
        <v>11</v>
      </c>
    </row>
    <row r="1819" spans="1:10">
      <c r="A1819">
        <v>1818</v>
      </c>
      <c r="B1819" s="1">
        <v>45470</v>
      </c>
      <c r="C1819" t="s">
        <v>12</v>
      </c>
      <c r="D1819">
        <v>199</v>
      </c>
      <c r="E1819">
        <v>19.2</v>
      </c>
      <c r="F1819">
        <v>3</v>
      </c>
      <c r="G1819">
        <v>2</v>
      </c>
      <c r="H1819">
        <v>7</v>
      </c>
      <c r="I1819">
        <v>32</v>
      </c>
      <c r="J1819" t="s">
        <v>11</v>
      </c>
    </row>
    <row r="1820" spans="1:10">
      <c r="A1820">
        <v>1819</v>
      </c>
      <c r="B1820" s="1">
        <v>45087</v>
      </c>
      <c r="C1820" t="s">
        <v>14</v>
      </c>
      <c r="D1820">
        <v>399</v>
      </c>
      <c r="E1820">
        <v>17.3</v>
      </c>
      <c r="F1820">
        <v>3</v>
      </c>
      <c r="G1820">
        <v>4</v>
      </c>
      <c r="H1820">
        <v>7</v>
      </c>
      <c r="I1820">
        <v>43</v>
      </c>
      <c r="J1820" t="s">
        <v>11</v>
      </c>
    </row>
    <row r="1821" spans="1:10">
      <c r="A1821">
        <v>1820</v>
      </c>
      <c r="B1821" s="1">
        <v>45455</v>
      </c>
      <c r="C1821" t="s">
        <v>12</v>
      </c>
      <c r="D1821">
        <v>199</v>
      </c>
      <c r="E1821">
        <v>19.8</v>
      </c>
      <c r="F1821">
        <v>2</v>
      </c>
      <c r="G1821">
        <v>4</v>
      </c>
      <c r="H1821">
        <v>26</v>
      </c>
      <c r="I1821">
        <v>42</v>
      </c>
      <c r="J1821" t="s">
        <v>11</v>
      </c>
    </row>
    <row r="1822" spans="1:10">
      <c r="A1822">
        <v>1821</v>
      </c>
      <c r="B1822" s="1">
        <v>45237</v>
      </c>
      <c r="C1822" t="s">
        <v>14</v>
      </c>
      <c r="D1822">
        <v>399</v>
      </c>
      <c r="E1822">
        <v>19.600000000000001</v>
      </c>
      <c r="F1822">
        <v>4</v>
      </c>
      <c r="G1822">
        <v>1</v>
      </c>
      <c r="H1822">
        <v>27</v>
      </c>
      <c r="I1822">
        <v>59</v>
      </c>
      <c r="J1822" t="s">
        <v>11</v>
      </c>
    </row>
    <row r="1823" spans="1:10">
      <c r="A1823">
        <v>1822</v>
      </c>
      <c r="B1823" s="1">
        <v>45362</v>
      </c>
      <c r="C1823" t="s">
        <v>14</v>
      </c>
      <c r="D1823">
        <v>399</v>
      </c>
      <c r="E1823">
        <v>8</v>
      </c>
      <c r="F1823">
        <v>5</v>
      </c>
      <c r="G1823">
        <v>5</v>
      </c>
      <c r="H1823">
        <v>10</v>
      </c>
      <c r="I1823">
        <v>20</v>
      </c>
      <c r="J1823" t="s">
        <v>11</v>
      </c>
    </row>
    <row r="1824" spans="1:10">
      <c r="A1824">
        <v>1823</v>
      </c>
      <c r="B1824" s="1">
        <v>45289</v>
      </c>
      <c r="C1824" t="s">
        <v>10</v>
      </c>
      <c r="D1824">
        <v>699</v>
      </c>
      <c r="E1824">
        <v>19.2</v>
      </c>
      <c r="F1824">
        <v>0</v>
      </c>
      <c r="G1824">
        <v>3</v>
      </c>
      <c r="H1824">
        <v>26</v>
      </c>
      <c r="I1824">
        <v>3</v>
      </c>
      <c r="J1824" t="s">
        <v>13</v>
      </c>
    </row>
    <row r="1825" spans="1:10">
      <c r="A1825">
        <v>1824</v>
      </c>
      <c r="B1825" s="1">
        <v>45140</v>
      </c>
      <c r="C1825" t="s">
        <v>10</v>
      </c>
      <c r="D1825">
        <v>699</v>
      </c>
      <c r="E1825">
        <v>24.4</v>
      </c>
      <c r="F1825">
        <v>4</v>
      </c>
      <c r="G1825">
        <v>0</v>
      </c>
      <c r="H1825">
        <v>9</v>
      </c>
      <c r="I1825">
        <v>52</v>
      </c>
      <c r="J1825" t="s">
        <v>13</v>
      </c>
    </row>
    <row r="1826" spans="1:10">
      <c r="A1826">
        <v>1825</v>
      </c>
      <c r="B1826" s="1">
        <v>45318</v>
      </c>
      <c r="C1826" t="s">
        <v>10</v>
      </c>
      <c r="D1826">
        <v>699</v>
      </c>
      <c r="E1826">
        <v>7.7</v>
      </c>
      <c r="F1826">
        <v>5</v>
      </c>
      <c r="G1826">
        <v>0</v>
      </c>
      <c r="H1826">
        <v>17</v>
      </c>
      <c r="I1826">
        <v>20</v>
      </c>
      <c r="J1826" t="s">
        <v>13</v>
      </c>
    </row>
    <row r="1827" spans="1:10">
      <c r="A1827">
        <v>1826</v>
      </c>
      <c r="B1827" s="1">
        <v>45207</v>
      </c>
      <c r="C1827" t="s">
        <v>14</v>
      </c>
      <c r="D1827">
        <v>399</v>
      </c>
      <c r="E1827">
        <v>14.2</v>
      </c>
      <c r="F1827">
        <v>3</v>
      </c>
      <c r="G1827">
        <v>1</v>
      </c>
      <c r="H1827">
        <v>36</v>
      </c>
      <c r="I1827">
        <v>39</v>
      </c>
      <c r="J1827" t="s">
        <v>13</v>
      </c>
    </row>
    <row r="1828" spans="1:10">
      <c r="A1828">
        <v>1827</v>
      </c>
      <c r="B1828" s="1">
        <v>45534</v>
      </c>
      <c r="C1828" t="s">
        <v>12</v>
      </c>
      <c r="D1828">
        <v>199</v>
      </c>
      <c r="E1828">
        <v>6.5</v>
      </c>
      <c r="F1828">
        <v>5</v>
      </c>
      <c r="G1828">
        <v>5</v>
      </c>
      <c r="H1828">
        <v>5</v>
      </c>
      <c r="I1828">
        <v>30</v>
      </c>
      <c r="J1828" t="s">
        <v>13</v>
      </c>
    </row>
    <row r="1829" spans="1:10">
      <c r="A1829">
        <v>1828</v>
      </c>
      <c r="B1829" s="1">
        <v>45182</v>
      </c>
      <c r="C1829" t="s">
        <v>14</v>
      </c>
      <c r="D1829">
        <v>399</v>
      </c>
      <c r="E1829">
        <v>19.600000000000001</v>
      </c>
      <c r="F1829">
        <v>6</v>
      </c>
      <c r="G1829">
        <v>5</v>
      </c>
      <c r="H1829">
        <v>3</v>
      </c>
      <c r="I1829">
        <v>58</v>
      </c>
      <c r="J1829" t="s">
        <v>11</v>
      </c>
    </row>
    <row r="1830" spans="1:10">
      <c r="A1830">
        <v>1829</v>
      </c>
      <c r="B1830" s="1">
        <v>45305</v>
      </c>
      <c r="C1830" t="s">
        <v>14</v>
      </c>
      <c r="D1830">
        <v>399</v>
      </c>
      <c r="E1830">
        <v>2</v>
      </c>
      <c r="F1830">
        <v>0</v>
      </c>
      <c r="G1830">
        <v>5</v>
      </c>
      <c r="H1830">
        <v>25</v>
      </c>
      <c r="I1830">
        <v>21</v>
      </c>
      <c r="J1830" t="s">
        <v>11</v>
      </c>
    </row>
    <row r="1831" spans="1:10">
      <c r="A1831">
        <v>1830</v>
      </c>
      <c r="B1831" s="1">
        <v>45350</v>
      </c>
      <c r="C1831" t="s">
        <v>14</v>
      </c>
      <c r="D1831">
        <v>399</v>
      </c>
      <c r="E1831">
        <v>3.2</v>
      </c>
      <c r="F1831">
        <v>2</v>
      </c>
      <c r="G1831">
        <v>5</v>
      </c>
      <c r="H1831">
        <v>19</v>
      </c>
      <c r="I1831">
        <v>4</v>
      </c>
      <c r="J1831" t="s">
        <v>11</v>
      </c>
    </row>
    <row r="1832" spans="1:10">
      <c r="A1832">
        <v>1831</v>
      </c>
      <c r="B1832" s="1">
        <v>45262</v>
      </c>
      <c r="C1832" t="s">
        <v>12</v>
      </c>
      <c r="D1832">
        <v>199</v>
      </c>
      <c r="E1832">
        <v>15</v>
      </c>
      <c r="F1832">
        <v>3</v>
      </c>
      <c r="G1832">
        <v>4</v>
      </c>
      <c r="H1832">
        <v>10</v>
      </c>
      <c r="I1832">
        <v>5</v>
      </c>
      <c r="J1832" t="s">
        <v>13</v>
      </c>
    </row>
    <row r="1833" spans="1:10">
      <c r="A1833">
        <v>1832</v>
      </c>
      <c r="B1833" s="1">
        <v>45633</v>
      </c>
      <c r="C1833" t="s">
        <v>10</v>
      </c>
      <c r="D1833">
        <v>699</v>
      </c>
      <c r="E1833">
        <v>19.2</v>
      </c>
      <c r="F1833">
        <v>4</v>
      </c>
      <c r="G1833">
        <v>4</v>
      </c>
      <c r="H1833">
        <v>35</v>
      </c>
      <c r="I1833">
        <v>33</v>
      </c>
      <c r="J1833" t="s">
        <v>13</v>
      </c>
    </row>
    <row r="1834" spans="1:10">
      <c r="A1834">
        <v>1833</v>
      </c>
      <c r="B1834" s="1">
        <v>45296</v>
      </c>
      <c r="C1834" t="s">
        <v>12</v>
      </c>
      <c r="D1834">
        <v>199</v>
      </c>
      <c r="E1834">
        <v>19.399999999999999</v>
      </c>
      <c r="F1834">
        <v>1</v>
      </c>
      <c r="G1834">
        <v>5</v>
      </c>
      <c r="H1834">
        <v>9</v>
      </c>
      <c r="I1834">
        <v>45</v>
      </c>
      <c r="J1834" t="s">
        <v>13</v>
      </c>
    </row>
    <row r="1835" spans="1:10">
      <c r="A1835">
        <v>1834</v>
      </c>
      <c r="B1835" s="1">
        <v>45130</v>
      </c>
      <c r="C1835" t="s">
        <v>14</v>
      </c>
      <c r="D1835">
        <v>399</v>
      </c>
      <c r="E1835">
        <v>5</v>
      </c>
      <c r="F1835">
        <v>7</v>
      </c>
      <c r="G1835">
        <v>1</v>
      </c>
      <c r="H1835">
        <v>14</v>
      </c>
      <c r="I1835">
        <v>29</v>
      </c>
      <c r="J1835" t="s">
        <v>11</v>
      </c>
    </row>
    <row r="1836" spans="1:10">
      <c r="A1836">
        <v>1835</v>
      </c>
      <c r="B1836" s="1">
        <v>45364</v>
      </c>
      <c r="C1836" t="s">
        <v>10</v>
      </c>
      <c r="D1836">
        <v>699</v>
      </c>
      <c r="E1836">
        <v>6.8</v>
      </c>
      <c r="F1836">
        <v>0</v>
      </c>
      <c r="G1836">
        <v>1</v>
      </c>
      <c r="H1836">
        <v>17</v>
      </c>
      <c r="I1836">
        <v>7</v>
      </c>
      <c r="J1836" t="s">
        <v>13</v>
      </c>
    </row>
    <row r="1837" spans="1:10">
      <c r="A1837">
        <v>1836</v>
      </c>
      <c r="B1837" s="1">
        <v>45309</v>
      </c>
      <c r="C1837" t="s">
        <v>14</v>
      </c>
      <c r="D1837">
        <v>399</v>
      </c>
      <c r="E1837">
        <v>20.100000000000001</v>
      </c>
      <c r="F1837">
        <v>8</v>
      </c>
      <c r="G1837">
        <v>0</v>
      </c>
      <c r="H1837">
        <v>32</v>
      </c>
      <c r="I1837">
        <v>58</v>
      </c>
      <c r="J1837" t="s">
        <v>13</v>
      </c>
    </row>
    <row r="1838" spans="1:10">
      <c r="A1838">
        <v>1837</v>
      </c>
      <c r="B1838" s="1">
        <v>45216</v>
      </c>
      <c r="C1838" t="s">
        <v>12</v>
      </c>
      <c r="D1838">
        <v>199</v>
      </c>
      <c r="E1838">
        <v>24.9</v>
      </c>
      <c r="F1838">
        <v>8</v>
      </c>
      <c r="G1838">
        <v>2</v>
      </c>
      <c r="H1838">
        <v>28</v>
      </c>
      <c r="I1838">
        <v>50</v>
      </c>
      <c r="J1838" t="s">
        <v>11</v>
      </c>
    </row>
    <row r="1839" spans="1:10">
      <c r="A1839">
        <v>1838</v>
      </c>
      <c r="B1839" s="1">
        <v>45042</v>
      </c>
      <c r="C1839" t="s">
        <v>10</v>
      </c>
      <c r="D1839">
        <v>699</v>
      </c>
      <c r="E1839">
        <v>16</v>
      </c>
      <c r="F1839">
        <v>1</v>
      </c>
      <c r="G1839">
        <v>4</v>
      </c>
      <c r="H1839">
        <v>22</v>
      </c>
      <c r="I1839">
        <v>5</v>
      </c>
      <c r="J1839" t="s">
        <v>13</v>
      </c>
    </row>
    <row r="1840" spans="1:10">
      <c r="A1840">
        <v>1839</v>
      </c>
      <c r="B1840" s="1">
        <v>45592</v>
      </c>
      <c r="C1840" t="s">
        <v>10</v>
      </c>
      <c r="D1840">
        <v>699</v>
      </c>
      <c r="E1840">
        <v>20.100000000000001</v>
      </c>
      <c r="F1840">
        <v>1</v>
      </c>
      <c r="G1840">
        <v>4</v>
      </c>
      <c r="H1840">
        <v>11</v>
      </c>
      <c r="I1840">
        <v>59</v>
      </c>
      <c r="J1840" t="s">
        <v>11</v>
      </c>
    </row>
    <row r="1841" spans="1:10">
      <c r="A1841">
        <v>1840</v>
      </c>
      <c r="B1841" s="1">
        <v>45082</v>
      </c>
      <c r="C1841" t="s">
        <v>12</v>
      </c>
      <c r="D1841">
        <v>199</v>
      </c>
      <c r="E1841">
        <v>19.3</v>
      </c>
      <c r="F1841">
        <v>6</v>
      </c>
      <c r="G1841">
        <v>2</v>
      </c>
      <c r="H1841">
        <v>5</v>
      </c>
      <c r="I1841">
        <v>29</v>
      </c>
      <c r="J1841" t="s">
        <v>11</v>
      </c>
    </row>
    <row r="1842" spans="1:10">
      <c r="A1842">
        <v>1841</v>
      </c>
      <c r="B1842" s="1">
        <v>45369</v>
      </c>
      <c r="C1842" t="s">
        <v>10</v>
      </c>
      <c r="D1842">
        <v>699</v>
      </c>
      <c r="E1842">
        <v>2.2999999999999998</v>
      </c>
      <c r="F1842">
        <v>5</v>
      </c>
      <c r="G1842">
        <v>3</v>
      </c>
      <c r="H1842">
        <v>22</v>
      </c>
      <c r="I1842">
        <v>33</v>
      </c>
      <c r="J1842" t="s">
        <v>11</v>
      </c>
    </row>
    <row r="1843" spans="1:10">
      <c r="A1843">
        <v>1842</v>
      </c>
      <c r="B1843" s="1">
        <v>44935</v>
      </c>
      <c r="C1843" t="s">
        <v>12</v>
      </c>
      <c r="D1843">
        <v>199</v>
      </c>
      <c r="E1843">
        <v>14.6</v>
      </c>
      <c r="F1843">
        <v>0</v>
      </c>
      <c r="G1843">
        <v>4</v>
      </c>
      <c r="H1843">
        <v>26</v>
      </c>
      <c r="I1843">
        <v>53</v>
      </c>
      <c r="J1843" t="s">
        <v>11</v>
      </c>
    </row>
    <row r="1844" spans="1:10">
      <c r="A1844">
        <v>1843</v>
      </c>
      <c r="B1844" s="1">
        <v>45261</v>
      </c>
      <c r="C1844" t="s">
        <v>12</v>
      </c>
      <c r="D1844">
        <v>199</v>
      </c>
      <c r="E1844">
        <v>11</v>
      </c>
      <c r="F1844">
        <v>4</v>
      </c>
      <c r="G1844">
        <v>1</v>
      </c>
      <c r="H1844">
        <v>21</v>
      </c>
      <c r="I1844">
        <v>37</v>
      </c>
      <c r="J1844" t="s">
        <v>13</v>
      </c>
    </row>
    <row r="1845" spans="1:10">
      <c r="A1845">
        <v>1844</v>
      </c>
      <c r="B1845" s="1">
        <v>45517</v>
      </c>
      <c r="C1845" t="s">
        <v>10</v>
      </c>
      <c r="D1845">
        <v>699</v>
      </c>
      <c r="E1845">
        <v>16.5</v>
      </c>
      <c r="F1845">
        <v>3</v>
      </c>
      <c r="G1845">
        <v>4</v>
      </c>
      <c r="H1845">
        <v>30</v>
      </c>
      <c r="I1845">
        <v>59</v>
      </c>
      <c r="J1845" t="s">
        <v>11</v>
      </c>
    </row>
    <row r="1846" spans="1:10">
      <c r="A1846">
        <v>1845</v>
      </c>
      <c r="B1846" s="1">
        <v>45473</v>
      </c>
      <c r="C1846" t="s">
        <v>12</v>
      </c>
      <c r="D1846">
        <v>199</v>
      </c>
      <c r="E1846">
        <v>19.399999999999999</v>
      </c>
      <c r="F1846">
        <v>3</v>
      </c>
      <c r="G1846">
        <v>2</v>
      </c>
      <c r="H1846">
        <v>13</v>
      </c>
      <c r="I1846">
        <v>11</v>
      </c>
      <c r="J1846" t="s">
        <v>11</v>
      </c>
    </row>
    <row r="1847" spans="1:10">
      <c r="A1847">
        <v>1846</v>
      </c>
      <c r="B1847" s="1">
        <v>45249</v>
      </c>
      <c r="C1847" t="s">
        <v>10</v>
      </c>
      <c r="D1847">
        <v>699</v>
      </c>
      <c r="E1847">
        <v>19.600000000000001</v>
      </c>
      <c r="F1847">
        <v>8</v>
      </c>
      <c r="G1847">
        <v>2</v>
      </c>
      <c r="H1847">
        <v>3</v>
      </c>
      <c r="I1847">
        <v>4</v>
      </c>
      <c r="J1847" t="s">
        <v>11</v>
      </c>
    </row>
    <row r="1848" spans="1:10">
      <c r="A1848">
        <v>1847</v>
      </c>
      <c r="B1848" s="1">
        <v>45149</v>
      </c>
      <c r="C1848" t="s">
        <v>12</v>
      </c>
      <c r="D1848">
        <v>199</v>
      </c>
      <c r="E1848">
        <v>5.4</v>
      </c>
      <c r="F1848">
        <v>2</v>
      </c>
      <c r="G1848">
        <v>3</v>
      </c>
      <c r="H1848">
        <v>14</v>
      </c>
      <c r="I1848">
        <v>17</v>
      </c>
      <c r="J1848" t="s">
        <v>11</v>
      </c>
    </row>
    <row r="1849" spans="1:10">
      <c r="A1849">
        <v>1848</v>
      </c>
      <c r="B1849" s="1">
        <v>44953</v>
      </c>
      <c r="C1849" t="s">
        <v>14</v>
      </c>
      <c r="D1849">
        <v>399</v>
      </c>
      <c r="E1849">
        <v>3.9</v>
      </c>
      <c r="F1849">
        <v>7</v>
      </c>
      <c r="G1849">
        <v>0</v>
      </c>
      <c r="H1849">
        <v>2</v>
      </c>
      <c r="I1849">
        <v>53</v>
      </c>
      <c r="J1849" t="s">
        <v>13</v>
      </c>
    </row>
    <row r="1850" spans="1:10">
      <c r="A1850">
        <v>1849</v>
      </c>
      <c r="B1850" s="1">
        <v>45316</v>
      </c>
      <c r="C1850" t="s">
        <v>14</v>
      </c>
      <c r="D1850">
        <v>399</v>
      </c>
      <c r="E1850">
        <v>9.8000000000000007</v>
      </c>
      <c r="F1850">
        <v>7</v>
      </c>
      <c r="G1850">
        <v>3</v>
      </c>
      <c r="H1850">
        <v>14</v>
      </c>
      <c r="I1850">
        <v>25</v>
      </c>
      <c r="J1850" t="s">
        <v>11</v>
      </c>
    </row>
    <row r="1851" spans="1:10">
      <c r="A1851">
        <v>1850</v>
      </c>
      <c r="B1851" s="1">
        <v>45455</v>
      </c>
      <c r="C1851" t="s">
        <v>10</v>
      </c>
      <c r="D1851">
        <v>699</v>
      </c>
      <c r="E1851">
        <v>2.8</v>
      </c>
      <c r="F1851">
        <v>2</v>
      </c>
      <c r="G1851">
        <v>4</v>
      </c>
      <c r="H1851">
        <v>8</v>
      </c>
      <c r="I1851">
        <v>58</v>
      </c>
      <c r="J1851" t="s">
        <v>11</v>
      </c>
    </row>
    <row r="1852" spans="1:10">
      <c r="A1852">
        <v>1851</v>
      </c>
      <c r="B1852" s="1">
        <v>45251</v>
      </c>
      <c r="C1852" t="s">
        <v>12</v>
      </c>
      <c r="D1852">
        <v>199</v>
      </c>
      <c r="E1852">
        <v>19</v>
      </c>
      <c r="F1852">
        <v>1</v>
      </c>
      <c r="G1852">
        <v>3</v>
      </c>
      <c r="H1852">
        <v>11</v>
      </c>
      <c r="I1852">
        <v>47</v>
      </c>
      <c r="J1852" t="s">
        <v>13</v>
      </c>
    </row>
    <row r="1853" spans="1:10">
      <c r="A1853">
        <v>1852</v>
      </c>
      <c r="B1853" s="1">
        <v>45447</v>
      </c>
      <c r="C1853" t="s">
        <v>14</v>
      </c>
      <c r="D1853">
        <v>399</v>
      </c>
      <c r="E1853">
        <v>5.7</v>
      </c>
      <c r="F1853">
        <v>1</v>
      </c>
      <c r="G1853">
        <v>4</v>
      </c>
      <c r="H1853">
        <v>13</v>
      </c>
      <c r="I1853">
        <v>23</v>
      </c>
      <c r="J1853" t="s">
        <v>11</v>
      </c>
    </row>
    <row r="1854" spans="1:10">
      <c r="A1854">
        <v>1853</v>
      </c>
      <c r="B1854" s="1">
        <v>45029</v>
      </c>
      <c r="C1854" t="s">
        <v>12</v>
      </c>
      <c r="D1854">
        <v>199</v>
      </c>
      <c r="E1854">
        <v>0.9</v>
      </c>
      <c r="F1854">
        <v>6</v>
      </c>
      <c r="G1854">
        <v>3</v>
      </c>
      <c r="H1854">
        <v>30</v>
      </c>
      <c r="I1854">
        <v>25</v>
      </c>
      <c r="J1854" t="s">
        <v>11</v>
      </c>
    </row>
    <row r="1855" spans="1:10">
      <c r="A1855">
        <v>1854</v>
      </c>
      <c r="B1855" s="1">
        <v>45234</v>
      </c>
      <c r="C1855" t="s">
        <v>14</v>
      </c>
      <c r="D1855">
        <v>399</v>
      </c>
      <c r="E1855">
        <v>23.7</v>
      </c>
      <c r="F1855">
        <v>1</v>
      </c>
      <c r="G1855">
        <v>3</v>
      </c>
      <c r="H1855">
        <v>24</v>
      </c>
      <c r="I1855">
        <v>60</v>
      </c>
      <c r="J1855" t="s">
        <v>13</v>
      </c>
    </row>
    <row r="1856" spans="1:10">
      <c r="A1856">
        <v>1855</v>
      </c>
      <c r="B1856" s="1">
        <v>45208</v>
      </c>
      <c r="C1856" t="s">
        <v>12</v>
      </c>
      <c r="D1856">
        <v>199</v>
      </c>
      <c r="E1856">
        <v>16.399999999999999</v>
      </c>
      <c r="F1856">
        <v>6</v>
      </c>
      <c r="G1856">
        <v>3</v>
      </c>
      <c r="H1856">
        <v>6</v>
      </c>
      <c r="I1856">
        <v>1</v>
      </c>
      <c r="J1856" t="s">
        <v>13</v>
      </c>
    </row>
    <row r="1857" spans="1:10">
      <c r="A1857">
        <v>1856</v>
      </c>
      <c r="B1857" s="1">
        <v>45458</v>
      </c>
      <c r="C1857" t="s">
        <v>10</v>
      </c>
      <c r="D1857">
        <v>699</v>
      </c>
      <c r="E1857">
        <v>1.6</v>
      </c>
      <c r="F1857">
        <v>3</v>
      </c>
      <c r="G1857">
        <v>1</v>
      </c>
      <c r="H1857">
        <v>21</v>
      </c>
      <c r="I1857">
        <v>36</v>
      </c>
      <c r="J1857" t="s">
        <v>11</v>
      </c>
    </row>
    <row r="1858" spans="1:10">
      <c r="A1858">
        <v>1857</v>
      </c>
      <c r="B1858" s="1">
        <v>45603</v>
      </c>
      <c r="C1858" t="s">
        <v>12</v>
      </c>
      <c r="D1858">
        <v>199</v>
      </c>
      <c r="E1858">
        <v>17.5</v>
      </c>
      <c r="F1858">
        <v>0</v>
      </c>
      <c r="G1858">
        <v>0</v>
      </c>
      <c r="H1858">
        <v>9</v>
      </c>
      <c r="I1858">
        <v>38</v>
      </c>
      <c r="J1858" t="s">
        <v>13</v>
      </c>
    </row>
    <row r="1859" spans="1:10">
      <c r="A1859">
        <v>1858</v>
      </c>
      <c r="B1859" s="1">
        <v>45458</v>
      </c>
      <c r="C1859" t="s">
        <v>14</v>
      </c>
      <c r="D1859">
        <v>399</v>
      </c>
      <c r="E1859">
        <v>15.6</v>
      </c>
      <c r="F1859">
        <v>2</v>
      </c>
      <c r="G1859">
        <v>3</v>
      </c>
      <c r="H1859">
        <v>24</v>
      </c>
      <c r="I1859">
        <v>11</v>
      </c>
      <c r="J1859" t="s">
        <v>11</v>
      </c>
    </row>
    <row r="1860" spans="1:10">
      <c r="A1860">
        <v>1859</v>
      </c>
      <c r="B1860" s="1">
        <v>45240</v>
      </c>
      <c r="C1860" t="s">
        <v>12</v>
      </c>
      <c r="D1860">
        <v>199</v>
      </c>
      <c r="E1860">
        <v>9.4</v>
      </c>
      <c r="F1860">
        <v>1</v>
      </c>
      <c r="G1860">
        <v>1</v>
      </c>
      <c r="H1860">
        <v>12</v>
      </c>
      <c r="I1860">
        <v>1</v>
      </c>
      <c r="J1860" t="s">
        <v>13</v>
      </c>
    </row>
    <row r="1861" spans="1:10">
      <c r="A1861">
        <v>1860</v>
      </c>
      <c r="B1861" s="1">
        <v>44953</v>
      </c>
      <c r="C1861" t="s">
        <v>14</v>
      </c>
      <c r="D1861">
        <v>399</v>
      </c>
      <c r="E1861">
        <v>22.8</v>
      </c>
      <c r="F1861">
        <v>4</v>
      </c>
      <c r="G1861">
        <v>4</v>
      </c>
      <c r="H1861">
        <v>24</v>
      </c>
      <c r="I1861">
        <v>20</v>
      </c>
      <c r="J1861" t="s">
        <v>11</v>
      </c>
    </row>
    <row r="1862" spans="1:10">
      <c r="A1862">
        <v>1861</v>
      </c>
      <c r="B1862" s="1">
        <v>45344</v>
      </c>
      <c r="C1862" t="s">
        <v>14</v>
      </c>
      <c r="D1862">
        <v>399</v>
      </c>
      <c r="E1862">
        <v>22.3</v>
      </c>
      <c r="F1862">
        <v>0</v>
      </c>
      <c r="G1862">
        <v>5</v>
      </c>
      <c r="H1862">
        <v>2</v>
      </c>
      <c r="I1862">
        <v>55</v>
      </c>
      <c r="J1862" t="s">
        <v>11</v>
      </c>
    </row>
    <row r="1863" spans="1:10">
      <c r="A1863">
        <v>1862</v>
      </c>
      <c r="B1863" s="1">
        <v>45284</v>
      </c>
      <c r="C1863" t="s">
        <v>12</v>
      </c>
      <c r="D1863">
        <v>199</v>
      </c>
      <c r="E1863">
        <v>9.6999999999999993</v>
      </c>
      <c r="F1863">
        <v>8</v>
      </c>
      <c r="G1863">
        <v>1</v>
      </c>
      <c r="H1863">
        <v>35</v>
      </c>
      <c r="I1863">
        <v>10</v>
      </c>
      <c r="J1863" t="s">
        <v>11</v>
      </c>
    </row>
    <row r="1864" spans="1:10">
      <c r="A1864">
        <v>1863</v>
      </c>
      <c r="B1864" s="1">
        <v>45352</v>
      </c>
      <c r="C1864" t="s">
        <v>12</v>
      </c>
      <c r="D1864">
        <v>199</v>
      </c>
      <c r="E1864">
        <v>10.8</v>
      </c>
      <c r="F1864">
        <v>1</v>
      </c>
      <c r="G1864">
        <v>0</v>
      </c>
      <c r="H1864">
        <v>6</v>
      </c>
      <c r="I1864">
        <v>30</v>
      </c>
      <c r="J1864" t="s">
        <v>13</v>
      </c>
    </row>
    <row r="1865" spans="1:10">
      <c r="A1865">
        <v>1864</v>
      </c>
      <c r="B1865" s="1">
        <v>45190</v>
      </c>
      <c r="C1865" t="s">
        <v>10</v>
      </c>
      <c r="D1865">
        <v>699</v>
      </c>
      <c r="E1865">
        <v>3.8</v>
      </c>
      <c r="F1865">
        <v>0</v>
      </c>
      <c r="G1865">
        <v>2</v>
      </c>
      <c r="H1865">
        <v>29</v>
      </c>
      <c r="I1865">
        <v>30</v>
      </c>
      <c r="J1865" t="s">
        <v>11</v>
      </c>
    </row>
    <row r="1866" spans="1:10">
      <c r="A1866">
        <v>1865</v>
      </c>
      <c r="B1866" s="1">
        <v>45416</v>
      </c>
      <c r="C1866" t="s">
        <v>12</v>
      </c>
      <c r="D1866">
        <v>199</v>
      </c>
      <c r="E1866">
        <v>16.600000000000001</v>
      </c>
      <c r="F1866">
        <v>5</v>
      </c>
      <c r="G1866">
        <v>4</v>
      </c>
      <c r="H1866">
        <v>21</v>
      </c>
      <c r="I1866">
        <v>42</v>
      </c>
      <c r="J1866" t="s">
        <v>11</v>
      </c>
    </row>
    <row r="1867" spans="1:10">
      <c r="A1867">
        <v>1866</v>
      </c>
      <c r="B1867" s="1">
        <v>45157</v>
      </c>
      <c r="C1867" t="s">
        <v>14</v>
      </c>
      <c r="D1867">
        <v>399</v>
      </c>
      <c r="E1867">
        <v>3.6</v>
      </c>
      <c r="F1867">
        <v>8</v>
      </c>
      <c r="G1867">
        <v>1</v>
      </c>
      <c r="H1867">
        <v>13</v>
      </c>
      <c r="I1867">
        <v>51</v>
      </c>
      <c r="J1867" t="s">
        <v>13</v>
      </c>
    </row>
    <row r="1868" spans="1:10">
      <c r="A1868">
        <v>1867</v>
      </c>
      <c r="B1868" s="1">
        <v>45182</v>
      </c>
      <c r="C1868" t="s">
        <v>10</v>
      </c>
      <c r="D1868">
        <v>699</v>
      </c>
      <c r="E1868">
        <v>18.7</v>
      </c>
      <c r="F1868">
        <v>6</v>
      </c>
      <c r="G1868">
        <v>2</v>
      </c>
      <c r="H1868">
        <v>6</v>
      </c>
      <c r="I1868">
        <v>56</v>
      </c>
      <c r="J1868" t="s">
        <v>11</v>
      </c>
    </row>
    <row r="1869" spans="1:10">
      <c r="A1869">
        <v>1868</v>
      </c>
      <c r="B1869" s="1">
        <v>45611</v>
      </c>
      <c r="C1869" t="s">
        <v>12</v>
      </c>
      <c r="D1869">
        <v>199</v>
      </c>
      <c r="E1869">
        <v>5</v>
      </c>
      <c r="F1869">
        <v>4</v>
      </c>
      <c r="G1869">
        <v>2</v>
      </c>
      <c r="H1869">
        <v>17</v>
      </c>
      <c r="I1869">
        <v>45</v>
      </c>
      <c r="J1869" t="s">
        <v>13</v>
      </c>
    </row>
    <row r="1870" spans="1:10">
      <c r="A1870">
        <v>1869</v>
      </c>
      <c r="B1870" s="1">
        <v>45604</v>
      </c>
      <c r="C1870" t="s">
        <v>10</v>
      </c>
      <c r="D1870">
        <v>699</v>
      </c>
      <c r="E1870">
        <v>13.2</v>
      </c>
      <c r="F1870">
        <v>4</v>
      </c>
      <c r="G1870">
        <v>1</v>
      </c>
      <c r="H1870">
        <v>34</v>
      </c>
      <c r="I1870">
        <v>20</v>
      </c>
      <c r="J1870" t="s">
        <v>13</v>
      </c>
    </row>
    <row r="1871" spans="1:10">
      <c r="A1871">
        <v>1870</v>
      </c>
      <c r="B1871" s="1">
        <v>45113</v>
      </c>
      <c r="C1871" t="s">
        <v>12</v>
      </c>
      <c r="D1871">
        <v>199</v>
      </c>
      <c r="E1871">
        <v>18.8</v>
      </c>
      <c r="F1871">
        <v>6</v>
      </c>
      <c r="G1871">
        <v>5</v>
      </c>
      <c r="H1871">
        <v>3</v>
      </c>
      <c r="I1871">
        <v>3</v>
      </c>
      <c r="J1871" t="s">
        <v>13</v>
      </c>
    </row>
    <row r="1872" spans="1:10">
      <c r="A1872">
        <v>1871</v>
      </c>
      <c r="B1872" s="1">
        <v>45512</v>
      </c>
      <c r="C1872" t="s">
        <v>12</v>
      </c>
      <c r="D1872">
        <v>199</v>
      </c>
      <c r="E1872">
        <v>16</v>
      </c>
      <c r="F1872">
        <v>3</v>
      </c>
      <c r="G1872">
        <v>1</v>
      </c>
      <c r="H1872">
        <v>10</v>
      </c>
      <c r="I1872">
        <v>25</v>
      </c>
      <c r="J1872" t="s">
        <v>11</v>
      </c>
    </row>
    <row r="1873" spans="1:10">
      <c r="A1873">
        <v>1872</v>
      </c>
      <c r="B1873" s="1">
        <v>45518</v>
      </c>
      <c r="C1873" t="s">
        <v>14</v>
      </c>
      <c r="D1873">
        <v>399</v>
      </c>
      <c r="E1873">
        <v>21.5</v>
      </c>
      <c r="F1873">
        <v>3</v>
      </c>
      <c r="G1873">
        <v>5</v>
      </c>
      <c r="H1873">
        <v>31</v>
      </c>
      <c r="I1873">
        <v>55</v>
      </c>
      <c r="J1873" t="s">
        <v>13</v>
      </c>
    </row>
    <row r="1874" spans="1:10">
      <c r="A1874">
        <v>1873</v>
      </c>
      <c r="B1874" s="1">
        <v>45047</v>
      </c>
      <c r="C1874" t="s">
        <v>14</v>
      </c>
      <c r="D1874">
        <v>399</v>
      </c>
      <c r="E1874">
        <v>24.8</v>
      </c>
      <c r="F1874">
        <v>7</v>
      </c>
      <c r="G1874">
        <v>4</v>
      </c>
      <c r="H1874">
        <v>29</v>
      </c>
      <c r="I1874">
        <v>16</v>
      </c>
      <c r="J1874" t="s">
        <v>13</v>
      </c>
    </row>
    <row r="1875" spans="1:10">
      <c r="A1875">
        <v>1874</v>
      </c>
      <c r="B1875" s="1">
        <v>45117</v>
      </c>
      <c r="C1875" t="s">
        <v>10</v>
      </c>
      <c r="D1875">
        <v>699</v>
      </c>
      <c r="E1875">
        <v>16.600000000000001</v>
      </c>
      <c r="F1875">
        <v>8</v>
      </c>
      <c r="G1875">
        <v>2</v>
      </c>
      <c r="H1875">
        <v>18</v>
      </c>
      <c r="I1875">
        <v>21</v>
      </c>
      <c r="J1875" t="s">
        <v>13</v>
      </c>
    </row>
    <row r="1876" spans="1:10">
      <c r="A1876">
        <v>1875</v>
      </c>
      <c r="B1876" s="1">
        <v>45611</v>
      </c>
      <c r="C1876" t="s">
        <v>14</v>
      </c>
      <c r="D1876">
        <v>399</v>
      </c>
      <c r="E1876">
        <v>20.3</v>
      </c>
      <c r="F1876">
        <v>7</v>
      </c>
      <c r="G1876">
        <v>4</v>
      </c>
      <c r="H1876">
        <v>22</v>
      </c>
      <c r="I1876">
        <v>29</v>
      </c>
      <c r="J1876" t="s">
        <v>11</v>
      </c>
    </row>
    <row r="1877" spans="1:10">
      <c r="A1877">
        <v>1876</v>
      </c>
      <c r="B1877" s="1">
        <v>45483</v>
      </c>
      <c r="C1877" t="s">
        <v>14</v>
      </c>
      <c r="D1877">
        <v>399</v>
      </c>
      <c r="E1877">
        <v>6.9</v>
      </c>
      <c r="F1877">
        <v>5</v>
      </c>
      <c r="G1877">
        <v>3</v>
      </c>
      <c r="H1877">
        <v>34</v>
      </c>
      <c r="I1877">
        <v>41</v>
      </c>
      <c r="J1877" t="s">
        <v>11</v>
      </c>
    </row>
    <row r="1878" spans="1:10">
      <c r="A1878">
        <v>1877</v>
      </c>
      <c r="B1878" s="1">
        <v>45229</v>
      </c>
      <c r="C1878" t="s">
        <v>12</v>
      </c>
      <c r="D1878">
        <v>199</v>
      </c>
      <c r="E1878">
        <v>6.1</v>
      </c>
      <c r="F1878">
        <v>7</v>
      </c>
      <c r="G1878">
        <v>0</v>
      </c>
      <c r="H1878">
        <v>7</v>
      </c>
      <c r="I1878">
        <v>7</v>
      </c>
      <c r="J1878" t="s">
        <v>13</v>
      </c>
    </row>
    <row r="1879" spans="1:10">
      <c r="A1879">
        <v>1878</v>
      </c>
      <c r="B1879" s="1">
        <v>45443</v>
      </c>
      <c r="C1879" t="s">
        <v>12</v>
      </c>
      <c r="D1879">
        <v>199</v>
      </c>
      <c r="E1879">
        <v>8</v>
      </c>
      <c r="F1879">
        <v>6</v>
      </c>
      <c r="G1879">
        <v>4</v>
      </c>
      <c r="H1879">
        <v>23</v>
      </c>
      <c r="I1879">
        <v>60</v>
      </c>
      <c r="J1879" t="s">
        <v>11</v>
      </c>
    </row>
    <row r="1880" spans="1:10">
      <c r="A1880">
        <v>1879</v>
      </c>
      <c r="B1880" s="1">
        <v>45154</v>
      </c>
      <c r="C1880" t="s">
        <v>12</v>
      </c>
      <c r="D1880">
        <v>199</v>
      </c>
      <c r="E1880">
        <v>20.6</v>
      </c>
      <c r="F1880">
        <v>8</v>
      </c>
      <c r="G1880">
        <v>1</v>
      </c>
      <c r="H1880">
        <v>26</v>
      </c>
      <c r="I1880">
        <v>9</v>
      </c>
      <c r="J1880" t="s">
        <v>13</v>
      </c>
    </row>
    <row r="1881" spans="1:10">
      <c r="A1881">
        <v>1880</v>
      </c>
      <c r="B1881" s="1">
        <v>45503</v>
      </c>
      <c r="C1881" t="s">
        <v>12</v>
      </c>
      <c r="D1881">
        <v>199</v>
      </c>
      <c r="E1881">
        <v>18.5</v>
      </c>
      <c r="F1881">
        <v>5</v>
      </c>
      <c r="G1881">
        <v>4</v>
      </c>
      <c r="H1881">
        <v>13</v>
      </c>
      <c r="I1881">
        <v>38</v>
      </c>
      <c r="J1881" t="s">
        <v>13</v>
      </c>
    </row>
    <row r="1882" spans="1:10">
      <c r="A1882">
        <v>1881</v>
      </c>
      <c r="B1882" s="1">
        <v>45470</v>
      </c>
      <c r="C1882" t="s">
        <v>10</v>
      </c>
      <c r="D1882">
        <v>699</v>
      </c>
      <c r="E1882">
        <v>1.7</v>
      </c>
      <c r="F1882">
        <v>8</v>
      </c>
      <c r="G1882">
        <v>2</v>
      </c>
      <c r="H1882">
        <v>34</v>
      </c>
      <c r="I1882">
        <v>34</v>
      </c>
      <c r="J1882" t="s">
        <v>11</v>
      </c>
    </row>
    <row r="1883" spans="1:10">
      <c r="A1883">
        <v>1882</v>
      </c>
      <c r="B1883" s="1">
        <v>45158</v>
      </c>
      <c r="C1883" t="s">
        <v>12</v>
      </c>
      <c r="D1883">
        <v>199</v>
      </c>
      <c r="E1883">
        <v>4.4000000000000004</v>
      </c>
      <c r="F1883">
        <v>2</v>
      </c>
      <c r="G1883">
        <v>5</v>
      </c>
      <c r="H1883">
        <v>24</v>
      </c>
      <c r="I1883">
        <v>40</v>
      </c>
      <c r="J1883" t="s">
        <v>13</v>
      </c>
    </row>
    <row r="1884" spans="1:10">
      <c r="A1884">
        <v>1883</v>
      </c>
      <c r="B1884" s="1">
        <v>45337</v>
      </c>
      <c r="C1884" t="s">
        <v>10</v>
      </c>
      <c r="D1884">
        <v>699</v>
      </c>
      <c r="E1884">
        <v>13.8</v>
      </c>
      <c r="F1884">
        <v>6</v>
      </c>
      <c r="G1884">
        <v>1</v>
      </c>
      <c r="H1884">
        <v>10</v>
      </c>
      <c r="I1884">
        <v>17</v>
      </c>
      <c r="J1884" t="s">
        <v>11</v>
      </c>
    </row>
    <row r="1885" spans="1:10">
      <c r="A1885">
        <v>1884</v>
      </c>
      <c r="B1885" s="1">
        <v>45234</v>
      </c>
      <c r="C1885" t="s">
        <v>14</v>
      </c>
      <c r="D1885">
        <v>399</v>
      </c>
      <c r="E1885">
        <v>22.6</v>
      </c>
      <c r="F1885">
        <v>6</v>
      </c>
      <c r="G1885">
        <v>3</v>
      </c>
      <c r="H1885">
        <v>25</v>
      </c>
      <c r="I1885">
        <v>29</v>
      </c>
      <c r="J1885" t="s">
        <v>11</v>
      </c>
    </row>
    <row r="1886" spans="1:10">
      <c r="A1886">
        <v>1885</v>
      </c>
      <c r="B1886" s="1">
        <v>45554</v>
      </c>
      <c r="C1886" t="s">
        <v>12</v>
      </c>
      <c r="D1886">
        <v>199</v>
      </c>
      <c r="E1886">
        <v>6.7</v>
      </c>
      <c r="F1886">
        <v>8</v>
      </c>
      <c r="G1886">
        <v>5</v>
      </c>
      <c r="H1886">
        <v>5</v>
      </c>
      <c r="I1886">
        <v>19</v>
      </c>
      <c r="J1886" t="s">
        <v>11</v>
      </c>
    </row>
    <row r="1887" spans="1:10">
      <c r="A1887">
        <v>1886</v>
      </c>
      <c r="B1887" s="1">
        <v>45091</v>
      </c>
      <c r="C1887" t="s">
        <v>10</v>
      </c>
      <c r="D1887">
        <v>699</v>
      </c>
      <c r="E1887">
        <v>2</v>
      </c>
      <c r="F1887">
        <v>6</v>
      </c>
      <c r="G1887">
        <v>1</v>
      </c>
      <c r="H1887">
        <v>5</v>
      </c>
      <c r="I1887">
        <v>9</v>
      </c>
      <c r="J1887" t="s">
        <v>11</v>
      </c>
    </row>
    <row r="1888" spans="1:10">
      <c r="A1888">
        <v>1887</v>
      </c>
      <c r="B1888" s="1">
        <v>45285</v>
      </c>
      <c r="C1888" t="s">
        <v>12</v>
      </c>
      <c r="D1888">
        <v>199</v>
      </c>
      <c r="E1888">
        <v>19.8</v>
      </c>
      <c r="F1888">
        <v>6</v>
      </c>
      <c r="G1888">
        <v>3</v>
      </c>
      <c r="H1888">
        <v>26</v>
      </c>
      <c r="I1888">
        <v>37</v>
      </c>
      <c r="J1888" t="s">
        <v>11</v>
      </c>
    </row>
    <row r="1889" spans="1:10">
      <c r="A1889">
        <v>1888</v>
      </c>
      <c r="B1889" s="1">
        <v>45526</v>
      </c>
      <c r="C1889" t="s">
        <v>12</v>
      </c>
      <c r="D1889">
        <v>199</v>
      </c>
      <c r="E1889">
        <v>24.1</v>
      </c>
      <c r="F1889">
        <v>4</v>
      </c>
      <c r="G1889">
        <v>1</v>
      </c>
      <c r="H1889">
        <v>15</v>
      </c>
      <c r="I1889">
        <v>57</v>
      </c>
      <c r="J1889" t="s">
        <v>11</v>
      </c>
    </row>
    <row r="1890" spans="1:10">
      <c r="A1890">
        <v>1889</v>
      </c>
      <c r="B1890" s="1">
        <v>44938</v>
      </c>
      <c r="C1890" t="s">
        <v>10</v>
      </c>
      <c r="D1890">
        <v>699</v>
      </c>
      <c r="E1890">
        <v>5.5</v>
      </c>
      <c r="F1890">
        <v>2</v>
      </c>
      <c r="G1890">
        <v>5</v>
      </c>
      <c r="H1890">
        <v>10</v>
      </c>
      <c r="I1890">
        <v>17</v>
      </c>
      <c r="J1890" t="s">
        <v>13</v>
      </c>
    </row>
    <row r="1891" spans="1:10">
      <c r="A1891">
        <v>1890</v>
      </c>
      <c r="B1891" s="1">
        <v>45409</v>
      </c>
      <c r="C1891" t="s">
        <v>10</v>
      </c>
      <c r="D1891">
        <v>699</v>
      </c>
      <c r="E1891">
        <v>13.3</v>
      </c>
      <c r="F1891">
        <v>8</v>
      </c>
      <c r="G1891">
        <v>0</v>
      </c>
      <c r="H1891">
        <v>8</v>
      </c>
      <c r="I1891">
        <v>49</v>
      </c>
      <c r="J1891" t="s">
        <v>13</v>
      </c>
    </row>
    <row r="1892" spans="1:10">
      <c r="A1892">
        <v>1891</v>
      </c>
      <c r="B1892" s="1">
        <v>45084</v>
      </c>
      <c r="C1892" t="s">
        <v>12</v>
      </c>
      <c r="D1892">
        <v>199</v>
      </c>
      <c r="E1892">
        <v>7.8</v>
      </c>
      <c r="F1892">
        <v>1</v>
      </c>
      <c r="G1892">
        <v>4</v>
      </c>
      <c r="H1892">
        <v>29</v>
      </c>
      <c r="I1892">
        <v>47</v>
      </c>
      <c r="J1892" t="s">
        <v>13</v>
      </c>
    </row>
    <row r="1893" spans="1:10">
      <c r="A1893">
        <v>1892</v>
      </c>
      <c r="B1893" s="1">
        <v>45042</v>
      </c>
      <c r="C1893" t="s">
        <v>12</v>
      </c>
      <c r="D1893">
        <v>199</v>
      </c>
      <c r="E1893">
        <v>21.9</v>
      </c>
      <c r="F1893">
        <v>0</v>
      </c>
      <c r="G1893">
        <v>3</v>
      </c>
      <c r="H1893">
        <v>22</v>
      </c>
      <c r="I1893">
        <v>53</v>
      </c>
      <c r="J1893" t="s">
        <v>13</v>
      </c>
    </row>
    <row r="1894" spans="1:10">
      <c r="A1894">
        <v>1893</v>
      </c>
      <c r="B1894" s="1">
        <v>45425</v>
      </c>
      <c r="C1894" t="s">
        <v>10</v>
      </c>
      <c r="D1894">
        <v>699</v>
      </c>
      <c r="E1894">
        <v>10.9</v>
      </c>
      <c r="F1894">
        <v>2</v>
      </c>
      <c r="G1894">
        <v>5</v>
      </c>
      <c r="H1894">
        <v>30</v>
      </c>
      <c r="I1894">
        <v>44</v>
      </c>
      <c r="J1894" t="s">
        <v>13</v>
      </c>
    </row>
    <row r="1895" spans="1:10">
      <c r="A1895">
        <v>1894</v>
      </c>
      <c r="B1895" s="1">
        <v>45298</v>
      </c>
      <c r="C1895" t="s">
        <v>14</v>
      </c>
      <c r="D1895">
        <v>399</v>
      </c>
      <c r="E1895">
        <v>13.3</v>
      </c>
      <c r="F1895">
        <v>1</v>
      </c>
      <c r="G1895">
        <v>5</v>
      </c>
      <c r="H1895">
        <v>15</v>
      </c>
      <c r="I1895">
        <v>38</v>
      </c>
      <c r="J1895" t="s">
        <v>13</v>
      </c>
    </row>
    <row r="1896" spans="1:10">
      <c r="A1896">
        <v>1895</v>
      </c>
      <c r="B1896" s="1">
        <v>45213</v>
      </c>
      <c r="C1896" t="s">
        <v>12</v>
      </c>
      <c r="D1896">
        <v>199</v>
      </c>
      <c r="E1896">
        <v>21</v>
      </c>
      <c r="F1896">
        <v>6</v>
      </c>
      <c r="G1896">
        <v>3</v>
      </c>
      <c r="H1896">
        <v>32</v>
      </c>
      <c r="I1896">
        <v>3</v>
      </c>
      <c r="J1896" t="s">
        <v>13</v>
      </c>
    </row>
    <row r="1897" spans="1:10">
      <c r="A1897">
        <v>1896</v>
      </c>
      <c r="B1897" s="1">
        <v>45184</v>
      </c>
      <c r="C1897" t="s">
        <v>10</v>
      </c>
      <c r="D1897">
        <v>699</v>
      </c>
      <c r="E1897">
        <v>22.7</v>
      </c>
      <c r="F1897">
        <v>8</v>
      </c>
      <c r="G1897">
        <v>2</v>
      </c>
      <c r="H1897">
        <v>18</v>
      </c>
      <c r="I1897">
        <v>26</v>
      </c>
      <c r="J1897" t="s">
        <v>11</v>
      </c>
    </row>
    <row r="1898" spans="1:10">
      <c r="A1898">
        <v>1897</v>
      </c>
      <c r="B1898" s="1">
        <v>45532</v>
      </c>
      <c r="C1898" t="s">
        <v>14</v>
      </c>
      <c r="D1898">
        <v>399</v>
      </c>
      <c r="E1898">
        <v>0.8</v>
      </c>
      <c r="F1898">
        <v>7</v>
      </c>
      <c r="G1898">
        <v>1</v>
      </c>
      <c r="H1898">
        <v>6</v>
      </c>
      <c r="I1898">
        <v>37</v>
      </c>
      <c r="J1898" t="s">
        <v>11</v>
      </c>
    </row>
    <row r="1899" spans="1:10">
      <c r="A1899">
        <v>1898</v>
      </c>
      <c r="B1899" s="1">
        <v>45311</v>
      </c>
      <c r="C1899" t="s">
        <v>14</v>
      </c>
      <c r="D1899">
        <v>399</v>
      </c>
      <c r="E1899">
        <v>3</v>
      </c>
      <c r="F1899">
        <v>7</v>
      </c>
      <c r="G1899">
        <v>4</v>
      </c>
      <c r="H1899">
        <v>18</v>
      </c>
      <c r="I1899">
        <v>38</v>
      </c>
      <c r="J1899" t="s">
        <v>11</v>
      </c>
    </row>
    <row r="1900" spans="1:10">
      <c r="A1900">
        <v>1899</v>
      </c>
      <c r="B1900" s="1">
        <v>45585</v>
      </c>
      <c r="C1900" t="s">
        <v>10</v>
      </c>
      <c r="D1900">
        <v>699</v>
      </c>
      <c r="E1900">
        <v>21.8</v>
      </c>
      <c r="F1900">
        <v>6</v>
      </c>
      <c r="G1900">
        <v>0</v>
      </c>
      <c r="H1900">
        <v>34</v>
      </c>
      <c r="I1900">
        <v>38</v>
      </c>
      <c r="J1900" t="s">
        <v>11</v>
      </c>
    </row>
    <row r="1901" spans="1:10">
      <c r="A1901">
        <v>1900</v>
      </c>
      <c r="B1901" s="1">
        <v>45545</v>
      </c>
      <c r="C1901" t="s">
        <v>12</v>
      </c>
      <c r="D1901">
        <v>199</v>
      </c>
      <c r="E1901">
        <v>3.4</v>
      </c>
      <c r="F1901">
        <v>3</v>
      </c>
      <c r="G1901">
        <v>2</v>
      </c>
      <c r="H1901">
        <v>7</v>
      </c>
      <c r="I1901">
        <v>37</v>
      </c>
      <c r="J1901" t="s">
        <v>11</v>
      </c>
    </row>
    <row r="1902" spans="1:10">
      <c r="A1902">
        <v>1901</v>
      </c>
      <c r="B1902" s="1">
        <v>45398</v>
      </c>
      <c r="C1902" t="s">
        <v>14</v>
      </c>
      <c r="D1902">
        <v>399</v>
      </c>
      <c r="E1902">
        <v>18.100000000000001</v>
      </c>
      <c r="F1902">
        <v>0</v>
      </c>
      <c r="G1902">
        <v>2</v>
      </c>
      <c r="H1902">
        <v>26</v>
      </c>
      <c r="I1902">
        <v>41</v>
      </c>
      <c r="J1902" t="s">
        <v>13</v>
      </c>
    </row>
    <row r="1903" spans="1:10">
      <c r="A1903">
        <v>1902</v>
      </c>
      <c r="B1903" s="1">
        <v>45612</v>
      </c>
      <c r="C1903" t="s">
        <v>10</v>
      </c>
      <c r="D1903">
        <v>699</v>
      </c>
      <c r="E1903">
        <v>1.4</v>
      </c>
      <c r="F1903">
        <v>6</v>
      </c>
      <c r="G1903">
        <v>5</v>
      </c>
      <c r="H1903">
        <v>34</v>
      </c>
      <c r="I1903">
        <v>47</v>
      </c>
      <c r="J1903" t="s">
        <v>11</v>
      </c>
    </row>
    <row r="1904" spans="1:10">
      <c r="A1904">
        <v>1903</v>
      </c>
      <c r="B1904" s="1">
        <v>45226</v>
      </c>
      <c r="C1904" t="s">
        <v>12</v>
      </c>
      <c r="D1904">
        <v>199</v>
      </c>
      <c r="E1904">
        <v>14.4</v>
      </c>
      <c r="F1904">
        <v>0</v>
      </c>
      <c r="G1904">
        <v>5</v>
      </c>
      <c r="H1904">
        <v>14</v>
      </c>
      <c r="I1904">
        <v>60</v>
      </c>
      <c r="J1904" t="s">
        <v>11</v>
      </c>
    </row>
    <row r="1905" spans="1:10">
      <c r="A1905">
        <v>1904</v>
      </c>
      <c r="B1905" s="1">
        <v>45287</v>
      </c>
      <c r="C1905" t="s">
        <v>14</v>
      </c>
      <c r="D1905">
        <v>399</v>
      </c>
      <c r="E1905">
        <v>18.399999999999999</v>
      </c>
      <c r="F1905">
        <v>4</v>
      </c>
      <c r="G1905">
        <v>2</v>
      </c>
      <c r="H1905">
        <v>2</v>
      </c>
      <c r="I1905">
        <v>52</v>
      </c>
      <c r="J1905" t="s">
        <v>11</v>
      </c>
    </row>
    <row r="1906" spans="1:10">
      <c r="A1906">
        <v>1905</v>
      </c>
      <c r="B1906" s="1">
        <v>45577</v>
      </c>
      <c r="C1906" t="s">
        <v>12</v>
      </c>
      <c r="D1906">
        <v>199</v>
      </c>
      <c r="E1906">
        <v>11.4</v>
      </c>
      <c r="F1906">
        <v>0</v>
      </c>
      <c r="G1906">
        <v>2</v>
      </c>
      <c r="H1906">
        <v>18</v>
      </c>
      <c r="I1906">
        <v>29</v>
      </c>
      <c r="J1906" t="s">
        <v>13</v>
      </c>
    </row>
    <row r="1907" spans="1:10">
      <c r="A1907">
        <v>1906</v>
      </c>
      <c r="B1907" s="1">
        <v>45283</v>
      </c>
      <c r="C1907" t="s">
        <v>14</v>
      </c>
      <c r="D1907">
        <v>399</v>
      </c>
      <c r="E1907">
        <v>5.6</v>
      </c>
      <c r="F1907">
        <v>8</v>
      </c>
      <c r="G1907">
        <v>5</v>
      </c>
      <c r="H1907">
        <v>11</v>
      </c>
      <c r="I1907">
        <v>20</v>
      </c>
      <c r="J1907" t="s">
        <v>13</v>
      </c>
    </row>
    <row r="1908" spans="1:10">
      <c r="A1908">
        <v>1907</v>
      </c>
      <c r="B1908" s="1">
        <v>45160</v>
      </c>
      <c r="C1908" t="s">
        <v>12</v>
      </c>
      <c r="D1908">
        <v>199</v>
      </c>
      <c r="E1908">
        <v>21.5</v>
      </c>
      <c r="F1908">
        <v>5</v>
      </c>
      <c r="G1908">
        <v>2</v>
      </c>
      <c r="H1908">
        <v>32</v>
      </c>
      <c r="I1908">
        <v>39</v>
      </c>
      <c r="J1908" t="s">
        <v>11</v>
      </c>
    </row>
    <row r="1909" spans="1:10">
      <c r="A1909">
        <v>1908</v>
      </c>
      <c r="B1909" s="1">
        <v>45436</v>
      </c>
      <c r="C1909" t="s">
        <v>14</v>
      </c>
      <c r="D1909">
        <v>399</v>
      </c>
      <c r="E1909">
        <v>3</v>
      </c>
      <c r="F1909">
        <v>1</v>
      </c>
      <c r="G1909">
        <v>5</v>
      </c>
      <c r="H1909">
        <v>20</v>
      </c>
      <c r="I1909">
        <v>25</v>
      </c>
      <c r="J1909" t="s">
        <v>11</v>
      </c>
    </row>
    <row r="1910" spans="1:10">
      <c r="A1910">
        <v>1909</v>
      </c>
      <c r="B1910" s="1">
        <v>45286</v>
      </c>
      <c r="C1910" t="s">
        <v>10</v>
      </c>
      <c r="D1910">
        <v>699</v>
      </c>
      <c r="E1910">
        <v>19</v>
      </c>
      <c r="F1910">
        <v>3</v>
      </c>
      <c r="G1910">
        <v>2</v>
      </c>
      <c r="H1910">
        <v>12</v>
      </c>
      <c r="I1910">
        <v>54</v>
      </c>
      <c r="J1910" t="s">
        <v>13</v>
      </c>
    </row>
    <row r="1911" spans="1:10">
      <c r="A1911">
        <v>1910</v>
      </c>
      <c r="B1911" s="1">
        <v>45121</v>
      </c>
      <c r="C1911" t="s">
        <v>14</v>
      </c>
      <c r="D1911">
        <v>399</v>
      </c>
      <c r="E1911">
        <v>22.4</v>
      </c>
      <c r="F1911">
        <v>2</v>
      </c>
      <c r="G1911">
        <v>1</v>
      </c>
      <c r="H1911">
        <v>29</v>
      </c>
      <c r="I1911">
        <v>20</v>
      </c>
      <c r="J1911" t="s">
        <v>11</v>
      </c>
    </row>
    <row r="1912" spans="1:10">
      <c r="A1912">
        <v>1911</v>
      </c>
      <c r="B1912" s="1">
        <v>45109</v>
      </c>
      <c r="C1912" t="s">
        <v>10</v>
      </c>
      <c r="D1912">
        <v>699</v>
      </c>
      <c r="E1912">
        <v>22.8</v>
      </c>
      <c r="F1912">
        <v>8</v>
      </c>
      <c r="G1912">
        <v>2</v>
      </c>
      <c r="H1912">
        <v>20</v>
      </c>
      <c r="I1912">
        <v>48</v>
      </c>
      <c r="J1912" t="s">
        <v>11</v>
      </c>
    </row>
    <row r="1913" spans="1:10">
      <c r="A1913">
        <v>1912</v>
      </c>
      <c r="B1913" s="1">
        <v>45606</v>
      </c>
      <c r="C1913" t="s">
        <v>14</v>
      </c>
      <c r="D1913">
        <v>399</v>
      </c>
      <c r="E1913">
        <v>5.4</v>
      </c>
      <c r="F1913">
        <v>1</v>
      </c>
      <c r="G1913">
        <v>5</v>
      </c>
      <c r="H1913">
        <v>5</v>
      </c>
      <c r="I1913">
        <v>38</v>
      </c>
      <c r="J1913" t="s">
        <v>13</v>
      </c>
    </row>
    <row r="1914" spans="1:10">
      <c r="A1914">
        <v>1913</v>
      </c>
      <c r="B1914" s="1">
        <v>45321</v>
      </c>
      <c r="C1914" t="s">
        <v>14</v>
      </c>
      <c r="D1914">
        <v>399</v>
      </c>
      <c r="E1914">
        <v>4.0999999999999996</v>
      </c>
      <c r="F1914">
        <v>5</v>
      </c>
      <c r="G1914">
        <v>4</v>
      </c>
      <c r="H1914">
        <v>17</v>
      </c>
      <c r="I1914">
        <v>22</v>
      </c>
      <c r="J1914" t="s">
        <v>11</v>
      </c>
    </row>
    <row r="1915" spans="1:10">
      <c r="A1915">
        <v>1914</v>
      </c>
      <c r="B1915" s="1">
        <v>44968</v>
      </c>
      <c r="C1915" t="s">
        <v>12</v>
      </c>
      <c r="D1915">
        <v>199</v>
      </c>
      <c r="E1915">
        <v>15.5</v>
      </c>
      <c r="F1915">
        <v>1</v>
      </c>
      <c r="G1915">
        <v>2</v>
      </c>
      <c r="H1915">
        <v>19</v>
      </c>
      <c r="I1915">
        <v>14</v>
      </c>
      <c r="J1915" t="s">
        <v>13</v>
      </c>
    </row>
    <row r="1916" spans="1:10">
      <c r="A1916">
        <v>1915</v>
      </c>
      <c r="B1916" s="1">
        <v>45638</v>
      </c>
      <c r="C1916" t="s">
        <v>12</v>
      </c>
      <c r="D1916">
        <v>199</v>
      </c>
      <c r="E1916">
        <v>4.3</v>
      </c>
      <c r="F1916">
        <v>4</v>
      </c>
      <c r="G1916">
        <v>0</v>
      </c>
      <c r="H1916">
        <v>36</v>
      </c>
      <c r="I1916">
        <v>31</v>
      </c>
      <c r="J1916" t="s">
        <v>11</v>
      </c>
    </row>
    <row r="1917" spans="1:10">
      <c r="A1917">
        <v>1916</v>
      </c>
      <c r="B1917" s="1">
        <v>44939</v>
      </c>
      <c r="C1917" t="s">
        <v>12</v>
      </c>
      <c r="D1917">
        <v>199</v>
      </c>
      <c r="E1917">
        <v>21.9</v>
      </c>
      <c r="F1917">
        <v>7</v>
      </c>
      <c r="G1917">
        <v>5</v>
      </c>
      <c r="H1917">
        <v>16</v>
      </c>
      <c r="I1917">
        <v>51</v>
      </c>
      <c r="J1917" t="s">
        <v>11</v>
      </c>
    </row>
    <row r="1918" spans="1:10">
      <c r="A1918">
        <v>1917</v>
      </c>
      <c r="B1918" s="1">
        <v>45508</v>
      </c>
      <c r="C1918" t="s">
        <v>14</v>
      </c>
      <c r="D1918">
        <v>399</v>
      </c>
      <c r="E1918">
        <v>24.1</v>
      </c>
      <c r="F1918">
        <v>7</v>
      </c>
      <c r="G1918">
        <v>3</v>
      </c>
      <c r="H1918">
        <v>16</v>
      </c>
      <c r="I1918">
        <v>26</v>
      </c>
      <c r="J1918" t="s">
        <v>11</v>
      </c>
    </row>
    <row r="1919" spans="1:10">
      <c r="A1919">
        <v>1918</v>
      </c>
      <c r="B1919" s="1">
        <v>45323</v>
      </c>
      <c r="C1919" t="s">
        <v>12</v>
      </c>
      <c r="D1919">
        <v>199</v>
      </c>
      <c r="E1919">
        <v>5.0999999999999996</v>
      </c>
      <c r="F1919">
        <v>8</v>
      </c>
      <c r="G1919">
        <v>4</v>
      </c>
      <c r="H1919">
        <v>27</v>
      </c>
      <c r="I1919">
        <v>25</v>
      </c>
      <c r="J1919" t="s">
        <v>11</v>
      </c>
    </row>
    <row r="1920" spans="1:10">
      <c r="A1920">
        <v>1919</v>
      </c>
      <c r="B1920" s="1">
        <v>45167</v>
      </c>
      <c r="C1920" t="s">
        <v>10</v>
      </c>
      <c r="D1920">
        <v>699</v>
      </c>
      <c r="E1920">
        <v>17.8</v>
      </c>
      <c r="F1920">
        <v>5</v>
      </c>
      <c r="G1920">
        <v>2</v>
      </c>
      <c r="H1920">
        <v>17</v>
      </c>
      <c r="I1920">
        <v>27</v>
      </c>
      <c r="J1920" t="s">
        <v>11</v>
      </c>
    </row>
    <row r="1921" spans="1:10">
      <c r="A1921">
        <v>1920</v>
      </c>
      <c r="B1921" s="1">
        <v>45646</v>
      </c>
      <c r="C1921" t="s">
        <v>14</v>
      </c>
      <c r="D1921">
        <v>399</v>
      </c>
      <c r="E1921">
        <v>9.1999999999999993</v>
      </c>
      <c r="F1921">
        <v>2</v>
      </c>
      <c r="G1921">
        <v>2</v>
      </c>
      <c r="H1921">
        <v>35</v>
      </c>
      <c r="I1921">
        <v>55</v>
      </c>
      <c r="J1921" t="s">
        <v>13</v>
      </c>
    </row>
    <row r="1922" spans="1:10">
      <c r="A1922">
        <v>1921</v>
      </c>
      <c r="B1922" s="1">
        <v>45248</v>
      </c>
      <c r="C1922" t="s">
        <v>12</v>
      </c>
      <c r="D1922">
        <v>199</v>
      </c>
      <c r="E1922">
        <v>14.7</v>
      </c>
      <c r="F1922">
        <v>1</v>
      </c>
      <c r="G1922">
        <v>4</v>
      </c>
      <c r="H1922">
        <v>35</v>
      </c>
      <c r="I1922">
        <v>45</v>
      </c>
      <c r="J1922" t="s">
        <v>11</v>
      </c>
    </row>
    <row r="1923" spans="1:10">
      <c r="A1923">
        <v>1922</v>
      </c>
      <c r="B1923" s="1">
        <v>44981</v>
      </c>
      <c r="C1923" t="s">
        <v>12</v>
      </c>
      <c r="D1923">
        <v>199</v>
      </c>
      <c r="E1923">
        <v>18.100000000000001</v>
      </c>
      <c r="F1923">
        <v>8</v>
      </c>
      <c r="G1923">
        <v>1</v>
      </c>
      <c r="H1923">
        <v>15</v>
      </c>
      <c r="I1923">
        <v>29</v>
      </c>
      <c r="J1923" t="s">
        <v>11</v>
      </c>
    </row>
    <row r="1924" spans="1:10">
      <c r="A1924">
        <v>1923</v>
      </c>
      <c r="B1924" s="1">
        <v>45386</v>
      </c>
      <c r="C1924" t="s">
        <v>14</v>
      </c>
      <c r="D1924">
        <v>399</v>
      </c>
      <c r="E1924">
        <v>12.7</v>
      </c>
      <c r="F1924">
        <v>6</v>
      </c>
      <c r="G1924">
        <v>0</v>
      </c>
      <c r="H1924">
        <v>29</v>
      </c>
      <c r="I1924">
        <v>10</v>
      </c>
      <c r="J1924" t="s">
        <v>11</v>
      </c>
    </row>
    <row r="1925" spans="1:10">
      <c r="A1925">
        <v>1924</v>
      </c>
      <c r="B1925" s="1">
        <v>45289</v>
      </c>
      <c r="C1925" t="s">
        <v>10</v>
      </c>
      <c r="D1925">
        <v>699</v>
      </c>
      <c r="E1925">
        <v>22.4</v>
      </c>
      <c r="F1925">
        <v>7</v>
      </c>
      <c r="G1925">
        <v>5</v>
      </c>
      <c r="H1925">
        <v>4</v>
      </c>
      <c r="I1925">
        <v>9</v>
      </c>
      <c r="J1925" t="s">
        <v>11</v>
      </c>
    </row>
    <row r="1926" spans="1:10">
      <c r="A1926">
        <v>1925</v>
      </c>
      <c r="B1926" s="1">
        <v>45648</v>
      </c>
      <c r="C1926" t="s">
        <v>12</v>
      </c>
      <c r="D1926">
        <v>199</v>
      </c>
      <c r="E1926">
        <v>14.5</v>
      </c>
      <c r="F1926">
        <v>0</v>
      </c>
      <c r="G1926">
        <v>5</v>
      </c>
      <c r="H1926">
        <v>18</v>
      </c>
      <c r="I1926">
        <v>38</v>
      </c>
      <c r="J1926" t="s">
        <v>11</v>
      </c>
    </row>
    <row r="1927" spans="1:10">
      <c r="A1927">
        <v>1926</v>
      </c>
      <c r="B1927" s="1">
        <v>45238</v>
      </c>
      <c r="C1927" t="s">
        <v>12</v>
      </c>
      <c r="D1927">
        <v>199</v>
      </c>
      <c r="E1927">
        <v>5.8</v>
      </c>
      <c r="F1927">
        <v>7</v>
      </c>
      <c r="G1927">
        <v>2</v>
      </c>
      <c r="H1927">
        <v>26</v>
      </c>
      <c r="I1927">
        <v>34</v>
      </c>
      <c r="J1927" t="s">
        <v>11</v>
      </c>
    </row>
    <row r="1928" spans="1:10">
      <c r="A1928">
        <v>1927</v>
      </c>
      <c r="B1928" s="1">
        <v>45624</v>
      </c>
      <c r="C1928" t="s">
        <v>14</v>
      </c>
      <c r="D1928">
        <v>399</v>
      </c>
      <c r="E1928">
        <v>14.5</v>
      </c>
      <c r="F1928">
        <v>8</v>
      </c>
      <c r="G1928">
        <v>3</v>
      </c>
      <c r="H1928">
        <v>15</v>
      </c>
      <c r="I1928">
        <v>9</v>
      </c>
      <c r="J1928" t="s">
        <v>13</v>
      </c>
    </row>
    <row r="1929" spans="1:10">
      <c r="A1929">
        <v>1928</v>
      </c>
      <c r="B1929" s="1">
        <v>45049</v>
      </c>
      <c r="C1929" t="s">
        <v>10</v>
      </c>
      <c r="D1929">
        <v>699</v>
      </c>
      <c r="E1929">
        <v>21.6</v>
      </c>
      <c r="F1929">
        <v>0</v>
      </c>
      <c r="G1929">
        <v>5</v>
      </c>
      <c r="H1929">
        <v>21</v>
      </c>
      <c r="I1929">
        <v>48</v>
      </c>
      <c r="J1929" t="s">
        <v>11</v>
      </c>
    </row>
    <row r="1930" spans="1:10">
      <c r="A1930">
        <v>1929</v>
      </c>
      <c r="B1930" s="1">
        <v>45542</v>
      </c>
      <c r="C1930" t="s">
        <v>12</v>
      </c>
      <c r="D1930">
        <v>199</v>
      </c>
      <c r="E1930">
        <v>13.5</v>
      </c>
      <c r="F1930">
        <v>2</v>
      </c>
      <c r="G1930">
        <v>5</v>
      </c>
      <c r="H1930">
        <v>5</v>
      </c>
      <c r="I1930">
        <v>12</v>
      </c>
      <c r="J1930" t="s">
        <v>11</v>
      </c>
    </row>
    <row r="1931" spans="1:10">
      <c r="A1931">
        <v>1930</v>
      </c>
      <c r="B1931" s="1">
        <v>45023</v>
      </c>
      <c r="C1931" t="s">
        <v>12</v>
      </c>
      <c r="D1931">
        <v>199</v>
      </c>
      <c r="E1931">
        <v>1.2</v>
      </c>
      <c r="F1931">
        <v>7</v>
      </c>
      <c r="G1931">
        <v>5</v>
      </c>
      <c r="H1931">
        <v>12</v>
      </c>
      <c r="I1931">
        <v>7</v>
      </c>
      <c r="J1931" t="s">
        <v>11</v>
      </c>
    </row>
    <row r="1932" spans="1:10">
      <c r="A1932">
        <v>1931</v>
      </c>
      <c r="B1932" s="1">
        <v>45278</v>
      </c>
      <c r="C1932" t="s">
        <v>14</v>
      </c>
      <c r="D1932">
        <v>399</v>
      </c>
      <c r="E1932">
        <v>20.2</v>
      </c>
      <c r="F1932">
        <v>6</v>
      </c>
      <c r="G1932">
        <v>5</v>
      </c>
      <c r="H1932">
        <v>25</v>
      </c>
      <c r="I1932">
        <v>30</v>
      </c>
      <c r="J1932" t="s">
        <v>11</v>
      </c>
    </row>
    <row r="1933" spans="1:10">
      <c r="A1933">
        <v>1932</v>
      </c>
      <c r="B1933" s="1">
        <v>45438</v>
      </c>
      <c r="C1933" t="s">
        <v>12</v>
      </c>
      <c r="D1933">
        <v>199</v>
      </c>
      <c r="E1933">
        <v>8.1</v>
      </c>
      <c r="F1933">
        <v>2</v>
      </c>
      <c r="G1933">
        <v>5</v>
      </c>
      <c r="H1933">
        <v>7</v>
      </c>
      <c r="I1933">
        <v>27</v>
      </c>
      <c r="J1933" t="s">
        <v>13</v>
      </c>
    </row>
    <row r="1934" spans="1:10">
      <c r="A1934">
        <v>1933</v>
      </c>
      <c r="B1934" s="1">
        <v>45575</v>
      </c>
      <c r="C1934" t="s">
        <v>12</v>
      </c>
      <c r="D1934">
        <v>199</v>
      </c>
      <c r="E1934">
        <v>6.9</v>
      </c>
      <c r="F1934">
        <v>3</v>
      </c>
      <c r="G1934">
        <v>1</v>
      </c>
      <c r="H1934">
        <v>12</v>
      </c>
      <c r="I1934">
        <v>22</v>
      </c>
      <c r="J1934" t="s">
        <v>13</v>
      </c>
    </row>
    <row r="1935" spans="1:10">
      <c r="A1935">
        <v>1934</v>
      </c>
      <c r="B1935" s="1">
        <v>45547</v>
      </c>
      <c r="C1935" t="s">
        <v>12</v>
      </c>
      <c r="D1935">
        <v>199</v>
      </c>
      <c r="E1935">
        <v>11.6</v>
      </c>
      <c r="F1935">
        <v>1</v>
      </c>
      <c r="G1935">
        <v>4</v>
      </c>
      <c r="H1935">
        <v>22</v>
      </c>
      <c r="I1935">
        <v>16</v>
      </c>
      <c r="J1935" t="s">
        <v>11</v>
      </c>
    </row>
    <row r="1936" spans="1:10">
      <c r="A1936">
        <v>1935</v>
      </c>
      <c r="B1936" s="1">
        <v>45468</v>
      </c>
      <c r="C1936" t="s">
        <v>12</v>
      </c>
      <c r="D1936">
        <v>199</v>
      </c>
      <c r="E1936">
        <v>1.9</v>
      </c>
      <c r="F1936">
        <v>5</v>
      </c>
      <c r="G1936">
        <v>0</v>
      </c>
      <c r="H1936">
        <v>36</v>
      </c>
      <c r="I1936">
        <v>10</v>
      </c>
      <c r="J1936" t="s">
        <v>11</v>
      </c>
    </row>
    <row r="1937" spans="1:10">
      <c r="A1937">
        <v>1936</v>
      </c>
      <c r="B1937" s="1">
        <v>45503</v>
      </c>
      <c r="C1937" t="s">
        <v>12</v>
      </c>
      <c r="D1937">
        <v>199</v>
      </c>
      <c r="E1937">
        <v>8.5</v>
      </c>
      <c r="F1937">
        <v>4</v>
      </c>
      <c r="G1937">
        <v>0</v>
      </c>
      <c r="H1937">
        <v>1</v>
      </c>
      <c r="I1937">
        <v>51</v>
      </c>
      <c r="J1937" t="s">
        <v>13</v>
      </c>
    </row>
    <row r="1938" spans="1:10">
      <c r="A1938">
        <v>1937</v>
      </c>
      <c r="B1938" s="1">
        <v>45475</v>
      </c>
      <c r="C1938" t="s">
        <v>14</v>
      </c>
      <c r="D1938">
        <v>399</v>
      </c>
      <c r="E1938">
        <v>23.9</v>
      </c>
      <c r="F1938">
        <v>3</v>
      </c>
      <c r="G1938">
        <v>5</v>
      </c>
      <c r="H1938">
        <v>5</v>
      </c>
      <c r="I1938">
        <v>39</v>
      </c>
      <c r="J1938" t="s">
        <v>11</v>
      </c>
    </row>
    <row r="1939" spans="1:10">
      <c r="A1939">
        <v>1938</v>
      </c>
      <c r="B1939" s="1">
        <v>45378</v>
      </c>
      <c r="C1939" t="s">
        <v>12</v>
      </c>
      <c r="D1939">
        <v>199</v>
      </c>
      <c r="E1939">
        <v>2.9</v>
      </c>
      <c r="F1939">
        <v>2</v>
      </c>
      <c r="G1939">
        <v>4</v>
      </c>
      <c r="H1939">
        <v>23</v>
      </c>
      <c r="I1939">
        <v>23</v>
      </c>
      <c r="J1939" t="s">
        <v>11</v>
      </c>
    </row>
    <row r="1940" spans="1:10">
      <c r="A1940">
        <v>1939</v>
      </c>
      <c r="B1940" s="1">
        <v>45477</v>
      </c>
      <c r="C1940" t="s">
        <v>10</v>
      </c>
      <c r="D1940">
        <v>699</v>
      </c>
      <c r="E1940">
        <v>12.9</v>
      </c>
      <c r="F1940">
        <v>7</v>
      </c>
      <c r="G1940">
        <v>0</v>
      </c>
      <c r="H1940">
        <v>12</v>
      </c>
      <c r="I1940">
        <v>39</v>
      </c>
      <c r="J1940" t="s">
        <v>11</v>
      </c>
    </row>
    <row r="1941" spans="1:10">
      <c r="A1941">
        <v>1940</v>
      </c>
      <c r="B1941" s="1">
        <v>45457</v>
      </c>
      <c r="C1941" t="s">
        <v>12</v>
      </c>
      <c r="D1941">
        <v>199</v>
      </c>
      <c r="E1941">
        <v>23.4</v>
      </c>
      <c r="F1941">
        <v>1</v>
      </c>
      <c r="G1941">
        <v>2</v>
      </c>
      <c r="H1941">
        <v>20</v>
      </c>
      <c r="I1941">
        <v>43</v>
      </c>
      <c r="J1941" t="s">
        <v>11</v>
      </c>
    </row>
    <row r="1942" spans="1:10">
      <c r="A1942">
        <v>1941</v>
      </c>
      <c r="B1942" s="1">
        <v>45392</v>
      </c>
      <c r="C1942" t="s">
        <v>12</v>
      </c>
      <c r="D1942">
        <v>199</v>
      </c>
      <c r="E1942">
        <v>12.7</v>
      </c>
      <c r="F1942">
        <v>2</v>
      </c>
      <c r="G1942">
        <v>4</v>
      </c>
      <c r="H1942">
        <v>7</v>
      </c>
      <c r="I1942">
        <v>58</v>
      </c>
      <c r="J1942" t="s">
        <v>11</v>
      </c>
    </row>
    <row r="1943" spans="1:10">
      <c r="A1943">
        <v>1942</v>
      </c>
      <c r="B1943" s="1">
        <v>45273</v>
      </c>
      <c r="C1943" t="s">
        <v>10</v>
      </c>
      <c r="D1943">
        <v>699</v>
      </c>
      <c r="E1943">
        <v>20.9</v>
      </c>
      <c r="F1943">
        <v>7</v>
      </c>
      <c r="G1943">
        <v>0</v>
      </c>
      <c r="H1943">
        <v>36</v>
      </c>
      <c r="I1943">
        <v>42</v>
      </c>
      <c r="J1943" t="s">
        <v>13</v>
      </c>
    </row>
    <row r="1944" spans="1:10">
      <c r="A1944">
        <v>1943</v>
      </c>
      <c r="B1944" s="1">
        <v>45293</v>
      </c>
      <c r="C1944" t="s">
        <v>12</v>
      </c>
      <c r="D1944">
        <v>199</v>
      </c>
      <c r="E1944">
        <v>4</v>
      </c>
      <c r="F1944">
        <v>7</v>
      </c>
      <c r="G1944">
        <v>1</v>
      </c>
      <c r="H1944">
        <v>24</v>
      </c>
      <c r="I1944">
        <v>50</v>
      </c>
      <c r="J1944" t="s">
        <v>11</v>
      </c>
    </row>
    <row r="1945" spans="1:10">
      <c r="A1945">
        <v>1944</v>
      </c>
      <c r="B1945" s="1">
        <v>45255</v>
      </c>
      <c r="C1945" t="s">
        <v>12</v>
      </c>
      <c r="D1945">
        <v>199</v>
      </c>
      <c r="E1945">
        <v>20.399999999999999</v>
      </c>
      <c r="F1945">
        <v>1</v>
      </c>
      <c r="G1945">
        <v>4</v>
      </c>
      <c r="H1945">
        <v>31</v>
      </c>
      <c r="I1945">
        <v>5</v>
      </c>
      <c r="J1945" t="s">
        <v>13</v>
      </c>
    </row>
    <row r="1946" spans="1:10">
      <c r="A1946">
        <v>1945</v>
      </c>
      <c r="B1946" s="1">
        <v>45065</v>
      </c>
      <c r="C1946" t="s">
        <v>10</v>
      </c>
      <c r="D1946">
        <v>699</v>
      </c>
      <c r="E1946">
        <v>13.3</v>
      </c>
      <c r="F1946">
        <v>8</v>
      </c>
      <c r="G1946">
        <v>5</v>
      </c>
      <c r="H1946">
        <v>35</v>
      </c>
      <c r="I1946">
        <v>12</v>
      </c>
      <c r="J1946" t="s">
        <v>11</v>
      </c>
    </row>
    <row r="1947" spans="1:10">
      <c r="A1947">
        <v>1946</v>
      </c>
      <c r="B1947" s="1">
        <v>45429</v>
      </c>
      <c r="C1947" t="s">
        <v>14</v>
      </c>
      <c r="D1947">
        <v>399</v>
      </c>
      <c r="E1947">
        <v>7.7</v>
      </c>
      <c r="F1947">
        <v>6</v>
      </c>
      <c r="G1947">
        <v>3</v>
      </c>
      <c r="H1947">
        <v>13</v>
      </c>
      <c r="I1947">
        <v>27</v>
      </c>
      <c r="J1947" t="s">
        <v>11</v>
      </c>
    </row>
    <row r="1948" spans="1:10">
      <c r="A1948">
        <v>1947</v>
      </c>
      <c r="B1948" s="1">
        <v>45436</v>
      </c>
      <c r="C1948" t="s">
        <v>12</v>
      </c>
      <c r="D1948">
        <v>199</v>
      </c>
      <c r="E1948">
        <v>3.1</v>
      </c>
      <c r="F1948">
        <v>8</v>
      </c>
      <c r="G1948">
        <v>3</v>
      </c>
      <c r="H1948">
        <v>32</v>
      </c>
      <c r="I1948">
        <v>39</v>
      </c>
      <c r="J1948" t="s">
        <v>11</v>
      </c>
    </row>
    <row r="1949" spans="1:10">
      <c r="A1949">
        <v>1948</v>
      </c>
      <c r="B1949" s="1">
        <v>45528</v>
      </c>
      <c r="C1949" t="s">
        <v>14</v>
      </c>
      <c r="D1949">
        <v>399</v>
      </c>
      <c r="E1949">
        <v>13.4</v>
      </c>
      <c r="F1949">
        <v>0</v>
      </c>
      <c r="G1949">
        <v>1</v>
      </c>
      <c r="H1949">
        <v>4</v>
      </c>
      <c r="I1949">
        <v>60</v>
      </c>
      <c r="J1949" t="s">
        <v>11</v>
      </c>
    </row>
    <row r="1950" spans="1:10">
      <c r="A1950">
        <v>1949</v>
      </c>
      <c r="B1950" s="1">
        <v>44975</v>
      </c>
      <c r="C1950" t="s">
        <v>10</v>
      </c>
      <c r="D1950">
        <v>699</v>
      </c>
      <c r="E1950">
        <v>4.7</v>
      </c>
      <c r="F1950">
        <v>5</v>
      </c>
      <c r="G1950">
        <v>5</v>
      </c>
      <c r="H1950">
        <v>35</v>
      </c>
      <c r="I1950">
        <v>3</v>
      </c>
      <c r="J1950" t="s">
        <v>11</v>
      </c>
    </row>
    <row r="1951" spans="1:10">
      <c r="A1951">
        <v>1950</v>
      </c>
      <c r="B1951" s="1">
        <v>45371</v>
      </c>
      <c r="C1951" t="s">
        <v>14</v>
      </c>
      <c r="D1951">
        <v>399</v>
      </c>
      <c r="E1951">
        <v>5.0999999999999996</v>
      </c>
      <c r="F1951">
        <v>8</v>
      </c>
      <c r="G1951">
        <v>0</v>
      </c>
      <c r="H1951">
        <v>25</v>
      </c>
      <c r="I1951">
        <v>52</v>
      </c>
      <c r="J1951" t="s">
        <v>13</v>
      </c>
    </row>
    <row r="1952" spans="1:10">
      <c r="A1952">
        <v>1951</v>
      </c>
      <c r="B1952" s="1">
        <v>44972</v>
      </c>
      <c r="C1952" t="s">
        <v>10</v>
      </c>
      <c r="D1952">
        <v>699</v>
      </c>
      <c r="E1952">
        <v>13.3</v>
      </c>
      <c r="F1952">
        <v>2</v>
      </c>
      <c r="G1952">
        <v>4</v>
      </c>
      <c r="H1952">
        <v>33</v>
      </c>
      <c r="I1952">
        <v>23</v>
      </c>
      <c r="J1952" t="s">
        <v>13</v>
      </c>
    </row>
    <row r="1953" spans="1:10">
      <c r="A1953">
        <v>1952</v>
      </c>
      <c r="B1953" s="1">
        <v>45135</v>
      </c>
      <c r="C1953" t="s">
        <v>12</v>
      </c>
      <c r="D1953">
        <v>199</v>
      </c>
      <c r="E1953">
        <v>11.7</v>
      </c>
      <c r="F1953">
        <v>2</v>
      </c>
      <c r="G1953">
        <v>1</v>
      </c>
      <c r="H1953">
        <v>7</v>
      </c>
      <c r="I1953">
        <v>45</v>
      </c>
      <c r="J1953" t="s">
        <v>11</v>
      </c>
    </row>
    <row r="1954" spans="1:10">
      <c r="A1954">
        <v>1953</v>
      </c>
      <c r="B1954" s="1">
        <v>45632</v>
      </c>
      <c r="C1954" t="s">
        <v>14</v>
      </c>
      <c r="D1954">
        <v>399</v>
      </c>
      <c r="E1954">
        <v>14.5</v>
      </c>
      <c r="F1954">
        <v>0</v>
      </c>
      <c r="G1954">
        <v>0</v>
      </c>
      <c r="H1954">
        <v>14</v>
      </c>
      <c r="I1954">
        <v>59</v>
      </c>
      <c r="J1954" t="s">
        <v>13</v>
      </c>
    </row>
    <row r="1955" spans="1:10">
      <c r="A1955">
        <v>1954</v>
      </c>
      <c r="B1955" s="1">
        <v>45265</v>
      </c>
      <c r="C1955" t="s">
        <v>12</v>
      </c>
      <c r="D1955">
        <v>199</v>
      </c>
      <c r="E1955">
        <v>0.6</v>
      </c>
      <c r="F1955">
        <v>3</v>
      </c>
      <c r="G1955">
        <v>5</v>
      </c>
      <c r="H1955">
        <v>19</v>
      </c>
      <c r="I1955">
        <v>52</v>
      </c>
      <c r="J1955" t="s">
        <v>13</v>
      </c>
    </row>
    <row r="1956" spans="1:10">
      <c r="A1956">
        <v>1955</v>
      </c>
      <c r="B1956" s="1">
        <v>45540</v>
      </c>
      <c r="C1956" t="s">
        <v>12</v>
      </c>
      <c r="D1956">
        <v>199</v>
      </c>
      <c r="E1956">
        <v>20.8</v>
      </c>
      <c r="F1956">
        <v>5</v>
      </c>
      <c r="G1956">
        <v>3</v>
      </c>
      <c r="H1956">
        <v>25</v>
      </c>
      <c r="I1956">
        <v>2</v>
      </c>
      <c r="J1956" t="s">
        <v>11</v>
      </c>
    </row>
    <row r="1957" spans="1:10">
      <c r="A1957">
        <v>1956</v>
      </c>
      <c r="B1957" s="1">
        <v>45568</v>
      </c>
      <c r="C1957" t="s">
        <v>12</v>
      </c>
      <c r="D1957">
        <v>199</v>
      </c>
      <c r="E1957">
        <v>22.1</v>
      </c>
      <c r="F1957">
        <v>6</v>
      </c>
      <c r="G1957">
        <v>5</v>
      </c>
      <c r="H1957">
        <v>17</v>
      </c>
      <c r="I1957">
        <v>36</v>
      </c>
      <c r="J1957" t="s">
        <v>11</v>
      </c>
    </row>
    <row r="1958" spans="1:10">
      <c r="A1958">
        <v>1957</v>
      </c>
      <c r="B1958" s="1">
        <v>45350</v>
      </c>
      <c r="C1958" t="s">
        <v>14</v>
      </c>
      <c r="D1958">
        <v>399</v>
      </c>
      <c r="E1958">
        <v>23.5</v>
      </c>
      <c r="F1958">
        <v>4</v>
      </c>
      <c r="G1958">
        <v>3</v>
      </c>
      <c r="H1958">
        <v>14</v>
      </c>
      <c r="I1958">
        <v>44</v>
      </c>
      <c r="J1958" t="s">
        <v>11</v>
      </c>
    </row>
    <row r="1959" spans="1:10">
      <c r="A1959">
        <v>1958</v>
      </c>
      <c r="B1959" s="1">
        <v>45568</v>
      </c>
      <c r="C1959" t="s">
        <v>14</v>
      </c>
      <c r="D1959">
        <v>399</v>
      </c>
      <c r="E1959">
        <v>21.1</v>
      </c>
      <c r="F1959">
        <v>3</v>
      </c>
      <c r="G1959">
        <v>3</v>
      </c>
      <c r="H1959">
        <v>18</v>
      </c>
      <c r="I1959">
        <v>16</v>
      </c>
      <c r="J1959" t="s">
        <v>13</v>
      </c>
    </row>
    <row r="1960" spans="1:10">
      <c r="A1960">
        <v>1959</v>
      </c>
      <c r="B1960" s="1">
        <v>44999</v>
      </c>
      <c r="C1960" t="s">
        <v>10</v>
      </c>
      <c r="D1960">
        <v>699</v>
      </c>
      <c r="E1960">
        <v>1.5</v>
      </c>
      <c r="F1960">
        <v>7</v>
      </c>
      <c r="G1960">
        <v>1</v>
      </c>
      <c r="H1960">
        <v>26</v>
      </c>
      <c r="I1960">
        <v>42</v>
      </c>
      <c r="J1960" t="s">
        <v>11</v>
      </c>
    </row>
    <row r="1961" spans="1:10">
      <c r="A1961">
        <v>1960</v>
      </c>
      <c r="B1961" s="1">
        <v>45098</v>
      </c>
      <c r="C1961" t="s">
        <v>10</v>
      </c>
      <c r="D1961">
        <v>699</v>
      </c>
      <c r="E1961">
        <v>3.3</v>
      </c>
      <c r="F1961">
        <v>7</v>
      </c>
      <c r="G1961">
        <v>0</v>
      </c>
      <c r="H1961">
        <v>8</v>
      </c>
      <c r="I1961">
        <v>11</v>
      </c>
      <c r="J1961" t="s">
        <v>13</v>
      </c>
    </row>
    <row r="1962" spans="1:10">
      <c r="A1962">
        <v>1961</v>
      </c>
      <c r="B1962" s="1">
        <v>45510</v>
      </c>
      <c r="C1962" t="s">
        <v>10</v>
      </c>
      <c r="D1962">
        <v>699</v>
      </c>
      <c r="E1962">
        <v>23.9</v>
      </c>
      <c r="F1962">
        <v>6</v>
      </c>
      <c r="G1962">
        <v>2</v>
      </c>
      <c r="H1962">
        <v>17</v>
      </c>
      <c r="I1962">
        <v>34</v>
      </c>
      <c r="J1962" t="s">
        <v>11</v>
      </c>
    </row>
    <row r="1963" spans="1:10">
      <c r="A1963">
        <v>1962</v>
      </c>
      <c r="B1963" s="1">
        <v>45436</v>
      </c>
      <c r="C1963" t="s">
        <v>14</v>
      </c>
      <c r="D1963">
        <v>399</v>
      </c>
      <c r="E1963">
        <v>19.100000000000001</v>
      </c>
      <c r="F1963">
        <v>6</v>
      </c>
      <c r="G1963">
        <v>1</v>
      </c>
      <c r="H1963">
        <v>7</v>
      </c>
      <c r="I1963">
        <v>60</v>
      </c>
      <c r="J1963" t="s">
        <v>11</v>
      </c>
    </row>
    <row r="1964" spans="1:10">
      <c r="A1964">
        <v>1963</v>
      </c>
      <c r="B1964" s="1">
        <v>45161</v>
      </c>
      <c r="C1964" t="s">
        <v>12</v>
      </c>
      <c r="D1964">
        <v>199</v>
      </c>
      <c r="E1964">
        <v>13.2</v>
      </c>
      <c r="F1964">
        <v>0</v>
      </c>
      <c r="G1964">
        <v>3</v>
      </c>
      <c r="H1964">
        <v>9</v>
      </c>
      <c r="I1964">
        <v>30</v>
      </c>
      <c r="J1964" t="s">
        <v>11</v>
      </c>
    </row>
    <row r="1965" spans="1:10">
      <c r="A1965">
        <v>1964</v>
      </c>
      <c r="B1965" s="1">
        <v>45375</v>
      </c>
      <c r="C1965" t="s">
        <v>12</v>
      </c>
      <c r="D1965">
        <v>199</v>
      </c>
      <c r="E1965">
        <v>5</v>
      </c>
      <c r="F1965">
        <v>1</v>
      </c>
      <c r="G1965">
        <v>1</v>
      </c>
      <c r="H1965">
        <v>25</v>
      </c>
      <c r="I1965">
        <v>27</v>
      </c>
      <c r="J1965" t="s">
        <v>13</v>
      </c>
    </row>
    <row r="1966" spans="1:10">
      <c r="A1966">
        <v>1965</v>
      </c>
      <c r="B1966" s="1">
        <v>45120</v>
      </c>
      <c r="C1966" t="s">
        <v>10</v>
      </c>
      <c r="D1966">
        <v>699</v>
      </c>
      <c r="E1966">
        <v>11.3</v>
      </c>
      <c r="F1966">
        <v>0</v>
      </c>
      <c r="G1966">
        <v>5</v>
      </c>
      <c r="H1966">
        <v>10</v>
      </c>
      <c r="I1966">
        <v>59</v>
      </c>
      <c r="J1966" t="s">
        <v>11</v>
      </c>
    </row>
    <row r="1967" spans="1:10">
      <c r="A1967">
        <v>1966</v>
      </c>
      <c r="B1967" s="1">
        <v>45183</v>
      </c>
      <c r="C1967" t="s">
        <v>12</v>
      </c>
      <c r="D1967">
        <v>199</v>
      </c>
      <c r="E1967">
        <v>1.6</v>
      </c>
      <c r="F1967">
        <v>0</v>
      </c>
      <c r="G1967">
        <v>1</v>
      </c>
      <c r="H1967">
        <v>21</v>
      </c>
      <c r="I1967">
        <v>21</v>
      </c>
      <c r="J1967" t="s">
        <v>13</v>
      </c>
    </row>
    <row r="1968" spans="1:10">
      <c r="A1968">
        <v>1967</v>
      </c>
      <c r="B1968" s="1">
        <v>45225</v>
      </c>
      <c r="C1968" t="s">
        <v>12</v>
      </c>
      <c r="D1968">
        <v>199</v>
      </c>
      <c r="E1968">
        <v>11.8</v>
      </c>
      <c r="F1968">
        <v>0</v>
      </c>
      <c r="G1968">
        <v>3</v>
      </c>
      <c r="H1968">
        <v>23</v>
      </c>
      <c r="I1968">
        <v>24</v>
      </c>
      <c r="J1968" t="s">
        <v>11</v>
      </c>
    </row>
    <row r="1969" spans="1:10">
      <c r="A1969">
        <v>1968</v>
      </c>
      <c r="B1969" s="1">
        <v>44952</v>
      </c>
      <c r="C1969" t="s">
        <v>10</v>
      </c>
      <c r="D1969">
        <v>699</v>
      </c>
      <c r="E1969">
        <v>6</v>
      </c>
      <c r="F1969">
        <v>3</v>
      </c>
      <c r="G1969">
        <v>2</v>
      </c>
      <c r="H1969">
        <v>5</v>
      </c>
      <c r="I1969">
        <v>42</v>
      </c>
      <c r="J1969" t="s">
        <v>13</v>
      </c>
    </row>
    <row r="1970" spans="1:10">
      <c r="A1970">
        <v>1969</v>
      </c>
      <c r="B1970" s="1">
        <v>45487</v>
      </c>
      <c r="C1970" t="s">
        <v>14</v>
      </c>
      <c r="D1970">
        <v>399</v>
      </c>
      <c r="E1970">
        <v>21.2</v>
      </c>
      <c r="F1970">
        <v>8</v>
      </c>
      <c r="G1970">
        <v>2</v>
      </c>
      <c r="H1970">
        <v>5</v>
      </c>
      <c r="I1970">
        <v>35</v>
      </c>
      <c r="J1970" t="s">
        <v>11</v>
      </c>
    </row>
    <row r="1971" spans="1:10">
      <c r="A1971">
        <v>1970</v>
      </c>
      <c r="B1971" s="1">
        <v>45560</v>
      </c>
      <c r="C1971" t="s">
        <v>14</v>
      </c>
      <c r="D1971">
        <v>399</v>
      </c>
      <c r="E1971">
        <v>3.2</v>
      </c>
      <c r="F1971">
        <v>1</v>
      </c>
      <c r="G1971">
        <v>3</v>
      </c>
      <c r="H1971">
        <v>4</v>
      </c>
      <c r="I1971">
        <v>33</v>
      </c>
      <c r="J1971" t="s">
        <v>11</v>
      </c>
    </row>
    <row r="1972" spans="1:10">
      <c r="A1972">
        <v>1971</v>
      </c>
      <c r="B1972" s="1">
        <v>45033</v>
      </c>
      <c r="C1972" t="s">
        <v>10</v>
      </c>
      <c r="D1972">
        <v>699</v>
      </c>
      <c r="E1972">
        <v>18.2</v>
      </c>
      <c r="F1972">
        <v>5</v>
      </c>
      <c r="G1972">
        <v>2</v>
      </c>
      <c r="H1972">
        <v>11</v>
      </c>
      <c r="I1972">
        <v>2</v>
      </c>
      <c r="J1972" t="s">
        <v>11</v>
      </c>
    </row>
    <row r="1973" spans="1:10">
      <c r="A1973">
        <v>1972</v>
      </c>
      <c r="B1973" s="1">
        <v>45507</v>
      </c>
      <c r="C1973" t="s">
        <v>10</v>
      </c>
      <c r="D1973">
        <v>699</v>
      </c>
      <c r="E1973">
        <v>0.6</v>
      </c>
      <c r="F1973">
        <v>0</v>
      </c>
      <c r="G1973">
        <v>4</v>
      </c>
      <c r="H1973">
        <v>15</v>
      </c>
      <c r="I1973">
        <v>3</v>
      </c>
      <c r="J1973" t="s">
        <v>13</v>
      </c>
    </row>
    <row r="1974" spans="1:10">
      <c r="A1974">
        <v>1973</v>
      </c>
      <c r="B1974" s="1">
        <v>45591</v>
      </c>
      <c r="C1974" t="s">
        <v>12</v>
      </c>
      <c r="D1974">
        <v>199</v>
      </c>
      <c r="E1974">
        <v>19.2</v>
      </c>
      <c r="F1974">
        <v>0</v>
      </c>
      <c r="G1974">
        <v>4</v>
      </c>
      <c r="H1974">
        <v>15</v>
      </c>
      <c r="I1974">
        <v>34</v>
      </c>
      <c r="J1974" t="s">
        <v>11</v>
      </c>
    </row>
    <row r="1975" spans="1:10">
      <c r="A1975">
        <v>1974</v>
      </c>
      <c r="B1975" s="1">
        <v>45626</v>
      </c>
      <c r="C1975" t="s">
        <v>14</v>
      </c>
      <c r="D1975">
        <v>399</v>
      </c>
      <c r="E1975">
        <v>7.4</v>
      </c>
      <c r="F1975">
        <v>6</v>
      </c>
      <c r="G1975">
        <v>3</v>
      </c>
      <c r="H1975">
        <v>25</v>
      </c>
      <c r="I1975">
        <v>58</v>
      </c>
      <c r="J1975" t="s">
        <v>11</v>
      </c>
    </row>
    <row r="1976" spans="1:10">
      <c r="A1976">
        <v>1975</v>
      </c>
      <c r="B1976" s="1">
        <v>45392</v>
      </c>
      <c r="C1976" t="s">
        <v>14</v>
      </c>
      <c r="D1976">
        <v>399</v>
      </c>
      <c r="E1976">
        <v>9</v>
      </c>
      <c r="F1976">
        <v>7</v>
      </c>
      <c r="G1976">
        <v>3</v>
      </c>
      <c r="H1976">
        <v>17</v>
      </c>
      <c r="I1976">
        <v>58</v>
      </c>
      <c r="J1976" t="s">
        <v>13</v>
      </c>
    </row>
    <row r="1977" spans="1:10">
      <c r="A1977">
        <v>1976</v>
      </c>
      <c r="B1977" s="1">
        <v>45324</v>
      </c>
      <c r="C1977" t="s">
        <v>10</v>
      </c>
      <c r="D1977">
        <v>699</v>
      </c>
      <c r="E1977">
        <v>6</v>
      </c>
      <c r="F1977">
        <v>4</v>
      </c>
      <c r="G1977">
        <v>5</v>
      </c>
      <c r="H1977">
        <v>24</v>
      </c>
      <c r="I1977">
        <v>46</v>
      </c>
      <c r="J1977" t="s">
        <v>11</v>
      </c>
    </row>
    <row r="1978" spans="1:10">
      <c r="A1978">
        <v>1977</v>
      </c>
      <c r="B1978" s="1">
        <v>44970</v>
      </c>
      <c r="C1978" t="s">
        <v>14</v>
      </c>
      <c r="D1978">
        <v>399</v>
      </c>
      <c r="E1978">
        <v>9.5</v>
      </c>
      <c r="F1978">
        <v>0</v>
      </c>
      <c r="G1978">
        <v>3</v>
      </c>
      <c r="H1978">
        <v>11</v>
      </c>
      <c r="I1978">
        <v>51</v>
      </c>
      <c r="J1978" t="s">
        <v>11</v>
      </c>
    </row>
    <row r="1979" spans="1:10">
      <c r="A1979">
        <v>1978</v>
      </c>
      <c r="B1979" s="1">
        <v>45568</v>
      </c>
      <c r="C1979" t="s">
        <v>14</v>
      </c>
      <c r="D1979">
        <v>399</v>
      </c>
      <c r="E1979">
        <v>17.899999999999999</v>
      </c>
      <c r="F1979">
        <v>8</v>
      </c>
      <c r="G1979">
        <v>1</v>
      </c>
      <c r="H1979">
        <v>27</v>
      </c>
      <c r="I1979">
        <v>25</v>
      </c>
      <c r="J1979" t="s">
        <v>11</v>
      </c>
    </row>
    <row r="1980" spans="1:10">
      <c r="A1980">
        <v>1979</v>
      </c>
      <c r="B1980" s="1">
        <v>45381</v>
      </c>
      <c r="C1980" t="s">
        <v>14</v>
      </c>
      <c r="D1980">
        <v>399</v>
      </c>
      <c r="E1980">
        <v>23.6</v>
      </c>
      <c r="F1980">
        <v>6</v>
      </c>
      <c r="G1980">
        <v>3</v>
      </c>
      <c r="H1980">
        <v>14</v>
      </c>
      <c r="I1980">
        <v>29</v>
      </c>
      <c r="J1980" t="s">
        <v>11</v>
      </c>
    </row>
    <row r="1981" spans="1:10">
      <c r="A1981">
        <v>1980</v>
      </c>
      <c r="B1981" s="1">
        <v>45469</v>
      </c>
      <c r="C1981" t="s">
        <v>14</v>
      </c>
      <c r="D1981">
        <v>399</v>
      </c>
      <c r="E1981">
        <v>9.4</v>
      </c>
      <c r="F1981">
        <v>5</v>
      </c>
      <c r="G1981">
        <v>5</v>
      </c>
      <c r="H1981">
        <v>30</v>
      </c>
      <c r="I1981">
        <v>25</v>
      </c>
      <c r="J1981" t="s">
        <v>11</v>
      </c>
    </row>
    <row r="1982" spans="1:10">
      <c r="A1982">
        <v>1981</v>
      </c>
      <c r="B1982" s="1">
        <v>45602</v>
      </c>
      <c r="C1982" t="s">
        <v>12</v>
      </c>
      <c r="D1982">
        <v>199</v>
      </c>
      <c r="E1982">
        <v>5.8</v>
      </c>
      <c r="F1982">
        <v>3</v>
      </c>
      <c r="G1982">
        <v>4</v>
      </c>
      <c r="H1982">
        <v>16</v>
      </c>
      <c r="I1982">
        <v>12</v>
      </c>
      <c r="J1982" t="s">
        <v>13</v>
      </c>
    </row>
    <row r="1983" spans="1:10">
      <c r="A1983">
        <v>1982</v>
      </c>
      <c r="B1983" s="1">
        <v>45145</v>
      </c>
      <c r="C1983" t="s">
        <v>10</v>
      </c>
      <c r="D1983">
        <v>699</v>
      </c>
      <c r="E1983">
        <v>22.6</v>
      </c>
      <c r="F1983">
        <v>8</v>
      </c>
      <c r="G1983">
        <v>3</v>
      </c>
      <c r="H1983">
        <v>24</v>
      </c>
      <c r="I1983">
        <v>23</v>
      </c>
      <c r="J1983" t="s">
        <v>11</v>
      </c>
    </row>
    <row r="1984" spans="1:10">
      <c r="A1984">
        <v>1983</v>
      </c>
      <c r="B1984" s="1">
        <v>45565</v>
      </c>
      <c r="C1984" t="s">
        <v>14</v>
      </c>
      <c r="D1984">
        <v>399</v>
      </c>
      <c r="E1984">
        <v>12</v>
      </c>
      <c r="F1984">
        <v>8</v>
      </c>
      <c r="G1984">
        <v>5</v>
      </c>
      <c r="H1984">
        <v>10</v>
      </c>
      <c r="I1984">
        <v>28</v>
      </c>
      <c r="J1984" t="s">
        <v>11</v>
      </c>
    </row>
    <row r="1985" spans="1:10">
      <c r="A1985">
        <v>1984</v>
      </c>
      <c r="B1985" s="1">
        <v>45320</v>
      </c>
      <c r="C1985" t="s">
        <v>14</v>
      </c>
      <c r="D1985">
        <v>399</v>
      </c>
      <c r="E1985">
        <v>5.4</v>
      </c>
      <c r="F1985">
        <v>5</v>
      </c>
      <c r="G1985">
        <v>4</v>
      </c>
      <c r="H1985">
        <v>4</v>
      </c>
      <c r="I1985">
        <v>56</v>
      </c>
      <c r="J1985" t="s">
        <v>11</v>
      </c>
    </row>
    <row r="1986" spans="1:10">
      <c r="A1986">
        <v>1985</v>
      </c>
      <c r="B1986" s="1">
        <v>45508</v>
      </c>
      <c r="C1986" t="s">
        <v>10</v>
      </c>
      <c r="D1986">
        <v>699</v>
      </c>
      <c r="E1986">
        <v>4.9000000000000004</v>
      </c>
      <c r="F1986">
        <v>7</v>
      </c>
      <c r="G1986">
        <v>0</v>
      </c>
      <c r="H1986">
        <v>28</v>
      </c>
      <c r="I1986">
        <v>44</v>
      </c>
      <c r="J1986" t="s">
        <v>11</v>
      </c>
    </row>
    <row r="1987" spans="1:10">
      <c r="A1987">
        <v>1986</v>
      </c>
      <c r="B1987" s="1">
        <v>45129</v>
      </c>
      <c r="C1987" t="s">
        <v>10</v>
      </c>
      <c r="D1987">
        <v>699</v>
      </c>
      <c r="E1987">
        <v>7.2</v>
      </c>
      <c r="F1987">
        <v>2</v>
      </c>
      <c r="G1987">
        <v>5</v>
      </c>
      <c r="H1987">
        <v>12</v>
      </c>
      <c r="I1987">
        <v>25</v>
      </c>
      <c r="J1987" t="s">
        <v>11</v>
      </c>
    </row>
    <row r="1988" spans="1:10">
      <c r="A1988">
        <v>1987</v>
      </c>
      <c r="B1988" s="1">
        <v>45425</v>
      </c>
      <c r="C1988" t="s">
        <v>12</v>
      </c>
      <c r="D1988">
        <v>199</v>
      </c>
      <c r="E1988">
        <v>8.3000000000000007</v>
      </c>
      <c r="F1988">
        <v>3</v>
      </c>
      <c r="G1988">
        <v>5</v>
      </c>
      <c r="H1988">
        <v>27</v>
      </c>
      <c r="I1988">
        <v>8</v>
      </c>
      <c r="J1988" t="s">
        <v>13</v>
      </c>
    </row>
    <row r="1989" spans="1:10">
      <c r="A1989">
        <v>1988</v>
      </c>
      <c r="B1989" s="1">
        <v>45014</v>
      </c>
      <c r="C1989" t="s">
        <v>14</v>
      </c>
      <c r="D1989">
        <v>399</v>
      </c>
      <c r="E1989">
        <v>18.5</v>
      </c>
      <c r="F1989">
        <v>0</v>
      </c>
      <c r="G1989">
        <v>5</v>
      </c>
      <c r="H1989">
        <v>34</v>
      </c>
      <c r="I1989">
        <v>6</v>
      </c>
      <c r="J1989" t="s">
        <v>13</v>
      </c>
    </row>
    <row r="1990" spans="1:10">
      <c r="A1990">
        <v>1989</v>
      </c>
      <c r="B1990" s="1">
        <v>45292</v>
      </c>
      <c r="C1990" t="s">
        <v>12</v>
      </c>
      <c r="D1990">
        <v>199</v>
      </c>
      <c r="E1990">
        <v>23</v>
      </c>
      <c r="F1990">
        <v>0</v>
      </c>
      <c r="G1990">
        <v>2</v>
      </c>
      <c r="H1990">
        <v>1</v>
      </c>
      <c r="I1990">
        <v>54</v>
      </c>
      <c r="J1990" t="s">
        <v>11</v>
      </c>
    </row>
    <row r="1991" spans="1:10">
      <c r="A1991">
        <v>1990</v>
      </c>
      <c r="B1991" s="1">
        <v>45250</v>
      </c>
      <c r="C1991" t="s">
        <v>12</v>
      </c>
      <c r="D1991">
        <v>199</v>
      </c>
      <c r="E1991">
        <v>24</v>
      </c>
      <c r="F1991">
        <v>4</v>
      </c>
      <c r="G1991">
        <v>0</v>
      </c>
      <c r="H1991">
        <v>10</v>
      </c>
      <c r="I1991">
        <v>23</v>
      </c>
      <c r="J1991" t="s">
        <v>13</v>
      </c>
    </row>
    <row r="1992" spans="1:10">
      <c r="A1992">
        <v>1991</v>
      </c>
      <c r="B1992" s="1">
        <v>45502</v>
      </c>
      <c r="C1992" t="s">
        <v>10</v>
      </c>
      <c r="D1992">
        <v>699</v>
      </c>
      <c r="E1992">
        <v>12.1</v>
      </c>
      <c r="F1992">
        <v>2</v>
      </c>
      <c r="G1992">
        <v>2</v>
      </c>
      <c r="H1992">
        <v>29</v>
      </c>
      <c r="I1992">
        <v>19</v>
      </c>
      <c r="J1992" t="s">
        <v>11</v>
      </c>
    </row>
    <row r="1993" spans="1:10">
      <c r="A1993">
        <v>1992</v>
      </c>
      <c r="B1993" s="1">
        <v>45089</v>
      </c>
      <c r="C1993" t="s">
        <v>12</v>
      </c>
      <c r="D1993">
        <v>199</v>
      </c>
      <c r="E1993">
        <v>4.5</v>
      </c>
      <c r="F1993">
        <v>1</v>
      </c>
      <c r="G1993">
        <v>4</v>
      </c>
      <c r="H1993">
        <v>10</v>
      </c>
      <c r="I1993">
        <v>58</v>
      </c>
      <c r="J1993" t="s">
        <v>11</v>
      </c>
    </row>
    <row r="1994" spans="1:10">
      <c r="A1994">
        <v>1993</v>
      </c>
      <c r="B1994" s="1">
        <v>45043</v>
      </c>
      <c r="C1994" t="s">
        <v>10</v>
      </c>
      <c r="D1994">
        <v>699</v>
      </c>
      <c r="E1994">
        <v>15.9</v>
      </c>
      <c r="F1994">
        <v>4</v>
      </c>
      <c r="G1994">
        <v>5</v>
      </c>
      <c r="H1994">
        <v>36</v>
      </c>
      <c r="I1994">
        <v>54</v>
      </c>
      <c r="J1994" t="s">
        <v>13</v>
      </c>
    </row>
    <row r="1995" spans="1:10">
      <c r="A1995">
        <v>1994</v>
      </c>
      <c r="B1995" s="1">
        <v>45411</v>
      </c>
      <c r="C1995" t="s">
        <v>10</v>
      </c>
      <c r="D1995">
        <v>699</v>
      </c>
      <c r="E1995">
        <v>22.8</v>
      </c>
      <c r="F1995">
        <v>1</v>
      </c>
      <c r="G1995">
        <v>0</v>
      </c>
      <c r="H1995">
        <v>10</v>
      </c>
      <c r="I1995">
        <v>8</v>
      </c>
      <c r="J1995" t="s">
        <v>13</v>
      </c>
    </row>
    <row r="1996" spans="1:10">
      <c r="A1996">
        <v>1995</v>
      </c>
      <c r="B1996" s="1">
        <v>45298</v>
      </c>
      <c r="C1996" t="s">
        <v>14</v>
      </c>
      <c r="D1996">
        <v>399</v>
      </c>
      <c r="E1996">
        <v>4.7</v>
      </c>
      <c r="F1996">
        <v>0</v>
      </c>
      <c r="G1996">
        <v>4</v>
      </c>
      <c r="H1996">
        <v>31</v>
      </c>
      <c r="I1996">
        <v>44</v>
      </c>
      <c r="J1996" t="s">
        <v>13</v>
      </c>
    </row>
    <row r="1997" spans="1:10">
      <c r="A1997">
        <v>1996</v>
      </c>
      <c r="B1997" s="1">
        <v>45279</v>
      </c>
      <c r="C1997" t="s">
        <v>14</v>
      </c>
      <c r="D1997">
        <v>399</v>
      </c>
      <c r="E1997">
        <v>11.5</v>
      </c>
      <c r="F1997">
        <v>0</v>
      </c>
      <c r="G1997">
        <v>3</v>
      </c>
      <c r="H1997">
        <v>12</v>
      </c>
      <c r="I1997">
        <v>60</v>
      </c>
      <c r="J1997" t="s">
        <v>13</v>
      </c>
    </row>
    <row r="1998" spans="1:10">
      <c r="A1998">
        <v>1997</v>
      </c>
      <c r="B1998" s="1">
        <v>45620</v>
      </c>
      <c r="C1998" t="s">
        <v>14</v>
      </c>
      <c r="D1998">
        <v>399</v>
      </c>
      <c r="E1998">
        <v>22.2</v>
      </c>
      <c r="F1998">
        <v>1</v>
      </c>
      <c r="G1998">
        <v>1</v>
      </c>
      <c r="H1998">
        <v>6</v>
      </c>
      <c r="I1998">
        <v>8</v>
      </c>
      <c r="J1998" t="s">
        <v>13</v>
      </c>
    </row>
    <row r="1999" spans="1:10">
      <c r="A1999">
        <v>1998</v>
      </c>
      <c r="B1999" s="1">
        <v>45012</v>
      </c>
      <c r="C1999" t="s">
        <v>14</v>
      </c>
      <c r="D1999">
        <v>399</v>
      </c>
      <c r="E1999">
        <v>3.2</v>
      </c>
      <c r="F1999">
        <v>3</v>
      </c>
      <c r="G1999">
        <v>5</v>
      </c>
      <c r="H1999">
        <v>10</v>
      </c>
      <c r="I1999">
        <v>20</v>
      </c>
      <c r="J1999" t="s">
        <v>11</v>
      </c>
    </row>
    <row r="2000" spans="1:10">
      <c r="A2000">
        <v>1999</v>
      </c>
      <c r="B2000" s="1">
        <v>45123</v>
      </c>
      <c r="C2000" t="s">
        <v>14</v>
      </c>
      <c r="D2000">
        <v>399</v>
      </c>
      <c r="E2000">
        <v>0.9</v>
      </c>
      <c r="F2000">
        <v>6</v>
      </c>
      <c r="G2000">
        <v>1</v>
      </c>
      <c r="H2000">
        <v>32</v>
      </c>
      <c r="I2000">
        <v>23</v>
      </c>
      <c r="J2000" t="s">
        <v>13</v>
      </c>
    </row>
    <row r="2001" spans="1:10">
      <c r="A2001">
        <v>2000</v>
      </c>
      <c r="B2001" s="1">
        <v>44980</v>
      </c>
      <c r="C2001" t="s">
        <v>10</v>
      </c>
      <c r="D2001">
        <v>699</v>
      </c>
      <c r="E2001">
        <v>24.6</v>
      </c>
      <c r="F2001">
        <v>0</v>
      </c>
      <c r="G2001">
        <v>3</v>
      </c>
      <c r="H2001">
        <v>18</v>
      </c>
      <c r="I2001">
        <v>20</v>
      </c>
      <c r="J2001" t="s">
        <v>13</v>
      </c>
    </row>
    <row r="2002" spans="1:10">
      <c r="A2002">
        <v>2001</v>
      </c>
      <c r="B2002" s="1">
        <v>45206</v>
      </c>
      <c r="C2002" t="s">
        <v>10</v>
      </c>
      <c r="D2002">
        <v>699</v>
      </c>
      <c r="E2002">
        <v>17.7</v>
      </c>
      <c r="F2002">
        <v>4</v>
      </c>
      <c r="G2002">
        <v>3</v>
      </c>
      <c r="H2002">
        <v>16</v>
      </c>
      <c r="I2002">
        <v>27</v>
      </c>
      <c r="J2002" t="s">
        <v>11</v>
      </c>
    </row>
    <row r="2003" spans="1:10">
      <c r="A2003">
        <v>2002</v>
      </c>
      <c r="B2003" s="1">
        <v>45566</v>
      </c>
      <c r="C2003" t="s">
        <v>10</v>
      </c>
      <c r="D2003">
        <v>699</v>
      </c>
      <c r="E2003">
        <v>16.7</v>
      </c>
      <c r="F2003">
        <v>5</v>
      </c>
      <c r="G2003">
        <v>4</v>
      </c>
      <c r="H2003">
        <v>30</v>
      </c>
      <c r="I2003">
        <v>2</v>
      </c>
      <c r="J2003" t="s">
        <v>11</v>
      </c>
    </row>
    <row r="2004" spans="1:10">
      <c r="A2004">
        <v>2003</v>
      </c>
      <c r="B2004" s="1">
        <v>45638</v>
      </c>
      <c r="C2004" t="s">
        <v>12</v>
      </c>
      <c r="D2004">
        <v>199</v>
      </c>
      <c r="E2004">
        <v>7.9</v>
      </c>
      <c r="F2004">
        <v>3</v>
      </c>
      <c r="G2004">
        <v>3</v>
      </c>
      <c r="H2004">
        <v>2</v>
      </c>
      <c r="I2004">
        <v>24</v>
      </c>
      <c r="J2004" t="s">
        <v>11</v>
      </c>
    </row>
    <row r="2005" spans="1:10">
      <c r="A2005">
        <v>2004</v>
      </c>
      <c r="B2005" s="1">
        <v>45361</v>
      </c>
      <c r="C2005" t="s">
        <v>10</v>
      </c>
      <c r="D2005">
        <v>699</v>
      </c>
      <c r="E2005">
        <v>17.600000000000001</v>
      </c>
      <c r="F2005">
        <v>5</v>
      </c>
      <c r="G2005">
        <v>2</v>
      </c>
      <c r="H2005">
        <v>18</v>
      </c>
      <c r="I2005">
        <v>51</v>
      </c>
      <c r="J2005" t="s">
        <v>11</v>
      </c>
    </row>
    <row r="2006" spans="1:10">
      <c r="A2006">
        <v>2005</v>
      </c>
      <c r="B2006" s="1">
        <v>45427</v>
      </c>
      <c r="C2006" t="s">
        <v>14</v>
      </c>
      <c r="D2006">
        <v>399</v>
      </c>
      <c r="E2006">
        <v>3.7</v>
      </c>
      <c r="F2006">
        <v>5</v>
      </c>
      <c r="G2006">
        <v>5</v>
      </c>
      <c r="H2006">
        <v>22</v>
      </c>
      <c r="I2006">
        <v>16</v>
      </c>
      <c r="J2006" t="s">
        <v>11</v>
      </c>
    </row>
    <row r="2007" spans="1:10">
      <c r="A2007">
        <v>2006</v>
      </c>
      <c r="B2007" s="1">
        <v>45253</v>
      </c>
      <c r="C2007" t="s">
        <v>14</v>
      </c>
      <c r="D2007">
        <v>399</v>
      </c>
      <c r="E2007">
        <v>2.5</v>
      </c>
      <c r="F2007">
        <v>7</v>
      </c>
      <c r="G2007">
        <v>5</v>
      </c>
      <c r="H2007">
        <v>18</v>
      </c>
      <c r="I2007">
        <v>5</v>
      </c>
      <c r="J2007" t="s">
        <v>13</v>
      </c>
    </row>
    <row r="2008" spans="1:10">
      <c r="A2008">
        <v>2007</v>
      </c>
      <c r="B2008" s="1">
        <v>45309</v>
      </c>
      <c r="C2008" t="s">
        <v>10</v>
      </c>
      <c r="D2008">
        <v>699</v>
      </c>
      <c r="E2008">
        <v>1.1000000000000001</v>
      </c>
      <c r="F2008">
        <v>2</v>
      </c>
      <c r="G2008">
        <v>0</v>
      </c>
      <c r="H2008">
        <v>8</v>
      </c>
      <c r="I2008">
        <v>15</v>
      </c>
      <c r="J2008" t="s">
        <v>11</v>
      </c>
    </row>
    <row r="2009" spans="1:10">
      <c r="A2009">
        <v>2008</v>
      </c>
      <c r="B2009" s="1">
        <v>44940</v>
      </c>
      <c r="C2009" t="s">
        <v>12</v>
      </c>
      <c r="D2009">
        <v>199</v>
      </c>
      <c r="E2009">
        <v>14.5</v>
      </c>
      <c r="F2009">
        <v>3</v>
      </c>
      <c r="G2009">
        <v>0</v>
      </c>
      <c r="H2009">
        <v>10</v>
      </c>
      <c r="I2009">
        <v>55</v>
      </c>
      <c r="J2009" t="s">
        <v>11</v>
      </c>
    </row>
    <row r="2010" spans="1:10">
      <c r="A2010">
        <v>2009</v>
      </c>
      <c r="B2010" s="1">
        <v>45398</v>
      </c>
      <c r="C2010" t="s">
        <v>10</v>
      </c>
      <c r="D2010">
        <v>699</v>
      </c>
      <c r="E2010">
        <v>21.8</v>
      </c>
      <c r="F2010">
        <v>1</v>
      </c>
      <c r="G2010">
        <v>1</v>
      </c>
      <c r="H2010">
        <v>22</v>
      </c>
      <c r="I2010">
        <v>37</v>
      </c>
      <c r="J2010" t="s">
        <v>13</v>
      </c>
    </row>
    <row r="2011" spans="1:10">
      <c r="A2011">
        <v>2010</v>
      </c>
      <c r="B2011" s="1">
        <v>45069</v>
      </c>
      <c r="C2011" t="s">
        <v>10</v>
      </c>
      <c r="D2011">
        <v>699</v>
      </c>
      <c r="E2011">
        <v>19.8</v>
      </c>
      <c r="F2011">
        <v>1</v>
      </c>
      <c r="G2011">
        <v>4</v>
      </c>
      <c r="H2011">
        <v>22</v>
      </c>
      <c r="I2011">
        <v>7</v>
      </c>
      <c r="J2011" t="s">
        <v>11</v>
      </c>
    </row>
    <row r="2012" spans="1:10">
      <c r="A2012">
        <v>2011</v>
      </c>
      <c r="B2012" s="1">
        <v>45165</v>
      </c>
      <c r="C2012" t="s">
        <v>12</v>
      </c>
      <c r="D2012">
        <v>199</v>
      </c>
      <c r="E2012">
        <v>5</v>
      </c>
      <c r="F2012">
        <v>1</v>
      </c>
      <c r="G2012">
        <v>0</v>
      </c>
      <c r="H2012">
        <v>6</v>
      </c>
      <c r="I2012">
        <v>27</v>
      </c>
      <c r="J2012" t="s">
        <v>13</v>
      </c>
    </row>
    <row r="2013" spans="1:10">
      <c r="A2013">
        <v>2012</v>
      </c>
      <c r="B2013" s="1">
        <v>45414</v>
      </c>
      <c r="C2013" t="s">
        <v>12</v>
      </c>
      <c r="D2013">
        <v>199</v>
      </c>
      <c r="E2013">
        <v>18.100000000000001</v>
      </c>
      <c r="F2013">
        <v>6</v>
      </c>
      <c r="G2013">
        <v>2</v>
      </c>
      <c r="H2013">
        <v>4</v>
      </c>
      <c r="I2013">
        <v>40</v>
      </c>
      <c r="J2013" t="s">
        <v>11</v>
      </c>
    </row>
    <row r="2014" spans="1:10">
      <c r="A2014">
        <v>2013</v>
      </c>
      <c r="B2014" s="1">
        <v>45533</v>
      </c>
      <c r="C2014" t="s">
        <v>12</v>
      </c>
      <c r="D2014">
        <v>199</v>
      </c>
      <c r="E2014">
        <v>15.3</v>
      </c>
      <c r="F2014">
        <v>2</v>
      </c>
      <c r="G2014">
        <v>3</v>
      </c>
      <c r="H2014">
        <v>32</v>
      </c>
      <c r="I2014">
        <v>18</v>
      </c>
      <c r="J2014" t="s">
        <v>13</v>
      </c>
    </row>
    <row r="2015" spans="1:10">
      <c r="A2015">
        <v>2014</v>
      </c>
      <c r="B2015" s="1">
        <v>45196</v>
      </c>
      <c r="C2015" t="s">
        <v>12</v>
      </c>
      <c r="D2015">
        <v>199</v>
      </c>
      <c r="E2015">
        <v>5</v>
      </c>
      <c r="F2015">
        <v>0</v>
      </c>
      <c r="G2015">
        <v>0</v>
      </c>
      <c r="H2015">
        <v>29</v>
      </c>
      <c r="I2015">
        <v>11</v>
      </c>
      <c r="J2015" t="s">
        <v>13</v>
      </c>
    </row>
    <row r="2016" spans="1:10">
      <c r="A2016">
        <v>2015</v>
      </c>
      <c r="B2016" s="1">
        <v>45004</v>
      </c>
      <c r="C2016" t="s">
        <v>12</v>
      </c>
      <c r="D2016">
        <v>199</v>
      </c>
      <c r="E2016">
        <v>14.6</v>
      </c>
      <c r="F2016">
        <v>3</v>
      </c>
      <c r="G2016">
        <v>5</v>
      </c>
      <c r="H2016">
        <v>35</v>
      </c>
      <c r="I2016">
        <v>7</v>
      </c>
      <c r="J2016" t="s">
        <v>13</v>
      </c>
    </row>
    <row r="2017" spans="1:10">
      <c r="A2017">
        <v>2016</v>
      </c>
      <c r="B2017" s="1">
        <v>45533</v>
      </c>
      <c r="C2017" t="s">
        <v>12</v>
      </c>
      <c r="D2017">
        <v>199</v>
      </c>
      <c r="E2017">
        <v>21.3</v>
      </c>
      <c r="F2017">
        <v>3</v>
      </c>
      <c r="G2017">
        <v>1</v>
      </c>
      <c r="H2017">
        <v>12</v>
      </c>
      <c r="I2017">
        <v>25</v>
      </c>
      <c r="J2017" t="s">
        <v>13</v>
      </c>
    </row>
    <row r="2018" spans="1:10">
      <c r="A2018">
        <v>2017</v>
      </c>
      <c r="B2018" s="1">
        <v>45280</v>
      </c>
      <c r="C2018" t="s">
        <v>14</v>
      </c>
      <c r="D2018">
        <v>399</v>
      </c>
      <c r="E2018">
        <v>12.9</v>
      </c>
      <c r="F2018">
        <v>4</v>
      </c>
      <c r="G2018">
        <v>1</v>
      </c>
      <c r="H2018">
        <v>27</v>
      </c>
      <c r="I2018">
        <v>27</v>
      </c>
      <c r="J2018" t="s">
        <v>11</v>
      </c>
    </row>
    <row r="2019" spans="1:10">
      <c r="A2019">
        <v>2018</v>
      </c>
      <c r="B2019" s="1">
        <v>44990</v>
      </c>
      <c r="C2019" t="s">
        <v>10</v>
      </c>
      <c r="D2019">
        <v>699</v>
      </c>
      <c r="E2019">
        <v>13.5</v>
      </c>
      <c r="F2019">
        <v>4</v>
      </c>
      <c r="G2019">
        <v>2</v>
      </c>
      <c r="H2019">
        <v>16</v>
      </c>
      <c r="I2019">
        <v>48</v>
      </c>
      <c r="J2019" t="s">
        <v>11</v>
      </c>
    </row>
    <row r="2020" spans="1:10">
      <c r="A2020">
        <v>2019</v>
      </c>
      <c r="B2020" s="1">
        <v>45008</v>
      </c>
      <c r="C2020" t="s">
        <v>12</v>
      </c>
      <c r="D2020">
        <v>199</v>
      </c>
      <c r="E2020">
        <v>8.9</v>
      </c>
      <c r="F2020">
        <v>0</v>
      </c>
      <c r="G2020">
        <v>4</v>
      </c>
      <c r="H2020">
        <v>32</v>
      </c>
      <c r="I2020">
        <v>48</v>
      </c>
      <c r="J2020" t="s">
        <v>13</v>
      </c>
    </row>
    <row r="2021" spans="1:10">
      <c r="A2021">
        <v>2020</v>
      </c>
      <c r="B2021" s="1">
        <v>45297</v>
      </c>
      <c r="C2021" t="s">
        <v>10</v>
      </c>
      <c r="D2021">
        <v>699</v>
      </c>
      <c r="E2021">
        <v>0.8</v>
      </c>
      <c r="F2021">
        <v>1</v>
      </c>
      <c r="G2021">
        <v>2</v>
      </c>
      <c r="H2021">
        <v>29</v>
      </c>
      <c r="I2021">
        <v>37</v>
      </c>
      <c r="J2021" t="s">
        <v>11</v>
      </c>
    </row>
    <row r="2022" spans="1:10">
      <c r="A2022">
        <v>2021</v>
      </c>
      <c r="B2022" s="1">
        <v>45418</v>
      </c>
      <c r="C2022" t="s">
        <v>10</v>
      </c>
      <c r="D2022">
        <v>699</v>
      </c>
      <c r="E2022">
        <v>14.4</v>
      </c>
      <c r="F2022">
        <v>5</v>
      </c>
      <c r="G2022">
        <v>3</v>
      </c>
      <c r="H2022">
        <v>5</v>
      </c>
      <c r="I2022">
        <v>22</v>
      </c>
      <c r="J2022" t="s">
        <v>11</v>
      </c>
    </row>
    <row r="2023" spans="1:10">
      <c r="A2023">
        <v>2022</v>
      </c>
      <c r="B2023" s="1">
        <v>45121</v>
      </c>
      <c r="C2023" t="s">
        <v>14</v>
      </c>
      <c r="D2023">
        <v>399</v>
      </c>
      <c r="E2023">
        <v>7.9</v>
      </c>
      <c r="F2023">
        <v>7</v>
      </c>
      <c r="G2023">
        <v>2</v>
      </c>
      <c r="H2023">
        <v>32</v>
      </c>
      <c r="I2023">
        <v>34</v>
      </c>
      <c r="J2023" t="s">
        <v>13</v>
      </c>
    </row>
    <row r="2024" spans="1:10">
      <c r="A2024">
        <v>2023</v>
      </c>
      <c r="B2024" s="1">
        <v>45259</v>
      </c>
      <c r="C2024" t="s">
        <v>12</v>
      </c>
      <c r="D2024">
        <v>199</v>
      </c>
      <c r="E2024">
        <v>1.5</v>
      </c>
      <c r="F2024">
        <v>5</v>
      </c>
      <c r="G2024">
        <v>3</v>
      </c>
      <c r="H2024">
        <v>11</v>
      </c>
      <c r="I2024">
        <v>29</v>
      </c>
      <c r="J2024" t="s">
        <v>11</v>
      </c>
    </row>
    <row r="2025" spans="1:10">
      <c r="A2025">
        <v>2024</v>
      </c>
      <c r="B2025" s="1">
        <v>45321</v>
      </c>
      <c r="C2025" t="s">
        <v>14</v>
      </c>
      <c r="D2025">
        <v>399</v>
      </c>
      <c r="E2025">
        <v>21.8</v>
      </c>
      <c r="F2025">
        <v>7</v>
      </c>
      <c r="G2025">
        <v>3</v>
      </c>
      <c r="H2025">
        <v>30</v>
      </c>
      <c r="I2025">
        <v>9</v>
      </c>
      <c r="J2025" t="s">
        <v>11</v>
      </c>
    </row>
    <row r="2026" spans="1:10">
      <c r="A2026">
        <v>2025</v>
      </c>
      <c r="B2026" s="1">
        <v>45336</v>
      </c>
      <c r="C2026" t="s">
        <v>14</v>
      </c>
      <c r="D2026">
        <v>399</v>
      </c>
      <c r="E2026">
        <v>21.9</v>
      </c>
      <c r="F2026">
        <v>5</v>
      </c>
      <c r="G2026">
        <v>3</v>
      </c>
      <c r="H2026">
        <v>2</v>
      </c>
      <c r="I2026">
        <v>55</v>
      </c>
      <c r="J2026" t="s">
        <v>11</v>
      </c>
    </row>
    <row r="2027" spans="1:10">
      <c r="A2027">
        <v>2026</v>
      </c>
      <c r="B2027" s="1">
        <v>45149</v>
      </c>
      <c r="C2027" t="s">
        <v>14</v>
      </c>
      <c r="D2027">
        <v>399</v>
      </c>
      <c r="E2027">
        <v>11.1</v>
      </c>
      <c r="F2027">
        <v>2</v>
      </c>
      <c r="G2027">
        <v>1</v>
      </c>
      <c r="H2027">
        <v>1</v>
      </c>
      <c r="I2027">
        <v>37</v>
      </c>
      <c r="J2027" t="s">
        <v>13</v>
      </c>
    </row>
    <row r="2028" spans="1:10">
      <c r="A2028">
        <v>2027</v>
      </c>
      <c r="B2028" s="1">
        <v>45436</v>
      </c>
      <c r="C2028" t="s">
        <v>12</v>
      </c>
      <c r="D2028">
        <v>199</v>
      </c>
      <c r="E2028">
        <v>10.1</v>
      </c>
      <c r="F2028">
        <v>2</v>
      </c>
      <c r="G2028">
        <v>2</v>
      </c>
      <c r="H2028">
        <v>2</v>
      </c>
      <c r="I2028">
        <v>21</v>
      </c>
      <c r="J2028" t="s">
        <v>11</v>
      </c>
    </row>
    <row r="2029" spans="1:10">
      <c r="A2029">
        <v>2028</v>
      </c>
      <c r="B2029" s="1">
        <v>45548</v>
      </c>
      <c r="C2029" t="s">
        <v>14</v>
      </c>
      <c r="D2029">
        <v>399</v>
      </c>
      <c r="E2029">
        <v>7.9</v>
      </c>
      <c r="F2029">
        <v>8</v>
      </c>
      <c r="G2029">
        <v>2</v>
      </c>
      <c r="H2029">
        <v>11</v>
      </c>
      <c r="I2029">
        <v>14</v>
      </c>
      <c r="J2029" t="s">
        <v>11</v>
      </c>
    </row>
    <row r="2030" spans="1:10">
      <c r="A2030">
        <v>2029</v>
      </c>
      <c r="B2030" s="1">
        <v>45035</v>
      </c>
      <c r="C2030" t="s">
        <v>10</v>
      </c>
      <c r="D2030">
        <v>699</v>
      </c>
      <c r="E2030">
        <v>11.1</v>
      </c>
      <c r="F2030">
        <v>2</v>
      </c>
      <c r="G2030">
        <v>3</v>
      </c>
      <c r="H2030">
        <v>32</v>
      </c>
      <c r="I2030">
        <v>42</v>
      </c>
      <c r="J2030" t="s">
        <v>11</v>
      </c>
    </row>
    <row r="2031" spans="1:10">
      <c r="A2031">
        <v>2030</v>
      </c>
      <c r="B2031" s="1">
        <v>45433</v>
      </c>
      <c r="C2031" t="s">
        <v>12</v>
      </c>
      <c r="D2031">
        <v>199</v>
      </c>
      <c r="E2031">
        <v>17.8</v>
      </c>
      <c r="F2031">
        <v>4</v>
      </c>
      <c r="G2031">
        <v>1</v>
      </c>
      <c r="H2031">
        <v>21</v>
      </c>
      <c r="I2031">
        <v>15</v>
      </c>
      <c r="J2031" t="s">
        <v>13</v>
      </c>
    </row>
    <row r="2032" spans="1:10">
      <c r="A2032">
        <v>2031</v>
      </c>
      <c r="B2032" s="1">
        <v>45245</v>
      </c>
      <c r="C2032" t="s">
        <v>12</v>
      </c>
      <c r="D2032">
        <v>199</v>
      </c>
      <c r="E2032">
        <v>12.5</v>
      </c>
      <c r="F2032">
        <v>4</v>
      </c>
      <c r="G2032">
        <v>5</v>
      </c>
      <c r="H2032">
        <v>27</v>
      </c>
      <c r="I2032">
        <v>10</v>
      </c>
      <c r="J2032" t="s">
        <v>11</v>
      </c>
    </row>
    <row r="2033" spans="1:10">
      <c r="A2033">
        <v>2032</v>
      </c>
      <c r="B2033" s="1">
        <v>45309</v>
      </c>
      <c r="C2033" t="s">
        <v>10</v>
      </c>
      <c r="D2033">
        <v>699</v>
      </c>
      <c r="E2033">
        <v>15.5</v>
      </c>
      <c r="F2033">
        <v>2</v>
      </c>
      <c r="G2033">
        <v>4</v>
      </c>
      <c r="H2033">
        <v>28</v>
      </c>
      <c r="I2033">
        <v>18</v>
      </c>
      <c r="J2033" t="s">
        <v>11</v>
      </c>
    </row>
    <row r="2034" spans="1:10">
      <c r="A2034">
        <v>2033</v>
      </c>
      <c r="B2034" s="1">
        <v>45354</v>
      </c>
      <c r="C2034" t="s">
        <v>10</v>
      </c>
      <c r="D2034">
        <v>699</v>
      </c>
      <c r="E2034">
        <v>9.6</v>
      </c>
      <c r="F2034">
        <v>7</v>
      </c>
      <c r="G2034">
        <v>0</v>
      </c>
      <c r="H2034">
        <v>9</v>
      </c>
      <c r="I2034">
        <v>1</v>
      </c>
      <c r="J2034" t="s">
        <v>13</v>
      </c>
    </row>
    <row r="2035" spans="1:10">
      <c r="A2035">
        <v>2034</v>
      </c>
      <c r="B2035" s="1">
        <v>45414</v>
      </c>
      <c r="C2035" t="s">
        <v>12</v>
      </c>
      <c r="D2035">
        <v>199</v>
      </c>
      <c r="E2035">
        <v>23.6</v>
      </c>
      <c r="F2035">
        <v>3</v>
      </c>
      <c r="G2035">
        <v>2</v>
      </c>
      <c r="H2035">
        <v>14</v>
      </c>
      <c r="I2035">
        <v>40</v>
      </c>
      <c r="J2035" t="s">
        <v>13</v>
      </c>
    </row>
    <row r="2036" spans="1:10">
      <c r="A2036">
        <v>2035</v>
      </c>
      <c r="B2036" s="1">
        <v>45256</v>
      </c>
      <c r="C2036" t="s">
        <v>14</v>
      </c>
      <c r="D2036">
        <v>399</v>
      </c>
      <c r="E2036">
        <v>8.8000000000000007</v>
      </c>
      <c r="F2036">
        <v>5</v>
      </c>
      <c r="G2036">
        <v>5</v>
      </c>
      <c r="H2036">
        <v>36</v>
      </c>
      <c r="I2036">
        <v>12</v>
      </c>
      <c r="J2036" t="s">
        <v>13</v>
      </c>
    </row>
    <row r="2037" spans="1:10">
      <c r="A2037">
        <v>2036</v>
      </c>
      <c r="B2037" s="1">
        <v>44946</v>
      </c>
      <c r="C2037" t="s">
        <v>10</v>
      </c>
      <c r="D2037">
        <v>699</v>
      </c>
      <c r="E2037">
        <v>17.8</v>
      </c>
      <c r="F2037">
        <v>3</v>
      </c>
      <c r="G2037">
        <v>1</v>
      </c>
      <c r="H2037">
        <v>15</v>
      </c>
      <c r="I2037">
        <v>31</v>
      </c>
      <c r="J2037" t="s">
        <v>13</v>
      </c>
    </row>
    <row r="2038" spans="1:10">
      <c r="A2038">
        <v>2037</v>
      </c>
      <c r="B2038" s="1">
        <v>45468</v>
      </c>
      <c r="C2038" t="s">
        <v>14</v>
      </c>
      <c r="D2038">
        <v>399</v>
      </c>
      <c r="E2038">
        <v>22.1</v>
      </c>
      <c r="F2038">
        <v>6</v>
      </c>
      <c r="G2038">
        <v>1</v>
      </c>
      <c r="H2038">
        <v>33</v>
      </c>
      <c r="I2038">
        <v>39</v>
      </c>
      <c r="J2038" t="s">
        <v>11</v>
      </c>
    </row>
    <row r="2039" spans="1:10">
      <c r="A2039">
        <v>2038</v>
      </c>
      <c r="B2039" s="1">
        <v>45124</v>
      </c>
      <c r="C2039" t="s">
        <v>14</v>
      </c>
      <c r="D2039">
        <v>399</v>
      </c>
      <c r="E2039">
        <v>15.3</v>
      </c>
      <c r="F2039">
        <v>4</v>
      </c>
      <c r="G2039">
        <v>0</v>
      </c>
      <c r="H2039">
        <v>30</v>
      </c>
      <c r="I2039">
        <v>28</v>
      </c>
      <c r="J2039" t="s">
        <v>11</v>
      </c>
    </row>
    <row r="2040" spans="1:10">
      <c r="A2040">
        <v>2039</v>
      </c>
      <c r="B2040" s="1">
        <v>44930</v>
      </c>
      <c r="C2040" t="s">
        <v>14</v>
      </c>
      <c r="D2040">
        <v>399</v>
      </c>
      <c r="E2040">
        <v>9.4</v>
      </c>
      <c r="F2040">
        <v>0</v>
      </c>
      <c r="G2040">
        <v>3</v>
      </c>
      <c r="H2040">
        <v>10</v>
      </c>
      <c r="I2040">
        <v>15</v>
      </c>
      <c r="J2040" t="s">
        <v>11</v>
      </c>
    </row>
    <row r="2041" spans="1:10">
      <c r="A2041">
        <v>2040</v>
      </c>
      <c r="B2041" s="1">
        <v>45254</v>
      </c>
      <c r="C2041" t="s">
        <v>14</v>
      </c>
      <c r="D2041">
        <v>399</v>
      </c>
      <c r="E2041">
        <v>20.7</v>
      </c>
      <c r="F2041">
        <v>7</v>
      </c>
      <c r="G2041">
        <v>4</v>
      </c>
      <c r="H2041">
        <v>23</v>
      </c>
      <c r="I2041">
        <v>9</v>
      </c>
      <c r="J2041" t="s">
        <v>13</v>
      </c>
    </row>
    <row r="2042" spans="1:10">
      <c r="A2042">
        <v>2041</v>
      </c>
      <c r="B2042" s="1">
        <v>45119</v>
      </c>
      <c r="C2042" t="s">
        <v>14</v>
      </c>
      <c r="D2042">
        <v>399</v>
      </c>
      <c r="E2042">
        <v>15.3</v>
      </c>
      <c r="F2042">
        <v>8</v>
      </c>
      <c r="G2042">
        <v>1</v>
      </c>
      <c r="H2042">
        <v>21</v>
      </c>
      <c r="I2042">
        <v>52</v>
      </c>
      <c r="J2042" t="s">
        <v>13</v>
      </c>
    </row>
    <row r="2043" spans="1:10">
      <c r="A2043">
        <v>2042</v>
      </c>
      <c r="B2043" s="1">
        <v>45443</v>
      </c>
      <c r="C2043" t="s">
        <v>10</v>
      </c>
      <c r="D2043">
        <v>699</v>
      </c>
      <c r="E2043">
        <v>7.7</v>
      </c>
      <c r="F2043">
        <v>0</v>
      </c>
      <c r="G2043">
        <v>5</v>
      </c>
      <c r="H2043">
        <v>8</v>
      </c>
      <c r="I2043">
        <v>56</v>
      </c>
      <c r="J2043" t="s">
        <v>11</v>
      </c>
    </row>
    <row r="2044" spans="1:10">
      <c r="A2044">
        <v>2043</v>
      </c>
      <c r="B2044" s="1">
        <v>45232</v>
      </c>
      <c r="C2044" t="s">
        <v>14</v>
      </c>
      <c r="D2044">
        <v>399</v>
      </c>
      <c r="E2044">
        <v>19.899999999999999</v>
      </c>
      <c r="F2044">
        <v>6</v>
      </c>
      <c r="G2044">
        <v>5</v>
      </c>
      <c r="H2044">
        <v>16</v>
      </c>
      <c r="I2044">
        <v>52</v>
      </c>
      <c r="J2044" t="s">
        <v>13</v>
      </c>
    </row>
    <row r="2045" spans="1:10">
      <c r="A2045">
        <v>2044</v>
      </c>
      <c r="B2045" s="1">
        <v>45358</v>
      </c>
      <c r="C2045" t="s">
        <v>14</v>
      </c>
      <c r="D2045">
        <v>399</v>
      </c>
      <c r="E2045">
        <v>4</v>
      </c>
      <c r="F2045">
        <v>0</v>
      </c>
      <c r="G2045">
        <v>0</v>
      </c>
      <c r="H2045">
        <v>14</v>
      </c>
      <c r="I2045">
        <v>41</v>
      </c>
      <c r="J2045" t="s">
        <v>13</v>
      </c>
    </row>
    <row r="2046" spans="1:10">
      <c r="A2046">
        <v>2045</v>
      </c>
      <c r="B2046" s="1">
        <v>45087</v>
      </c>
      <c r="C2046" t="s">
        <v>12</v>
      </c>
      <c r="D2046">
        <v>199</v>
      </c>
      <c r="E2046">
        <v>11.9</v>
      </c>
      <c r="F2046">
        <v>2</v>
      </c>
      <c r="G2046">
        <v>3</v>
      </c>
      <c r="H2046">
        <v>24</v>
      </c>
      <c r="I2046">
        <v>40</v>
      </c>
      <c r="J2046" t="s">
        <v>11</v>
      </c>
    </row>
    <row r="2047" spans="1:10">
      <c r="A2047">
        <v>2046</v>
      </c>
      <c r="B2047" s="1">
        <v>45650</v>
      </c>
      <c r="C2047" t="s">
        <v>10</v>
      </c>
      <c r="D2047">
        <v>699</v>
      </c>
      <c r="E2047">
        <v>19.100000000000001</v>
      </c>
      <c r="F2047">
        <v>1</v>
      </c>
      <c r="G2047">
        <v>2</v>
      </c>
      <c r="H2047">
        <v>29</v>
      </c>
      <c r="I2047">
        <v>29</v>
      </c>
      <c r="J2047" t="s">
        <v>11</v>
      </c>
    </row>
    <row r="2048" spans="1:10">
      <c r="A2048">
        <v>2047</v>
      </c>
      <c r="B2048" s="1">
        <v>45261</v>
      </c>
      <c r="C2048" t="s">
        <v>10</v>
      </c>
      <c r="D2048">
        <v>699</v>
      </c>
      <c r="E2048">
        <v>7.5</v>
      </c>
      <c r="F2048">
        <v>2</v>
      </c>
      <c r="G2048">
        <v>2</v>
      </c>
      <c r="H2048">
        <v>30</v>
      </c>
      <c r="I2048">
        <v>1</v>
      </c>
      <c r="J2048" t="s">
        <v>11</v>
      </c>
    </row>
    <row r="2049" spans="1:10">
      <c r="A2049">
        <v>2048</v>
      </c>
      <c r="B2049" s="1">
        <v>45570</v>
      </c>
      <c r="C2049" t="s">
        <v>10</v>
      </c>
      <c r="D2049">
        <v>699</v>
      </c>
      <c r="E2049">
        <v>9.5</v>
      </c>
      <c r="F2049">
        <v>5</v>
      </c>
      <c r="G2049">
        <v>5</v>
      </c>
      <c r="H2049">
        <v>31</v>
      </c>
      <c r="I2049">
        <v>24</v>
      </c>
      <c r="J2049" t="s">
        <v>11</v>
      </c>
    </row>
    <row r="2050" spans="1:10">
      <c r="A2050">
        <v>2049</v>
      </c>
      <c r="B2050" s="1">
        <v>45586</v>
      </c>
      <c r="C2050" t="s">
        <v>14</v>
      </c>
      <c r="D2050">
        <v>399</v>
      </c>
      <c r="E2050">
        <v>10.199999999999999</v>
      </c>
      <c r="F2050">
        <v>5</v>
      </c>
      <c r="G2050">
        <v>4</v>
      </c>
      <c r="H2050">
        <v>21</v>
      </c>
      <c r="I2050">
        <v>53</v>
      </c>
      <c r="J2050" t="s">
        <v>13</v>
      </c>
    </row>
    <row r="2051" spans="1:10">
      <c r="A2051">
        <v>2050</v>
      </c>
      <c r="B2051" s="1">
        <v>45657</v>
      </c>
      <c r="C2051" t="s">
        <v>14</v>
      </c>
      <c r="D2051">
        <v>399</v>
      </c>
      <c r="E2051">
        <v>14.4</v>
      </c>
      <c r="F2051">
        <v>0</v>
      </c>
      <c r="G2051">
        <v>4</v>
      </c>
      <c r="H2051">
        <v>21</v>
      </c>
      <c r="I2051">
        <v>3</v>
      </c>
      <c r="J2051" t="s">
        <v>13</v>
      </c>
    </row>
    <row r="2052" spans="1:10">
      <c r="A2052">
        <v>2051</v>
      </c>
      <c r="B2052" s="1">
        <v>45094</v>
      </c>
      <c r="C2052" t="s">
        <v>12</v>
      </c>
      <c r="D2052">
        <v>199</v>
      </c>
      <c r="E2052">
        <v>2.1</v>
      </c>
      <c r="F2052">
        <v>1</v>
      </c>
      <c r="G2052">
        <v>1</v>
      </c>
      <c r="H2052">
        <v>32</v>
      </c>
      <c r="I2052">
        <v>9</v>
      </c>
      <c r="J2052" t="s">
        <v>11</v>
      </c>
    </row>
    <row r="2053" spans="1:10">
      <c r="A2053">
        <v>2052</v>
      </c>
      <c r="B2053" s="1">
        <v>45278</v>
      </c>
      <c r="C2053" t="s">
        <v>10</v>
      </c>
      <c r="D2053">
        <v>699</v>
      </c>
      <c r="E2053">
        <v>2.8</v>
      </c>
      <c r="F2053">
        <v>5</v>
      </c>
      <c r="G2053">
        <v>2</v>
      </c>
      <c r="H2053">
        <v>16</v>
      </c>
      <c r="I2053">
        <v>21</v>
      </c>
      <c r="J2053" t="s">
        <v>11</v>
      </c>
    </row>
    <row r="2054" spans="1:10">
      <c r="A2054">
        <v>2053</v>
      </c>
      <c r="B2054" s="1">
        <v>45332</v>
      </c>
      <c r="C2054" t="s">
        <v>12</v>
      </c>
      <c r="D2054">
        <v>199</v>
      </c>
      <c r="E2054">
        <v>10.3</v>
      </c>
      <c r="F2054">
        <v>0</v>
      </c>
      <c r="G2054">
        <v>4</v>
      </c>
      <c r="H2054">
        <v>32</v>
      </c>
      <c r="I2054">
        <v>26</v>
      </c>
      <c r="J2054" t="s">
        <v>13</v>
      </c>
    </row>
    <row r="2055" spans="1:10">
      <c r="A2055">
        <v>2054</v>
      </c>
      <c r="B2055" s="1">
        <v>45194</v>
      </c>
      <c r="C2055" t="s">
        <v>10</v>
      </c>
      <c r="D2055">
        <v>699</v>
      </c>
      <c r="E2055">
        <v>13.9</v>
      </c>
      <c r="F2055">
        <v>1</v>
      </c>
      <c r="G2055">
        <v>1</v>
      </c>
      <c r="H2055">
        <v>10</v>
      </c>
      <c r="I2055">
        <v>28</v>
      </c>
      <c r="J2055" t="s">
        <v>11</v>
      </c>
    </row>
    <row r="2056" spans="1:10">
      <c r="A2056">
        <v>2055</v>
      </c>
      <c r="B2056" s="1">
        <v>45641</v>
      </c>
      <c r="C2056" t="s">
        <v>12</v>
      </c>
      <c r="D2056">
        <v>199</v>
      </c>
      <c r="E2056">
        <v>1.9</v>
      </c>
      <c r="F2056">
        <v>8</v>
      </c>
      <c r="G2056">
        <v>0</v>
      </c>
      <c r="H2056">
        <v>16</v>
      </c>
      <c r="I2056">
        <v>3</v>
      </c>
      <c r="J2056" t="s">
        <v>13</v>
      </c>
    </row>
    <row r="2057" spans="1:10">
      <c r="A2057">
        <v>2056</v>
      </c>
      <c r="B2057" s="1">
        <v>45067</v>
      </c>
      <c r="C2057" t="s">
        <v>12</v>
      </c>
      <c r="D2057">
        <v>199</v>
      </c>
      <c r="E2057">
        <v>1.5</v>
      </c>
      <c r="F2057">
        <v>3</v>
      </c>
      <c r="G2057">
        <v>1</v>
      </c>
      <c r="H2057">
        <v>31</v>
      </c>
      <c r="I2057">
        <v>60</v>
      </c>
      <c r="J2057" t="s">
        <v>11</v>
      </c>
    </row>
    <row r="2058" spans="1:10">
      <c r="A2058">
        <v>2057</v>
      </c>
      <c r="B2058" s="1">
        <v>45431</v>
      </c>
      <c r="C2058" t="s">
        <v>10</v>
      </c>
      <c r="D2058">
        <v>699</v>
      </c>
      <c r="E2058">
        <v>8.4</v>
      </c>
      <c r="F2058">
        <v>6</v>
      </c>
      <c r="G2058">
        <v>0</v>
      </c>
      <c r="H2058">
        <v>21</v>
      </c>
      <c r="I2058">
        <v>32</v>
      </c>
      <c r="J2058" t="s">
        <v>13</v>
      </c>
    </row>
    <row r="2059" spans="1:10">
      <c r="A2059">
        <v>2058</v>
      </c>
      <c r="B2059" s="1">
        <v>45162</v>
      </c>
      <c r="C2059" t="s">
        <v>12</v>
      </c>
      <c r="D2059">
        <v>199</v>
      </c>
      <c r="E2059">
        <v>14</v>
      </c>
      <c r="F2059">
        <v>0</v>
      </c>
      <c r="G2059">
        <v>1</v>
      </c>
      <c r="H2059">
        <v>27</v>
      </c>
      <c r="I2059">
        <v>37</v>
      </c>
      <c r="J2059" t="s">
        <v>11</v>
      </c>
    </row>
    <row r="2060" spans="1:10">
      <c r="A2060">
        <v>2059</v>
      </c>
      <c r="B2060" s="1">
        <v>45095</v>
      </c>
      <c r="C2060" t="s">
        <v>10</v>
      </c>
      <c r="D2060">
        <v>699</v>
      </c>
      <c r="E2060">
        <v>0.7</v>
      </c>
      <c r="F2060">
        <v>1</v>
      </c>
      <c r="G2060">
        <v>4</v>
      </c>
      <c r="H2060">
        <v>32</v>
      </c>
      <c r="I2060">
        <v>56</v>
      </c>
      <c r="J2060" t="s">
        <v>11</v>
      </c>
    </row>
    <row r="2061" spans="1:10">
      <c r="A2061">
        <v>2060</v>
      </c>
      <c r="B2061" s="1">
        <v>45199</v>
      </c>
      <c r="C2061" t="s">
        <v>14</v>
      </c>
      <c r="D2061">
        <v>399</v>
      </c>
      <c r="E2061">
        <v>4.2</v>
      </c>
      <c r="F2061">
        <v>0</v>
      </c>
      <c r="G2061">
        <v>5</v>
      </c>
      <c r="H2061">
        <v>14</v>
      </c>
      <c r="I2061">
        <v>47</v>
      </c>
      <c r="J2061" t="s">
        <v>11</v>
      </c>
    </row>
    <row r="2062" spans="1:10">
      <c r="A2062">
        <v>2061</v>
      </c>
      <c r="B2062" s="1">
        <v>45269</v>
      </c>
      <c r="C2062" t="s">
        <v>10</v>
      </c>
      <c r="D2062">
        <v>699</v>
      </c>
      <c r="E2062">
        <v>13</v>
      </c>
      <c r="F2062">
        <v>2</v>
      </c>
      <c r="G2062">
        <v>1</v>
      </c>
      <c r="H2062">
        <v>24</v>
      </c>
      <c r="I2062">
        <v>48</v>
      </c>
      <c r="J2062" t="s">
        <v>13</v>
      </c>
    </row>
    <row r="2063" spans="1:10">
      <c r="A2063">
        <v>2062</v>
      </c>
      <c r="B2063" s="1">
        <v>44956</v>
      </c>
      <c r="C2063" t="s">
        <v>12</v>
      </c>
      <c r="D2063">
        <v>199</v>
      </c>
      <c r="E2063">
        <v>22.5</v>
      </c>
      <c r="F2063">
        <v>6</v>
      </c>
      <c r="G2063">
        <v>0</v>
      </c>
      <c r="H2063">
        <v>21</v>
      </c>
      <c r="I2063">
        <v>41</v>
      </c>
      <c r="J2063" t="s">
        <v>11</v>
      </c>
    </row>
    <row r="2064" spans="1:10">
      <c r="A2064">
        <v>2063</v>
      </c>
      <c r="B2064" s="1">
        <v>45036</v>
      </c>
      <c r="C2064" t="s">
        <v>14</v>
      </c>
      <c r="D2064">
        <v>399</v>
      </c>
      <c r="E2064">
        <v>19.399999999999999</v>
      </c>
      <c r="F2064">
        <v>3</v>
      </c>
      <c r="G2064">
        <v>1</v>
      </c>
      <c r="H2064">
        <v>33</v>
      </c>
      <c r="I2064">
        <v>7</v>
      </c>
      <c r="J2064" t="s">
        <v>11</v>
      </c>
    </row>
    <row r="2065" spans="1:10">
      <c r="A2065">
        <v>2064</v>
      </c>
      <c r="B2065" s="1">
        <v>45534</v>
      </c>
      <c r="C2065" t="s">
        <v>10</v>
      </c>
      <c r="D2065">
        <v>699</v>
      </c>
      <c r="E2065">
        <v>5.4</v>
      </c>
      <c r="F2065">
        <v>4</v>
      </c>
      <c r="G2065">
        <v>5</v>
      </c>
      <c r="H2065">
        <v>14</v>
      </c>
      <c r="I2065">
        <v>43</v>
      </c>
      <c r="J2065" t="s">
        <v>11</v>
      </c>
    </row>
    <row r="2066" spans="1:10">
      <c r="A2066">
        <v>2065</v>
      </c>
      <c r="B2066" s="1">
        <v>45185</v>
      </c>
      <c r="C2066" t="s">
        <v>14</v>
      </c>
      <c r="D2066">
        <v>399</v>
      </c>
      <c r="E2066">
        <v>11.9</v>
      </c>
      <c r="F2066">
        <v>3</v>
      </c>
      <c r="G2066">
        <v>4</v>
      </c>
      <c r="H2066">
        <v>24</v>
      </c>
      <c r="I2066">
        <v>56</v>
      </c>
      <c r="J2066" t="s">
        <v>13</v>
      </c>
    </row>
    <row r="2067" spans="1:10">
      <c r="A2067">
        <v>2066</v>
      </c>
      <c r="B2067" s="1">
        <v>45268</v>
      </c>
      <c r="C2067" t="s">
        <v>12</v>
      </c>
      <c r="D2067">
        <v>199</v>
      </c>
      <c r="E2067">
        <v>1.1000000000000001</v>
      </c>
      <c r="F2067">
        <v>0</v>
      </c>
      <c r="G2067">
        <v>1</v>
      </c>
      <c r="H2067">
        <v>33</v>
      </c>
      <c r="I2067">
        <v>53</v>
      </c>
      <c r="J2067" t="s">
        <v>11</v>
      </c>
    </row>
    <row r="2068" spans="1:10">
      <c r="A2068">
        <v>2067</v>
      </c>
      <c r="B2068" s="1">
        <v>45327</v>
      </c>
      <c r="C2068" t="s">
        <v>12</v>
      </c>
      <c r="D2068">
        <v>199</v>
      </c>
      <c r="E2068">
        <v>23.7</v>
      </c>
      <c r="F2068">
        <v>6</v>
      </c>
      <c r="G2068">
        <v>5</v>
      </c>
      <c r="H2068">
        <v>32</v>
      </c>
      <c r="I2068">
        <v>20</v>
      </c>
      <c r="J2068" t="s">
        <v>11</v>
      </c>
    </row>
    <row r="2069" spans="1:10">
      <c r="A2069">
        <v>2068</v>
      </c>
      <c r="B2069" s="1">
        <v>45610</v>
      </c>
      <c r="C2069" t="s">
        <v>10</v>
      </c>
      <c r="D2069">
        <v>699</v>
      </c>
      <c r="E2069">
        <v>23.1</v>
      </c>
      <c r="F2069">
        <v>7</v>
      </c>
      <c r="G2069">
        <v>4</v>
      </c>
      <c r="H2069">
        <v>11</v>
      </c>
      <c r="I2069">
        <v>38</v>
      </c>
      <c r="J2069" t="s">
        <v>11</v>
      </c>
    </row>
    <row r="2070" spans="1:10">
      <c r="A2070">
        <v>2069</v>
      </c>
      <c r="B2070" s="1">
        <v>44938</v>
      </c>
      <c r="C2070" t="s">
        <v>12</v>
      </c>
      <c r="D2070">
        <v>199</v>
      </c>
      <c r="E2070">
        <v>15.6</v>
      </c>
      <c r="F2070">
        <v>0</v>
      </c>
      <c r="G2070">
        <v>0</v>
      </c>
      <c r="H2070">
        <v>5</v>
      </c>
      <c r="I2070">
        <v>39</v>
      </c>
      <c r="J2070" t="s">
        <v>11</v>
      </c>
    </row>
    <row r="2071" spans="1:10">
      <c r="A2071">
        <v>2070</v>
      </c>
      <c r="B2071" s="1">
        <v>45026</v>
      </c>
      <c r="C2071" t="s">
        <v>14</v>
      </c>
      <c r="D2071">
        <v>399</v>
      </c>
      <c r="E2071">
        <v>7.9</v>
      </c>
      <c r="F2071">
        <v>6</v>
      </c>
      <c r="G2071">
        <v>5</v>
      </c>
      <c r="H2071">
        <v>1</v>
      </c>
      <c r="I2071">
        <v>36</v>
      </c>
      <c r="J2071" t="s">
        <v>13</v>
      </c>
    </row>
    <row r="2072" spans="1:10">
      <c r="A2072">
        <v>2071</v>
      </c>
      <c r="B2072" s="1">
        <v>45004</v>
      </c>
      <c r="C2072" t="s">
        <v>12</v>
      </c>
      <c r="D2072">
        <v>199</v>
      </c>
      <c r="E2072">
        <v>5.8</v>
      </c>
      <c r="F2072">
        <v>3</v>
      </c>
      <c r="G2072">
        <v>3</v>
      </c>
      <c r="H2072">
        <v>24</v>
      </c>
      <c r="I2072">
        <v>47</v>
      </c>
      <c r="J2072" t="s">
        <v>13</v>
      </c>
    </row>
    <row r="2073" spans="1:10">
      <c r="A2073">
        <v>2072</v>
      </c>
      <c r="B2073" s="1">
        <v>45072</v>
      </c>
      <c r="C2073" t="s">
        <v>14</v>
      </c>
      <c r="D2073">
        <v>399</v>
      </c>
      <c r="E2073">
        <v>16.5</v>
      </c>
      <c r="F2073">
        <v>4</v>
      </c>
      <c r="G2073">
        <v>0</v>
      </c>
      <c r="H2073">
        <v>27</v>
      </c>
      <c r="I2073">
        <v>57</v>
      </c>
      <c r="J2073" t="s">
        <v>11</v>
      </c>
    </row>
    <row r="2074" spans="1:10">
      <c r="A2074">
        <v>2073</v>
      </c>
      <c r="B2074" s="1">
        <v>45625</v>
      </c>
      <c r="C2074" t="s">
        <v>14</v>
      </c>
      <c r="D2074">
        <v>399</v>
      </c>
      <c r="E2074">
        <v>23.3</v>
      </c>
      <c r="F2074">
        <v>3</v>
      </c>
      <c r="G2074">
        <v>0</v>
      </c>
      <c r="H2074">
        <v>30</v>
      </c>
      <c r="I2074">
        <v>58</v>
      </c>
      <c r="J2074" t="s">
        <v>13</v>
      </c>
    </row>
    <row r="2075" spans="1:10">
      <c r="A2075">
        <v>2074</v>
      </c>
      <c r="B2075" s="1">
        <v>45520</v>
      </c>
      <c r="C2075" t="s">
        <v>12</v>
      </c>
      <c r="D2075">
        <v>199</v>
      </c>
      <c r="E2075">
        <v>4.8</v>
      </c>
      <c r="F2075">
        <v>1</v>
      </c>
      <c r="G2075">
        <v>0</v>
      </c>
      <c r="H2075">
        <v>31</v>
      </c>
      <c r="I2075">
        <v>46</v>
      </c>
      <c r="J2075" t="s">
        <v>11</v>
      </c>
    </row>
    <row r="2076" spans="1:10">
      <c r="A2076">
        <v>2075</v>
      </c>
      <c r="B2076" s="1">
        <v>45635</v>
      </c>
      <c r="C2076" t="s">
        <v>10</v>
      </c>
      <c r="D2076">
        <v>699</v>
      </c>
      <c r="E2076">
        <v>7.2</v>
      </c>
      <c r="F2076">
        <v>0</v>
      </c>
      <c r="G2076">
        <v>5</v>
      </c>
      <c r="H2076">
        <v>36</v>
      </c>
      <c r="I2076">
        <v>36</v>
      </c>
      <c r="J2076" t="s">
        <v>11</v>
      </c>
    </row>
    <row r="2077" spans="1:10">
      <c r="A2077">
        <v>2076</v>
      </c>
      <c r="B2077" s="1">
        <v>45403</v>
      </c>
      <c r="C2077" t="s">
        <v>12</v>
      </c>
      <c r="D2077">
        <v>199</v>
      </c>
      <c r="E2077">
        <v>2.1</v>
      </c>
      <c r="F2077">
        <v>6</v>
      </c>
      <c r="G2077">
        <v>0</v>
      </c>
      <c r="H2077">
        <v>14</v>
      </c>
      <c r="I2077">
        <v>2</v>
      </c>
      <c r="J2077" t="s">
        <v>11</v>
      </c>
    </row>
    <row r="2078" spans="1:10">
      <c r="A2078">
        <v>2077</v>
      </c>
      <c r="B2078" s="1">
        <v>45214</v>
      </c>
      <c r="C2078" t="s">
        <v>14</v>
      </c>
      <c r="D2078">
        <v>399</v>
      </c>
      <c r="E2078">
        <v>24.3</v>
      </c>
      <c r="F2078">
        <v>0</v>
      </c>
      <c r="G2078">
        <v>5</v>
      </c>
      <c r="H2078">
        <v>12</v>
      </c>
      <c r="I2078">
        <v>4</v>
      </c>
      <c r="J2078" t="s">
        <v>13</v>
      </c>
    </row>
    <row r="2079" spans="1:10">
      <c r="A2079">
        <v>2078</v>
      </c>
      <c r="B2079" s="1">
        <v>45119</v>
      </c>
      <c r="C2079" t="s">
        <v>10</v>
      </c>
      <c r="D2079">
        <v>699</v>
      </c>
      <c r="E2079">
        <v>18.100000000000001</v>
      </c>
      <c r="F2079">
        <v>3</v>
      </c>
      <c r="G2079">
        <v>2</v>
      </c>
      <c r="H2079">
        <v>19</v>
      </c>
      <c r="I2079">
        <v>1</v>
      </c>
      <c r="J2079" t="s">
        <v>13</v>
      </c>
    </row>
    <row r="2080" spans="1:10">
      <c r="A2080">
        <v>2079</v>
      </c>
      <c r="B2080" s="1">
        <v>45499</v>
      </c>
      <c r="C2080" t="s">
        <v>12</v>
      </c>
      <c r="D2080">
        <v>199</v>
      </c>
      <c r="E2080">
        <v>20.399999999999999</v>
      </c>
      <c r="F2080">
        <v>0</v>
      </c>
      <c r="G2080">
        <v>4</v>
      </c>
      <c r="H2080">
        <v>29</v>
      </c>
      <c r="I2080">
        <v>53</v>
      </c>
      <c r="J2080" t="s">
        <v>13</v>
      </c>
    </row>
    <row r="2081" spans="1:10">
      <c r="A2081">
        <v>2080</v>
      </c>
      <c r="B2081" s="1">
        <v>45303</v>
      </c>
      <c r="C2081" t="s">
        <v>10</v>
      </c>
      <c r="D2081">
        <v>699</v>
      </c>
      <c r="E2081">
        <v>19.899999999999999</v>
      </c>
      <c r="F2081">
        <v>0</v>
      </c>
      <c r="G2081">
        <v>2</v>
      </c>
      <c r="H2081">
        <v>32</v>
      </c>
      <c r="I2081">
        <v>23</v>
      </c>
      <c r="J2081" t="s">
        <v>11</v>
      </c>
    </row>
    <row r="2082" spans="1:10">
      <c r="A2082">
        <v>2081</v>
      </c>
      <c r="B2082" s="1">
        <v>45491</v>
      </c>
      <c r="C2082" t="s">
        <v>14</v>
      </c>
      <c r="D2082">
        <v>399</v>
      </c>
      <c r="E2082">
        <v>13.8</v>
      </c>
      <c r="F2082">
        <v>5</v>
      </c>
      <c r="G2082">
        <v>5</v>
      </c>
      <c r="H2082">
        <v>31</v>
      </c>
      <c r="I2082">
        <v>57</v>
      </c>
      <c r="J2082" t="s">
        <v>11</v>
      </c>
    </row>
    <row r="2083" spans="1:10">
      <c r="A2083">
        <v>2082</v>
      </c>
      <c r="B2083" s="1">
        <v>45308</v>
      </c>
      <c r="C2083" t="s">
        <v>10</v>
      </c>
      <c r="D2083">
        <v>699</v>
      </c>
      <c r="E2083">
        <v>8.4</v>
      </c>
      <c r="F2083">
        <v>5</v>
      </c>
      <c r="G2083">
        <v>3</v>
      </c>
      <c r="H2083">
        <v>10</v>
      </c>
      <c r="I2083">
        <v>11</v>
      </c>
      <c r="J2083" t="s">
        <v>13</v>
      </c>
    </row>
    <row r="2084" spans="1:10">
      <c r="A2084">
        <v>2083</v>
      </c>
      <c r="B2084" s="1">
        <v>45618</v>
      </c>
      <c r="C2084" t="s">
        <v>14</v>
      </c>
      <c r="D2084">
        <v>399</v>
      </c>
      <c r="E2084">
        <v>19.3</v>
      </c>
      <c r="F2084">
        <v>2</v>
      </c>
      <c r="G2084">
        <v>5</v>
      </c>
      <c r="H2084">
        <v>23</v>
      </c>
      <c r="I2084">
        <v>48</v>
      </c>
      <c r="J2084" t="s">
        <v>13</v>
      </c>
    </row>
    <row r="2085" spans="1:10">
      <c r="A2085">
        <v>2084</v>
      </c>
      <c r="B2085" s="1">
        <v>45067</v>
      </c>
      <c r="C2085" t="s">
        <v>10</v>
      </c>
      <c r="D2085">
        <v>699</v>
      </c>
      <c r="E2085">
        <v>9.3000000000000007</v>
      </c>
      <c r="F2085">
        <v>6</v>
      </c>
      <c r="G2085">
        <v>0</v>
      </c>
      <c r="H2085">
        <v>27</v>
      </c>
      <c r="I2085">
        <v>38</v>
      </c>
      <c r="J2085" t="s">
        <v>11</v>
      </c>
    </row>
    <row r="2086" spans="1:10">
      <c r="A2086">
        <v>2085</v>
      </c>
      <c r="B2086" s="1">
        <v>44970</v>
      </c>
      <c r="C2086" t="s">
        <v>14</v>
      </c>
      <c r="D2086">
        <v>399</v>
      </c>
      <c r="E2086">
        <v>16.3</v>
      </c>
      <c r="F2086">
        <v>7</v>
      </c>
      <c r="G2086">
        <v>4</v>
      </c>
      <c r="H2086">
        <v>23</v>
      </c>
      <c r="I2086">
        <v>55</v>
      </c>
      <c r="J2086" t="s">
        <v>11</v>
      </c>
    </row>
    <row r="2087" spans="1:10">
      <c r="A2087">
        <v>2086</v>
      </c>
      <c r="B2087" s="1">
        <v>45090</v>
      </c>
      <c r="C2087" t="s">
        <v>14</v>
      </c>
      <c r="D2087">
        <v>399</v>
      </c>
      <c r="E2087">
        <v>23</v>
      </c>
      <c r="F2087">
        <v>2</v>
      </c>
      <c r="G2087">
        <v>4</v>
      </c>
      <c r="H2087">
        <v>33</v>
      </c>
      <c r="I2087">
        <v>21</v>
      </c>
      <c r="J2087" t="s">
        <v>11</v>
      </c>
    </row>
    <row r="2088" spans="1:10">
      <c r="A2088">
        <v>2087</v>
      </c>
      <c r="B2088" s="1">
        <v>45356</v>
      </c>
      <c r="C2088" t="s">
        <v>10</v>
      </c>
      <c r="D2088">
        <v>699</v>
      </c>
      <c r="E2088">
        <v>24.4</v>
      </c>
      <c r="F2088">
        <v>3</v>
      </c>
      <c r="G2088">
        <v>5</v>
      </c>
      <c r="H2088">
        <v>9</v>
      </c>
      <c r="I2088">
        <v>25</v>
      </c>
      <c r="J2088" t="s">
        <v>11</v>
      </c>
    </row>
    <row r="2089" spans="1:10">
      <c r="A2089">
        <v>2088</v>
      </c>
      <c r="B2089" s="1">
        <v>45490</v>
      </c>
      <c r="C2089" t="s">
        <v>12</v>
      </c>
      <c r="D2089">
        <v>199</v>
      </c>
      <c r="E2089">
        <v>13.8</v>
      </c>
      <c r="F2089">
        <v>8</v>
      </c>
      <c r="G2089">
        <v>0</v>
      </c>
      <c r="H2089">
        <v>33</v>
      </c>
      <c r="I2089">
        <v>36</v>
      </c>
      <c r="J2089" t="s">
        <v>11</v>
      </c>
    </row>
    <row r="2090" spans="1:10">
      <c r="A2090">
        <v>2089</v>
      </c>
      <c r="B2090" s="1">
        <v>45309</v>
      </c>
      <c r="C2090" t="s">
        <v>10</v>
      </c>
      <c r="D2090">
        <v>699</v>
      </c>
      <c r="E2090">
        <v>18.600000000000001</v>
      </c>
      <c r="F2090">
        <v>5</v>
      </c>
      <c r="G2090">
        <v>3</v>
      </c>
      <c r="H2090">
        <v>11</v>
      </c>
      <c r="I2090">
        <v>7</v>
      </c>
      <c r="J2090" t="s">
        <v>11</v>
      </c>
    </row>
    <row r="2091" spans="1:10">
      <c r="A2091">
        <v>2090</v>
      </c>
      <c r="B2091" s="1">
        <v>45344</v>
      </c>
      <c r="C2091" t="s">
        <v>10</v>
      </c>
      <c r="D2091">
        <v>699</v>
      </c>
      <c r="E2091">
        <v>13.3</v>
      </c>
      <c r="F2091">
        <v>6</v>
      </c>
      <c r="G2091">
        <v>1</v>
      </c>
      <c r="H2091">
        <v>26</v>
      </c>
      <c r="I2091">
        <v>36</v>
      </c>
      <c r="J2091" t="s">
        <v>11</v>
      </c>
    </row>
    <row r="2092" spans="1:10">
      <c r="A2092">
        <v>2091</v>
      </c>
      <c r="B2092" s="1">
        <v>45119</v>
      </c>
      <c r="C2092" t="s">
        <v>10</v>
      </c>
      <c r="D2092">
        <v>699</v>
      </c>
      <c r="E2092">
        <v>6</v>
      </c>
      <c r="F2092">
        <v>7</v>
      </c>
      <c r="G2092">
        <v>1</v>
      </c>
      <c r="H2092">
        <v>7</v>
      </c>
      <c r="I2092">
        <v>53</v>
      </c>
      <c r="J2092" t="s">
        <v>13</v>
      </c>
    </row>
    <row r="2093" spans="1:10">
      <c r="A2093">
        <v>2092</v>
      </c>
      <c r="B2093" s="1">
        <v>45000</v>
      </c>
      <c r="C2093" t="s">
        <v>10</v>
      </c>
      <c r="D2093">
        <v>699</v>
      </c>
      <c r="E2093">
        <v>22.4</v>
      </c>
      <c r="F2093">
        <v>8</v>
      </c>
      <c r="G2093">
        <v>0</v>
      </c>
      <c r="H2093">
        <v>1</v>
      </c>
      <c r="I2093">
        <v>31</v>
      </c>
      <c r="J2093" t="s">
        <v>11</v>
      </c>
    </row>
    <row r="2094" spans="1:10">
      <c r="A2094">
        <v>2093</v>
      </c>
      <c r="B2094" s="1">
        <v>45580</v>
      </c>
      <c r="C2094" t="s">
        <v>10</v>
      </c>
      <c r="D2094">
        <v>699</v>
      </c>
      <c r="E2094">
        <v>6.4</v>
      </c>
      <c r="F2094">
        <v>6</v>
      </c>
      <c r="G2094">
        <v>2</v>
      </c>
      <c r="H2094">
        <v>20</v>
      </c>
      <c r="I2094">
        <v>52</v>
      </c>
      <c r="J2094" t="s">
        <v>11</v>
      </c>
    </row>
    <row r="2095" spans="1:10">
      <c r="A2095">
        <v>2094</v>
      </c>
      <c r="B2095" s="1">
        <v>45623</v>
      </c>
      <c r="C2095" t="s">
        <v>12</v>
      </c>
      <c r="D2095">
        <v>199</v>
      </c>
      <c r="E2095">
        <v>1.1000000000000001</v>
      </c>
      <c r="F2095">
        <v>0</v>
      </c>
      <c r="G2095">
        <v>2</v>
      </c>
      <c r="H2095">
        <v>13</v>
      </c>
      <c r="I2095">
        <v>7</v>
      </c>
      <c r="J2095" t="s">
        <v>11</v>
      </c>
    </row>
    <row r="2096" spans="1:10">
      <c r="A2096">
        <v>2095</v>
      </c>
      <c r="B2096" s="1">
        <v>45339</v>
      </c>
      <c r="C2096" t="s">
        <v>12</v>
      </c>
      <c r="D2096">
        <v>199</v>
      </c>
      <c r="E2096">
        <v>6.7</v>
      </c>
      <c r="F2096">
        <v>1</v>
      </c>
      <c r="G2096">
        <v>3</v>
      </c>
      <c r="H2096">
        <v>5</v>
      </c>
      <c r="I2096">
        <v>60</v>
      </c>
      <c r="J2096" t="s">
        <v>11</v>
      </c>
    </row>
    <row r="2097" spans="1:10">
      <c r="A2097">
        <v>2096</v>
      </c>
      <c r="B2097" s="1">
        <v>45530</v>
      </c>
      <c r="C2097" t="s">
        <v>12</v>
      </c>
      <c r="D2097">
        <v>199</v>
      </c>
      <c r="E2097">
        <v>8.9</v>
      </c>
      <c r="F2097">
        <v>5</v>
      </c>
      <c r="G2097">
        <v>1</v>
      </c>
      <c r="H2097">
        <v>20</v>
      </c>
      <c r="I2097">
        <v>19</v>
      </c>
      <c r="J2097" t="s">
        <v>13</v>
      </c>
    </row>
    <row r="2098" spans="1:10">
      <c r="A2098">
        <v>2097</v>
      </c>
      <c r="B2098" s="1">
        <v>45188</v>
      </c>
      <c r="C2098" t="s">
        <v>14</v>
      </c>
      <c r="D2098">
        <v>399</v>
      </c>
      <c r="E2098">
        <v>17.100000000000001</v>
      </c>
      <c r="F2098">
        <v>0</v>
      </c>
      <c r="G2098">
        <v>3</v>
      </c>
      <c r="H2098">
        <v>3</v>
      </c>
      <c r="I2098">
        <v>20</v>
      </c>
      <c r="J2098" t="s">
        <v>13</v>
      </c>
    </row>
    <row r="2099" spans="1:10">
      <c r="A2099">
        <v>2098</v>
      </c>
      <c r="B2099" s="1">
        <v>45632</v>
      </c>
      <c r="C2099" t="s">
        <v>10</v>
      </c>
      <c r="D2099">
        <v>699</v>
      </c>
      <c r="E2099">
        <v>21.6</v>
      </c>
      <c r="F2099">
        <v>6</v>
      </c>
      <c r="G2099">
        <v>4</v>
      </c>
      <c r="H2099">
        <v>31</v>
      </c>
      <c r="I2099">
        <v>49</v>
      </c>
      <c r="J2099" t="s">
        <v>11</v>
      </c>
    </row>
    <row r="2100" spans="1:10">
      <c r="A2100">
        <v>2099</v>
      </c>
      <c r="B2100" s="1">
        <v>45426</v>
      </c>
      <c r="C2100" t="s">
        <v>10</v>
      </c>
      <c r="D2100">
        <v>699</v>
      </c>
      <c r="E2100">
        <v>23.8</v>
      </c>
      <c r="F2100">
        <v>7</v>
      </c>
      <c r="G2100">
        <v>0</v>
      </c>
      <c r="H2100">
        <v>23</v>
      </c>
      <c r="I2100">
        <v>24</v>
      </c>
      <c r="J2100" t="s">
        <v>11</v>
      </c>
    </row>
    <row r="2101" spans="1:10">
      <c r="A2101">
        <v>2100</v>
      </c>
      <c r="B2101" s="1">
        <v>45573</v>
      </c>
      <c r="C2101" t="s">
        <v>12</v>
      </c>
      <c r="D2101">
        <v>199</v>
      </c>
      <c r="E2101">
        <v>6.7</v>
      </c>
      <c r="F2101">
        <v>1</v>
      </c>
      <c r="G2101">
        <v>0</v>
      </c>
      <c r="H2101">
        <v>31</v>
      </c>
      <c r="I2101">
        <v>15</v>
      </c>
      <c r="J2101" t="s">
        <v>13</v>
      </c>
    </row>
    <row r="2102" spans="1:10">
      <c r="A2102">
        <v>2101</v>
      </c>
      <c r="B2102" s="1">
        <v>44962</v>
      </c>
      <c r="C2102" t="s">
        <v>12</v>
      </c>
      <c r="D2102">
        <v>199</v>
      </c>
      <c r="E2102">
        <v>9.8000000000000007</v>
      </c>
      <c r="F2102">
        <v>5</v>
      </c>
      <c r="G2102">
        <v>1</v>
      </c>
      <c r="H2102">
        <v>30</v>
      </c>
      <c r="I2102">
        <v>38</v>
      </c>
      <c r="J2102" t="s">
        <v>13</v>
      </c>
    </row>
    <row r="2103" spans="1:10">
      <c r="A2103">
        <v>2102</v>
      </c>
      <c r="B2103" s="1">
        <v>44937</v>
      </c>
      <c r="C2103" t="s">
        <v>14</v>
      </c>
      <c r="D2103">
        <v>399</v>
      </c>
      <c r="E2103">
        <v>14</v>
      </c>
      <c r="F2103">
        <v>7</v>
      </c>
      <c r="G2103">
        <v>1</v>
      </c>
      <c r="H2103">
        <v>20</v>
      </c>
      <c r="I2103">
        <v>39</v>
      </c>
      <c r="J2103" t="s">
        <v>11</v>
      </c>
    </row>
    <row r="2104" spans="1:10">
      <c r="A2104">
        <v>2103</v>
      </c>
      <c r="B2104" s="1">
        <v>45112</v>
      </c>
      <c r="C2104" t="s">
        <v>10</v>
      </c>
      <c r="D2104">
        <v>699</v>
      </c>
      <c r="E2104">
        <v>15</v>
      </c>
      <c r="F2104">
        <v>0</v>
      </c>
      <c r="G2104">
        <v>4</v>
      </c>
      <c r="H2104">
        <v>9</v>
      </c>
      <c r="I2104">
        <v>28</v>
      </c>
      <c r="J2104" t="s">
        <v>11</v>
      </c>
    </row>
    <row r="2105" spans="1:10">
      <c r="A2105">
        <v>2104</v>
      </c>
      <c r="B2105" s="1">
        <v>45186</v>
      </c>
      <c r="C2105" t="s">
        <v>14</v>
      </c>
      <c r="D2105">
        <v>399</v>
      </c>
      <c r="E2105">
        <v>17.600000000000001</v>
      </c>
      <c r="F2105">
        <v>6</v>
      </c>
      <c r="G2105">
        <v>4</v>
      </c>
      <c r="H2105">
        <v>18</v>
      </c>
      <c r="I2105">
        <v>41</v>
      </c>
      <c r="J2105" t="s">
        <v>11</v>
      </c>
    </row>
    <row r="2106" spans="1:10">
      <c r="A2106">
        <v>2105</v>
      </c>
      <c r="B2106" s="1">
        <v>45093</v>
      </c>
      <c r="C2106" t="s">
        <v>10</v>
      </c>
      <c r="D2106">
        <v>699</v>
      </c>
      <c r="E2106">
        <v>17.600000000000001</v>
      </c>
      <c r="F2106">
        <v>7</v>
      </c>
      <c r="G2106">
        <v>1</v>
      </c>
      <c r="H2106">
        <v>8</v>
      </c>
      <c r="I2106">
        <v>57</v>
      </c>
      <c r="J2106" t="s">
        <v>11</v>
      </c>
    </row>
    <row r="2107" spans="1:10">
      <c r="A2107">
        <v>2106</v>
      </c>
      <c r="B2107" s="1">
        <v>45005</v>
      </c>
      <c r="C2107" t="s">
        <v>12</v>
      </c>
      <c r="D2107">
        <v>199</v>
      </c>
      <c r="E2107">
        <v>15.2</v>
      </c>
      <c r="F2107">
        <v>6</v>
      </c>
      <c r="G2107">
        <v>0</v>
      </c>
      <c r="H2107">
        <v>19</v>
      </c>
      <c r="I2107">
        <v>43</v>
      </c>
      <c r="J2107" t="s">
        <v>11</v>
      </c>
    </row>
    <row r="2108" spans="1:10">
      <c r="A2108">
        <v>2107</v>
      </c>
      <c r="B2108" s="1">
        <v>45596</v>
      </c>
      <c r="C2108" t="s">
        <v>12</v>
      </c>
      <c r="D2108">
        <v>199</v>
      </c>
      <c r="E2108">
        <v>12.4</v>
      </c>
      <c r="F2108">
        <v>0</v>
      </c>
      <c r="G2108">
        <v>3</v>
      </c>
      <c r="H2108">
        <v>31</v>
      </c>
      <c r="I2108">
        <v>49</v>
      </c>
      <c r="J2108" t="s">
        <v>13</v>
      </c>
    </row>
    <row r="2109" spans="1:10">
      <c r="A2109">
        <v>2108</v>
      </c>
      <c r="B2109" s="1">
        <v>45524</v>
      </c>
      <c r="C2109" t="s">
        <v>12</v>
      </c>
      <c r="D2109">
        <v>199</v>
      </c>
      <c r="E2109">
        <v>1.6</v>
      </c>
      <c r="F2109">
        <v>2</v>
      </c>
      <c r="G2109">
        <v>1</v>
      </c>
      <c r="H2109">
        <v>25</v>
      </c>
      <c r="I2109">
        <v>21</v>
      </c>
      <c r="J2109" t="s">
        <v>13</v>
      </c>
    </row>
    <row r="2110" spans="1:10">
      <c r="A2110">
        <v>2109</v>
      </c>
      <c r="B2110" s="1">
        <v>45546</v>
      </c>
      <c r="C2110" t="s">
        <v>14</v>
      </c>
      <c r="D2110">
        <v>399</v>
      </c>
      <c r="E2110">
        <v>18</v>
      </c>
      <c r="F2110">
        <v>1</v>
      </c>
      <c r="G2110">
        <v>0</v>
      </c>
      <c r="H2110">
        <v>15</v>
      </c>
      <c r="I2110">
        <v>10</v>
      </c>
      <c r="J2110" t="s">
        <v>13</v>
      </c>
    </row>
    <row r="2111" spans="1:10">
      <c r="A2111">
        <v>2110</v>
      </c>
      <c r="B2111" s="1">
        <v>45464</v>
      </c>
      <c r="C2111" t="s">
        <v>10</v>
      </c>
      <c r="D2111">
        <v>699</v>
      </c>
      <c r="E2111">
        <v>11.2</v>
      </c>
      <c r="F2111">
        <v>5</v>
      </c>
      <c r="G2111">
        <v>5</v>
      </c>
      <c r="H2111">
        <v>2</v>
      </c>
      <c r="I2111">
        <v>27</v>
      </c>
      <c r="J2111" t="s">
        <v>11</v>
      </c>
    </row>
    <row r="2112" spans="1:10">
      <c r="A2112">
        <v>2111</v>
      </c>
      <c r="B2112" s="1">
        <v>45373</v>
      </c>
      <c r="C2112" t="s">
        <v>10</v>
      </c>
      <c r="D2112">
        <v>699</v>
      </c>
      <c r="E2112">
        <v>16.100000000000001</v>
      </c>
      <c r="F2112">
        <v>1</v>
      </c>
      <c r="G2112">
        <v>3</v>
      </c>
      <c r="H2112">
        <v>24</v>
      </c>
      <c r="I2112">
        <v>30</v>
      </c>
      <c r="J2112" t="s">
        <v>11</v>
      </c>
    </row>
    <row r="2113" spans="1:10">
      <c r="A2113">
        <v>2112</v>
      </c>
      <c r="B2113" s="1">
        <v>45293</v>
      </c>
      <c r="C2113" t="s">
        <v>10</v>
      </c>
      <c r="D2113">
        <v>699</v>
      </c>
      <c r="E2113">
        <v>2.1</v>
      </c>
      <c r="F2113">
        <v>1</v>
      </c>
      <c r="G2113">
        <v>2</v>
      </c>
      <c r="H2113">
        <v>28</v>
      </c>
      <c r="I2113">
        <v>56</v>
      </c>
      <c r="J2113" t="s">
        <v>13</v>
      </c>
    </row>
    <row r="2114" spans="1:10">
      <c r="A2114">
        <v>2113</v>
      </c>
      <c r="B2114" s="1">
        <v>45015</v>
      </c>
      <c r="C2114" t="s">
        <v>14</v>
      </c>
      <c r="D2114">
        <v>399</v>
      </c>
      <c r="E2114">
        <v>12.9</v>
      </c>
      <c r="F2114">
        <v>3</v>
      </c>
      <c r="G2114">
        <v>1</v>
      </c>
      <c r="H2114">
        <v>26</v>
      </c>
      <c r="I2114">
        <v>7</v>
      </c>
      <c r="J2114" t="s">
        <v>11</v>
      </c>
    </row>
    <row r="2115" spans="1:10">
      <c r="A2115">
        <v>2114</v>
      </c>
      <c r="B2115" s="1">
        <v>45196</v>
      </c>
      <c r="C2115" t="s">
        <v>10</v>
      </c>
      <c r="D2115">
        <v>699</v>
      </c>
      <c r="E2115">
        <v>16.8</v>
      </c>
      <c r="F2115">
        <v>7</v>
      </c>
      <c r="G2115">
        <v>5</v>
      </c>
      <c r="H2115">
        <v>12</v>
      </c>
      <c r="I2115">
        <v>34</v>
      </c>
      <c r="J2115" t="s">
        <v>11</v>
      </c>
    </row>
    <row r="2116" spans="1:10">
      <c r="A2116">
        <v>2115</v>
      </c>
      <c r="B2116" s="1">
        <v>44967</v>
      </c>
      <c r="C2116" t="s">
        <v>14</v>
      </c>
      <c r="D2116">
        <v>399</v>
      </c>
      <c r="E2116">
        <v>24.3</v>
      </c>
      <c r="F2116">
        <v>2</v>
      </c>
      <c r="G2116">
        <v>4</v>
      </c>
      <c r="H2116">
        <v>5</v>
      </c>
      <c r="I2116">
        <v>26</v>
      </c>
      <c r="J2116" t="s">
        <v>11</v>
      </c>
    </row>
    <row r="2117" spans="1:10">
      <c r="A2117">
        <v>2116</v>
      </c>
      <c r="B2117" s="1">
        <v>45307</v>
      </c>
      <c r="C2117" t="s">
        <v>12</v>
      </c>
      <c r="D2117">
        <v>199</v>
      </c>
      <c r="E2117">
        <v>4.0999999999999996</v>
      </c>
      <c r="F2117">
        <v>2</v>
      </c>
      <c r="G2117">
        <v>5</v>
      </c>
      <c r="H2117">
        <v>13</v>
      </c>
      <c r="I2117">
        <v>44</v>
      </c>
      <c r="J2117" t="s">
        <v>11</v>
      </c>
    </row>
    <row r="2118" spans="1:10">
      <c r="A2118">
        <v>2117</v>
      </c>
      <c r="B2118" s="1">
        <v>45470</v>
      </c>
      <c r="C2118" t="s">
        <v>12</v>
      </c>
      <c r="D2118">
        <v>199</v>
      </c>
      <c r="E2118">
        <v>19.8</v>
      </c>
      <c r="F2118">
        <v>1</v>
      </c>
      <c r="G2118">
        <v>4</v>
      </c>
      <c r="H2118">
        <v>33</v>
      </c>
      <c r="I2118">
        <v>42</v>
      </c>
      <c r="J2118" t="s">
        <v>11</v>
      </c>
    </row>
    <row r="2119" spans="1:10">
      <c r="A2119">
        <v>2118</v>
      </c>
      <c r="B2119" s="1">
        <v>45418</v>
      </c>
      <c r="C2119" t="s">
        <v>12</v>
      </c>
      <c r="D2119">
        <v>199</v>
      </c>
      <c r="E2119">
        <v>22.1</v>
      </c>
      <c r="F2119">
        <v>2</v>
      </c>
      <c r="G2119">
        <v>2</v>
      </c>
      <c r="H2119">
        <v>20</v>
      </c>
      <c r="I2119">
        <v>58</v>
      </c>
      <c r="J2119" t="s">
        <v>11</v>
      </c>
    </row>
    <row r="2120" spans="1:10">
      <c r="A2120">
        <v>2119</v>
      </c>
      <c r="B2120" s="1">
        <v>45324</v>
      </c>
      <c r="C2120" t="s">
        <v>12</v>
      </c>
      <c r="D2120">
        <v>199</v>
      </c>
      <c r="E2120">
        <v>16.8</v>
      </c>
      <c r="F2120">
        <v>7</v>
      </c>
      <c r="G2120">
        <v>3</v>
      </c>
      <c r="H2120">
        <v>13</v>
      </c>
      <c r="I2120">
        <v>13</v>
      </c>
      <c r="J2120" t="s">
        <v>11</v>
      </c>
    </row>
    <row r="2121" spans="1:10">
      <c r="A2121">
        <v>2120</v>
      </c>
      <c r="B2121" s="1">
        <v>45449</v>
      </c>
      <c r="C2121" t="s">
        <v>10</v>
      </c>
      <c r="D2121">
        <v>699</v>
      </c>
      <c r="E2121">
        <v>21.5</v>
      </c>
      <c r="F2121">
        <v>1</v>
      </c>
      <c r="G2121">
        <v>1</v>
      </c>
      <c r="H2121">
        <v>35</v>
      </c>
      <c r="I2121">
        <v>42</v>
      </c>
      <c r="J2121" t="s">
        <v>11</v>
      </c>
    </row>
    <row r="2122" spans="1:10">
      <c r="A2122">
        <v>2121</v>
      </c>
      <c r="B2122" s="1">
        <v>45350</v>
      </c>
      <c r="C2122" t="s">
        <v>12</v>
      </c>
      <c r="D2122">
        <v>199</v>
      </c>
      <c r="E2122">
        <v>12.2</v>
      </c>
      <c r="F2122">
        <v>1</v>
      </c>
      <c r="G2122">
        <v>4</v>
      </c>
      <c r="H2122">
        <v>5</v>
      </c>
      <c r="I2122">
        <v>10</v>
      </c>
      <c r="J2122" t="s">
        <v>11</v>
      </c>
    </row>
    <row r="2123" spans="1:10">
      <c r="A2123">
        <v>2122</v>
      </c>
      <c r="B2123" s="1">
        <v>44970</v>
      </c>
      <c r="C2123" t="s">
        <v>10</v>
      </c>
      <c r="D2123">
        <v>699</v>
      </c>
      <c r="E2123">
        <v>23.5</v>
      </c>
      <c r="F2123">
        <v>4</v>
      </c>
      <c r="G2123">
        <v>3</v>
      </c>
      <c r="H2123">
        <v>24</v>
      </c>
      <c r="I2123">
        <v>3</v>
      </c>
      <c r="J2123" t="s">
        <v>13</v>
      </c>
    </row>
    <row r="2124" spans="1:10">
      <c r="A2124">
        <v>2123</v>
      </c>
      <c r="B2124" s="1">
        <v>45157</v>
      </c>
      <c r="C2124" t="s">
        <v>14</v>
      </c>
      <c r="D2124">
        <v>399</v>
      </c>
      <c r="E2124">
        <v>1.2</v>
      </c>
      <c r="F2124">
        <v>5</v>
      </c>
      <c r="G2124">
        <v>3</v>
      </c>
      <c r="H2124">
        <v>26</v>
      </c>
      <c r="I2124">
        <v>28</v>
      </c>
      <c r="J2124" t="s">
        <v>11</v>
      </c>
    </row>
    <row r="2125" spans="1:10">
      <c r="A2125">
        <v>2124</v>
      </c>
      <c r="B2125" s="1">
        <v>45577</v>
      </c>
      <c r="C2125" t="s">
        <v>10</v>
      </c>
      <c r="D2125">
        <v>699</v>
      </c>
      <c r="E2125">
        <v>12.2</v>
      </c>
      <c r="F2125">
        <v>8</v>
      </c>
      <c r="G2125">
        <v>3</v>
      </c>
      <c r="H2125">
        <v>9</v>
      </c>
      <c r="I2125">
        <v>41</v>
      </c>
      <c r="J2125" t="s">
        <v>13</v>
      </c>
    </row>
    <row r="2126" spans="1:10">
      <c r="A2126">
        <v>2125</v>
      </c>
      <c r="B2126" s="1">
        <v>45541</v>
      </c>
      <c r="C2126" t="s">
        <v>12</v>
      </c>
      <c r="D2126">
        <v>199</v>
      </c>
      <c r="E2126">
        <v>15.2</v>
      </c>
      <c r="F2126">
        <v>4</v>
      </c>
      <c r="G2126">
        <v>3</v>
      </c>
      <c r="H2126">
        <v>16</v>
      </c>
      <c r="I2126">
        <v>49</v>
      </c>
      <c r="J2126" t="s">
        <v>11</v>
      </c>
    </row>
    <row r="2127" spans="1:10">
      <c r="A2127">
        <v>2126</v>
      </c>
      <c r="B2127" s="1">
        <v>45583</v>
      </c>
      <c r="C2127" t="s">
        <v>12</v>
      </c>
      <c r="D2127">
        <v>199</v>
      </c>
      <c r="E2127">
        <v>2.1</v>
      </c>
      <c r="F2127">
        <v>1</v>
      </c>
      <c r="G2127">
        <v>5</v>
      </c>
      <c r="H2127">
        <v>27</v>
      </c>
      <c r="I2127">
        <v>57</v>
      </c>
      <c r="J2127" t="s">
        <v>11</v>
      </c>
    </row>
    <row r="2128" spans="1:10">
      <c r="A2128">
        <v>2127</v>
      </c>
      <c r="B2128" s="1">
        <v>45276</v>
      </c>
      <c r="C2128" t="s">
        <v>12</v>
      </c>
      <c r="D2128">
        <v>199</v>
      </c>
      <c r="E2128">
        <v>7.3</v>
      </c>
      <c r="F2128">
        <v>4</v>
      </c>
      <c r="G2128">
        <v>3</v>
      </c>
      <c r="H2128">
        <v>24</v>
      </c>
      <c r="I2128">
        <v>41</v>
      </c>
      <c r="J2128" t="s">
        <v>13</v>
      </c>
    </row>
    <row r="2129" spans="1:10">
      <c r="A2129">
        <v>2128</v>
      </c>
      <c r="B2129" s="1">
        <v>45631</v>
      </c>
      <c r="C2129" t="s">
        <v>14</v>
      </c>
      <c r="D2129">
        <v>399</v>
      </c>
      <c r="E2129">
        <v>15.3</v>
      </c>
      <c r="F2129">
        <v>4</v>
      </c>
      <c r="G2129">
        <v>3</v>
      </c>
      <c r="H2129">
        <v>35</v>
      </c>
      <c r="I2129">
        <v>32</v>
      </c>
      <c r="J2129" t="s">
        <v>11</v>
      </c>
    </row>
    <row r="2130" spans="1:10">
      <c r="A2130">
        <v>2129</v>
      </c>
      <c r="B2130" s="1">
        <v>45428</v>
      </c>
      <c r="C2130" t="s">
        <v>10</v>
      </c>
      <c r="D2130">
        <v>699</v>
      </c>
      <c r="E2130">
        <v>23.1</v>
      </c>
      <c r="F2130">
        <v>2</v>
      </c>
      <c r="G2130">
        <v>3</v>
      </c>
      <c r="H2130">
        <v>36</v>
      </c>
      <c r="I2130">
        <v>21</v>
      </c>
      <c r="J2130" t="s">
        <v>11</v>
      </c>
    </row>
    <row r="2131" spans="1:10">
      <c r="A2131">
        <v>2130</v>
      </c>
      <c r="B2131" s="1">
        <v>45204</v>
      </c>
      <c r="C2131" t="s">
        <v>14</v>
      </c>
      <c r="D2131">
        <v>399</v>
      </c>
      <c r="E2131">
        <v>13.2</v>
      </c>
      <c r="F2131">
        <v>1</v>
      </c>
      <c r="G2131">
        <v>2</v>
      </c>
      <c r="H2131">
        <v>35</v>
      </c>
      <c r="I2131">
        <v>40</v>
      </c>
      <c r="J2131" t="s">
        <v>11</v>
      </c>
    </row>
    <row r="2132" spans="1:10">
      <c r="A2132">
        <v>2131</v>
      </c>
      <c r="B2132" s="1">
        <v>45240</v>
      </c>
      <c r="C2132" t="s">
        <v>14</v>
      </c>
      <c r="D2132">
        <v>399</v>
      </c>
      <c r="E2132">
        <v>6.1</v>
      </c>
      <c r="F2132">
        <v>5</v>
      </c>
      <c r="G2132">
        <v>1</v>
      </c>
      <c r="H2132">
        <v>33</v>
      </c>
      <c r="I2132">
        <v>36</v>
      </c>
      <c r="J2132" t="s">
        <v>11</v>
      </c>
    </row>
    <row r="2133" spans="1:10">
      <c r="A2133">
        <v>2132</v>
      </c>
      <c r="B2133" s="1">
        <v>45612</v>
      </c>
      <c r="C2133" t="s">
        <v>12</v>
      </c>
      <c r="D2133">
        <v>199</v>
      </c>
      <c r="E2133">
        <v>13.2</v>
      </c>
      <c r="F2133">
        <v>6</v>
      </c>
      <c r="G2133">
        <v>2</v>
      </c>
      <c r="H2133">
        <v>22</v>
      </c>
      <c r="I2133">
        <v>16</v>
      </c>
      <c r="J2133" t="s">
        <v>13</v>
      </c>
    </row>
    <row r="2134" spans="1:10">
      <c r="A2134">
        <v>2133</v>
      </c>
      <c r="B2134" s="1">
        <v>45629</v>
      </c>
      <c r="C2134" t="s">
        <v>10</v>
      </c>
      <c r="D2134">
        <v>699</v>
      </c>
      <c r="E2134">
        <v>19.3</v>
      </c>
      <c r="F2134">
        <v>2</v>
      </c>
      <c r="G2134">
        <v>5</v>
      </c>
      <c r="H2134">
        <v>13</v>
      </c>
      <c r="I2134">
        <v>18</v>
      </c>
      <c r="J2134" t="s">
        <v>11</v>
      </c>
    </row>
    <row r="2135" spans="1:10">
      <c r="A2135">
        <v>2134</v>
      </c>
      <c r="B2135" s="1">
        <v>45047</v>
      </c>
      <c r="C2135" t="s">
        <v>14</v>
      </c>
      <c r="D2135">
        <v>399</v>
      </c>
      <c r="E2135">
        <v>14</v>
      </c>
      <c r="F2135">
        <v>3</v>
      </c>
      <c r="G2135">
        <v>3</v>
      </c>
      <c r="H2135">
        <v>35</v>
      </c>
      <c r="I2135">
        <v>37</v>
      </c>
      <c r="J2135" t="s">
        <v>11</v>
      </c>
    </row>
    <row r="2136" spans="1:10">
      <c r="A2136">
        <v>2135</v>
      </c>
      <c r="B2136" s="1">
        <v>45272</v>
      </c>
      <c r="C2136" t="s">
        <v>10</v>
      </c>
      <c r="D2136">
        <v>699</v>
      </c>
      <c r="E2136">
        <v>16.100000000000001</v>
      </c>
      <c r="F2136">
        <v>3</v>
      </c>
      <c r="G2136">
        <v>4</v>
      </c>
      <c r="H2136">
        <v>19</v>
      </c>
      <c r="I2136">
        <v>50</v>
      </c>
      <c r="J2136" t="s">
        <v>13</v>
      </c>
    </row>
    <row r="2137" spans="1:10">
      <c r="A2137">
        <v>2136</v>
      </c>
      <c r="B2137" s="1">
        <v>45508</v>
      </c>
      <c r="C2137" t="s">
        <v>12</v>
      </c>
      <c r="D2137">
        <v>199</v>
      </c>
      <c r="E2137">
        <v>9.6999999999999993</v>
      </c>
      <c r="F2137">
        <v>6</v>
      </c>
      <c r="G2137">
        <v>3</v>
      </c>
      <c r="H2137">
        <v>32</v>
      </c>
      <c r="I2137">
        <v>45</v>
      </c>
      <c r="J2137" t="s">
        <v>11</v>
      </c>
    </row>
    <row r="2138" spans="1:10">
      <c r="A2138">
        <v>2137</v>
      </c>
      <c r="B2138" s="1">
        <v>45312</v>
      </c>
      <c r="C2138" t="s">
        <v>14</v>
      </c>
      <c r="D2138">
        <v>399</v>
      </c>
      <c r="E2138">
        <v>8.9</v>
      </c>
      <c r="F2138">
        <v>4</v>
      </c>
      <c r="G2138">
        <v>4</v>
      </c>
      <c r="H2138">
        <v>35</v>
      </c>
      <c r="I2138">
        <v>4</v>
      </c>
      <c r="J2138" t="s">
        <v>11</v>
      </c>
    </row>
    <row r="2139" spans="1:10">
      <c r="A2139">
        <v>2138</v>
      </c>
      <c r="B2139" s="1">
        <v>45490</v>
      </c>
      <c r="C2139" t="s">
        <v>10</v>
      </c>
      <c r="D2139">
        <v>699</v>
      </c>
      <c r="E2139">
        <v>0.6</v>
      </c>
      <c r="F2139">
        <v>3</v>
      </c>
      <c r="G2139">
        <v>2</v>
      </c>
      <c r="H2139">
        <v>26</v>
      </c>
      <c r="I2139">
        <v>59</v>
      </c>
      <c r="J2139" t="s">
        <v>11</v>
      </c>
    </row>
    <row r="2140" spans="1:10">
      <c r="A2140">
        <v>2139</v>
      </c>
      <c r="B2140" s="1">
        <v>45364</v>
      </c>
      <c r="C2140" t="s">
        <v>10</v>
      </c>
      <c r="D2140">
        <v>699</v>
      </c>
      <c r="E2140">
        <v>13</v>
      </c>
      <c r="F2140">
        <v>6</v>
      </c>
      <c r="G2140">
        <v>1</v>
      </c>
      <c r="H2140">
        <v>18</v>
      </c>
      <c r="I2140">
        <v>17</v>
      </c>
      <c r="J2140" t="s">
        <v>11</v>
      </c>
    </row>
    <row r="2141" spans="1:10">
      <c r="A2141">
        <v>2140</v>
      </c>
      <c r="B2141" s="1">
        <v>45070</v>
      </c>
      <c r="C2141" t="s">
        <v>10</v>
      </c>
      <c r="D2141">
        <v>699</v>
      </c>
      <c r="E2141">
        <v>15.1</v>
      </c>
      <c r="F2141">
        <v>7</v>
      </c>
      <c r="G2141">
        <v>3</v>
      </c>
      <c r="H2141">
        <v>32</v>
      </c>
      <c r="I2141">
        <v>24</v>
      </c>
      <c r="J2141" t="s">
        <v>11</v>
      </c>
    </row>
    <row r="2142" spans="1:10">
      <c r="A2142">
        <v>2141</v>
      </c>
      <c r="B2142" s="1">
        <v>45037</v>
      </c>
      <c r="C2142" t="s">
        <v>12</v>
      </c>
      <c r="D2142">
        <v>199</v>
      </c>
      <c r="E2142">
        <v>9.4</v>
      </c>
      <c r="F2142">
        <v>0</v>
      </c>
      <c r="G2142">
        <v>0</v>
      </c>
      <c r="H2142">
        <v>8</v>
      </c>
      <c r="I2142">
        <v>54</v>
      </c>
      <c r="J2142" t="s">
        <v>11</v>
      </c>
    </row>
    <row r="2143" spans="1:10">
      <c r="A2143">
        <v>2142</v>
      </c>
      <c r="B2143" s="1">
        <v>44967</v>
      </c>
      <c r="C2143" t="s">
        <v>10</v>
      </c>
      <c r="D2143">
        <v>699</v>
      </c>
      <c r="E2143">
        <v>7.1</v>
      </c>
      <c r="F2143">
        <v>1</v>
      </c>
      <c r="G2143">
        <v>5</v>
      </c>
      <c r="H2143">
        <v>35</v>
      </c>
      <c r="I2143">
        <v>43</v>
      </c>
      <c r="J2143" t="s">
        <v>11</v>
      </c>
    </row>
    <row r="2144" spans="1:10">
      <c r="A2144">
        <v>2143</v>
      </c>
      <c r="B2144" s="1">
        <v>45367</v>
      </c>
      <c r="C2144" t="s">
        <v>10</v>
      </c>
      <c r="D2144">
        <v>699</v>
      </c>
      <c r="E2144">
        <v>0.7</v>
      </c>
      <c r="F2144">
        <v>5</v>
      </c>
      <c r="G2144">
        <v>4</v>
      </c>
      <c r="H2144">
        <v>4</v>
      </c>
      <c r="I2144">
        <v>46</v>
      </c>
      <c r="J2144" t="s">
        <v>11</v>
      </c>
    </row>
    <row r="2145" spans="1:10">
      <c r="A2145">
        <v>2144</v>
      </c>
      <c r="B2145" s="1">
        <v>45082</v>
      </c>
      <c r="C2145" t="s">
        <v>12</v>
      </c>
      <c r="D2145">
        <v>199</v>
      </c>
      <c r="E2145">
        <v>5.9</v>
      </c>
      <c r="F2145">
        <v>4</v>
      </c>
      <c r="G2145">
        <v>4</v>
      </c>
      <c r="H2145">
        <v>15</v>
      </c>
      <c r="I2145">
        <v>22</v>
      </c>
      <c r="J2145" t="s">
        <v>13</v>
      </c>
    </row>
    <row r="2146" spans="1:10">
      <c r="A2146">
        <v>2145</v>
      </c>
      <c r="B2146" s="1">
        <v>45319</v>
      </c>
      <c r="C2146" t="s">
        <v>12</v>
      </c>
      <c r="D2146">
        <v>199</v>
      </c>
      <c r="E2146">
        <v>14.8</v>
      </c>
      <c r="F2146">
        <v>3</v>
      </c>
      <c r="G2146">
        <v>1</v>
      </c>
      <c r="H2146">
        <v>36</v>
      </c>
      <c r="I2146">
        <v>51</v>
      </c>
      <c r="J2146" t="s">
        <v>13</v>
      </c>
    </row>
    <row r="2147" spans="1:10">
      <c r="A2147">
        <v>2146</v>
      </c>
      <c r="B2147" s="1">
        <v>45203</v>
      </c>
      <c r="C2147" t="s">
        <v>12</v>
      </c>
      <c r="D2147">
        <v>199</v>
      </c>
      <c r="E2147">
        <v>15.6</v>
      </c>
      <c r="F2147">
        <v>2</v>
      </c>
      <c r="G2147">
        <v>0</v>
      </c>
      <c r="H2147">
        <v>35</v>
      </c>
      <c r="I2147">
        <v>36</v>
      </c>
      <c r="J2147" t="s">
        <v>13</v>
      </c>
    </row>
    <row r="2148" spans="1:10">
      <c r="A2148">
        <v>2147</v>
      </c>
      <c r="B2148" s="1">
        <v>45096</v>
      </c>
      <c r="C2148" t="s">
        <v>14</v>
      </c>
      <c r="D2148">
        <v>399</v>
      </c>
      <c r="E2148">
        <v>2.8</v>
      </c>
      <c r="F2148">
        <v>6</v>
      </c>
      <c r="G2148">
        <v>1</v>
      </c>
      <c r="H2148">
        <v>8</v>
      </c>
      <c r="I2148">
        <v>15</v>
      </c>
      <c r="J2148" t="s">
        <v>11</v>
      </c>
    </row>
    <row r="2149" spans="1:10">
      <c r="A2149">
        <v>2148</v>
      </c>
      <c r="B2149" s="1">
        <v>45520</v>
      </c>
      <c r="C2149" t="s">
        <v>12</v>
      </c>
      <c r="D2149">
        <v>199</v>
      </c>
      <c r="E2149">
        <v>7.3</v>
      </c>
      <c r="F2149">
        <v>0</v>
      </c>
      <c r="G2149">
        <v>1</v>
      </c>
      <c r="H2149">
        <v>15</v>
      </c>
      <c r="I2149">
        <v>42</v>
      </c>
      <c r="J2149" t="s">
        <v>11</v>
      </c>
    </row>
    <row r="2150" spans="1:10">
      <c r="A2150">
        <v>2149</v>
      </c>
      <c r="B2150" s="1">
        <v>45656</v>
      </c>
      <c r="C2150" t="s">
        <v>10</v>
      </c>
      <c r="D2150">
        <v>699</v>
      </c>
      <c r="E2150">
        <v>11.4</v>
      </c>
      <c r="F2150">
        <v>3</v>
      </c>
      <c r="G2150">
        <v>0</v>
      </c>
      <c r="H2150">
        <v>25</v>
      </c>
      <c r="I2150">
        <v>54</v>
      </c>
      <c r="J2150" t="s">
        <v>11</v>
      </c>
    </row>
    <row r="2151" spans="1:10">
      <c r="A2151">
        <v>2150</v>
      </c>
      <c r="B2151" s="1">
        <v>45481</v>
      </c>
      <c r="C2151" t="s">
        <v>14</v>
      </c>
      <c r="D2151">
        <v>399</v>
      </c>
      <c r="E2151">
        <v>4.2</v>
      </c>
      <c r="F2151">
        <v>6</v>
      </c>
      <c r="G2151">
        <v>4</v>
      </c>
      <c r="H2151">
        <v>29</v>
      </c>
      <c r="I2151">
        <v>48</v>
      </c>
      <c r="J2151" t="s">
        <v>11</v>
      </c>
    </row>
    <row r="2152" spans="1:10">
      <c r="A2152">
        <v>2151</v>
      </c>
      <c r="B2152" s="1">
        <v>45277</v>
      </c>
      <c r="C2152" t="s">
        <v>14</v>
      </c>
      <c r="D2152">
        <v>399</v>
      </c>
      <c r="E2152">
        <v>22.1</v>
      </c>
      <c r="F2152">
        <v>7</v>
      </c>
      <c r="G2152">
        <v>3</v>
      </c>
      <c r="H2152">
        <v>14</v>
      </c>
      <c r="I2152">
        <v>50</v>
      </c>
      <c r="J2152" t="s">
        <v>13</v>
      </c>
    </row>
    <row r="2153" spans="1:10">
      <c r="A2153">
        <v>2152</v>
      </c>
      <c r="B2153" s="1">
        <v>45074</v>
      </c>
      <c r="C2153" t="s">
        <v>14</v>
      </c>
      <c r="D2153">
        <v>399</v>
      </c>
      <c r="E2153">
        <v>12.7</v>
      </c>
      <c r="F2153">
        <v>6</v>
      </c>
      <c r="G2153">
        <v>3</v>
      </c>
      <c r="H2153">
        <v>2</v>
      </c>
      <c r="I2153">
        <v>38</v>
      </c>
      <c r="J2153" t="s">
        <v>11</v>
      </c>
    </row>
    <row r="2154" spans="1:10">
      <c r="A2154">
        <v>2153</v>
      </c>
      <c r="B2154" s="1">
        <v>45150</v>
      </c>
      <c r="C2154" t="s">
        <v>10</v>
      </c>
      <c r="D2154">
        <v>699</v>
      </c>
      <c r="E2154">
        <v>15.2</v>
      </c>
      <c r="F2154">
        <v>6</v>
      </c>
      <c r="G2154">
        <v>1</v>
      </c>
      <c r="H2154">
        <v>5</v>
      </c>
      <c r="I2154">
        <v>50</v>
      </c>
      <c r="J2154" t="s">
        <v>11</v>
      </c>
    </row>
    <row r="2155" spans="1:10">
      <c r="A2155">
        <v>2154</v>
      </c>
      <c r="B2155" s="1">
        <v>45315</v>
      </c>
      <c r="C2155" t="s">
        <v>14</v>
      </c>
      <c r="D2155">
        <v>399</v>
      </c>
      <c r="E2155">
        <v>10.4</v>
      </c>
      <c r="F2155">
        <v>3</v>
      </c>
      <c r="G2155">
        <v>5</v>
      </c>
      <c r="H2155">
        <v>23</v>
      </c>
      <c r="I2155">
        <v>18</v>
      </c>
      <c r="J2155" t="s">
        <v>13</v>
      </c>
    </row>
    <row r="2156" spans="1:10">
      <c r="A2156">
        <v>2155</v>
      </c>
      <c r="B2156" s="1">
        <v>45657</v>
      </c>
      <c r="C2156" t="s">
        <v>10</v>
      </c>
      <c r="D2156">
        <v>699</v>
      </c>
      <c r="E2156">
        <v>24</v>
      </c>
      <c r="F2156">
        <v>3</v>
      </c>
      <c r="G2156">
        <v>5</v>
      </c>
      <c r="H2156">
        <v>31</v>
      </c>
      <c r="I2156">
        <v>44</v>
      </c>
      <c r="J2156" t="s">
        <v>11</v>
      </c>
    </row>
    <row r="2157" spans="1:10">
      <c r="A2157">
        <v>2156</v>
      </c>
      <c r="B2157" s="1">
        <v>45383</v>
      </c>
      <c r="C2157" t="s">
        <v>12</v>
      </c>
      <c r="D2157">
        <v>199</v>
      </c>
      <c r="E2157">
        <v>14.5</v>
      </c>
      <c r="F2157">
        <v>5</v>
      </c>
      <c r="G2157">
        <v>3</v>
      </c>
      <c r="H2157">
        <v>25</v>
      </c>
      <c r="I2157">
        <v>1</v>
      </c>
      <c r="J2157" t="s">
        <v>11</v>
      </c>
    </row>
    <row r="2158" spans="1:10">
      <c r="A2158">
        <v>2157</v>
      </c>
      <c r="B2158" s="1">
        <v>45193</v>
      </c>
      <c r="C2158" t="s">
        <v>14</v>
      </c>
      <c r="D2158">
        <v>399</v>
      </c>
      <c r="E2158">
        <v>11.2</v>
      </c>
      <c r="F2158">
        <v>5</v>
      </c>
      <c r="G2158">
        <v>1</v>
      </c>
      <c r="H2158">
        <v>6</v>
      </c>
      <c r="I2158">
        <v>17</v>
      </c>
      <c r="J2158" t="s">
        <v>13</v>
      </c>
    </row>
    <row r="2159" spans="1:10">
      <c r="A2159">
        <v>2158</v>
      </c>
      <c r="B2159" s="1">
        <v>44964</v>
      </c>
      <c r="C2159" t="s">
        <v>14</v>
      </c>
      <c r="D2159">
        <v>399</v>
      </c>
      <c r="E2159">
        <v>4.5999999999999996</v>
      </c>
      <c r="F2159">
        <v>8</v>
      </c>
      <c r="G2159">
        <v>4</v>
      </c>
      <c r="H2159">
        <v>11</v>
      </c>
      <c r="I2159">
        <v>33</v>
      </c>
      <c r="J2159" t="s">
        <v>11</v>
      </c>
    </row>
    <row r="2160" spans="1:10">
      <c r="A2160">
        <v>2159</v>
      </c>
      <c r="B2160" s="1">
        <v>45021</v>
      </c>
      <c r="C2160" t="s">
        <v>14</v>
      </c>
      <c r="D2160">
        <v>399</v>
      </c>
      <c r="E2160">
        <v>1.7</v>
      </c>
      <c r="F2160">
        <v>3</v>
      </c>
      <c r="G2160">
        <v>0</v>
      </c>
      <c r="H2160">
        <v>24</v>
      </c>
      <c r="I2160">
        <v>45</v>
      </c>
      <c r="J2160" t="s">
        <v>13</v>
      </c>
    </row>
    <row r="2161" spans="1:10">
      <c r="A2161">
        <v>2160</v>
      </c>
      <c r="B2161" s="1">
        <v>45079</v>
      </c>
      <c r="C2161" t="s">
        <v>10</v>
      </c>
      <c r="D2161">
        <v>699</v>
      </c>
      <c r="E2161">
        <v>1.7</v>
      </c>
      <c r="F2161">
        <v>1</v>
      </c>
      <c r="G2161">
        <v>4</v>
      </c>
      <c r="H2161">
        <v>36</v>
      </c>
      <c r="I2161">
        <v>59</v>
      </c>
      <c r="J2161" t="s">
        <v>11</v>
      </c>
    </row>
    <row r="2162" spans="1:10">
      <c r="A2162">
        <v>2161</v>
      </c>
      <c r="B2162" s="1">
        <v>45097</v>
      </c>
      <c r="C2162" t="s">
        <v>14</v>
      </c>
      <c r="D2162">
        <v>399</v>
      </c>
      <c r="E2162">
        <v>21.5</v>
      </c>
      <c r="F2162">
        <v>4</v>
      </c>
      <c r="G2162">
        <v>1</v>
      </c>
      <c r="H2162">
        <v>10</v>
      </c>
      <c r="I2162">
        <v>14</v>
      </c>
      <c r="J2162" t="s">
        <v>13</v>
      </c>
    </row>
    <row r="2163" spans="1:10">
      <c r="A2163">
        <v>2162</v>
      </c>
      <c r="B2163" s="1">
        <v>45107</v>
      </c>
      <c r="C2163" t="s">
        <v>10</v>
      </c>
      <c r="D2163">
        <v>699</v>
      </c>
      <c r="E2163">
        <v>6.2</v>
      </c>
      <c r="F2163">
        <v>1</v>
      </c>
      <c r="G2163">
        <v>4</v>
      </c>
      <c r="H2163">
        <v>5</v>
      </c>
      <c r="I2163">
        <v>3</v>
      </c>
      <c r="J2163" t="s">
        <v>13</v>
      </c>
    </row>
    <row r="2164" spans="1:10">
      <c r="A2164">
        <v>2163</v>
      </c>
      <c r="B2164" s="1">
        <v>45127</v>
      </c>
      <c r="C2164" t="s">
        <v>14</v>
      </c>
      <c r="D2164">
        <v>399</v>
      </c>
      <c r="E2164">
        <v>12</v>
      </c>
      <c r="F2164">
        <v>6</v>
      </c>
      <c r="G2164">
        <v>1</v>
      </c>
      <c r="H2164">
        <v>36</v>
      </c>
      <c r="I2164">
        <v>15</v>
      </c>
      <c r="J2164" t="s">
        <v>11</v>
      </c>
    </row>
    <row r="2165" spans="1:10">
      <c r="A2165">
        <v>2164</v>
      </c>
      <c r="B2165" s="1">
        <v>45473</v>
      </c>
      <c r="C2165" t="s">
        <v>10</v>
      </c>
      <c r="D2165">
        <v>699</v>
      </c>
      <c r="E2165">
        <v>2.2000000000000002</v>
      </c>
      <c r="F2165">
        <v>1</v>
      </c>
      <c r="G2165">
        <v>2</v>
      </c>
      <c r="H2165">
        <v>5</v>
      </c>
      <c r="I2165">
        <v>52</v>
      </c>
      <c r="J2165" t="s">
        <v>11</v>
      </c>
    </row>
    <row r="2166" spans="1:10">
      <c r="A2166">
        <v>2165</v>
      </c>
      <c r="B2166" s="1">
        <v>45118</v>
      </c>
      <c r="C2166" t="s">
        <v>12</v>
      </c>
      <c r="D2166">
        <v>199</v>
      </c>
      <c r="E2166">
        <v>14.1</v>
      </c>
      <c r="F2166">
        <v>5</v>
      </c>
      <c r="G2166">
        <v>5</v>
      </c>
      <c r="H2166">
        <v>30</v>
      </c>
      <c r="I2166">
        <v>11</v>
      </c>
      <c r="J2166" t="s">
        <v>11</v>
      </c>
    </row>
    <row r="2167" spans="1:10">
      <c r="A2167">
        <v>2166</v>
      </c>
      <c r="B2167" s="1">
        <v>45439</v>
      </c>
      <c r="C2167" t="s">
        <v>12</v>
      </c>
      <c r="D2167">
        <v>199</v>
      </c>
      <c r="E2167">
        <v>8.5</v>
      </c>
      <c r="F2167">
        <v>2</v>
      </c>
      <c r="G2167">
        <v>2</v>
      </c>
      <c r="H2167">
        <v>1</v>
      </c>
      <c r="I2167">
        <v>32</v>
      </c>
      <c r="J2167" t="s">
        <v>13</v>
      </c>
    </row>
    <row r="2168" spans="1:10">
      <c r="A2168">
        <v>2167</v>
      </c>
      <c r="B2168" s="1">
        <v>45062</v>
      </c>
      <c r="C2168" t="s">
        <v>10</v>
      </c>
      <c r="D2168">
        <v>699</v>
      </c>
      <c r="E2168">
        <v>10.1</v>
      </c>
      <c r="F2168">
        <v>2</v>
      </c>
      <c r="G2168">
        <v>0</v>
      </c>
      <c r="H2168">
        <v>4</v>
      </c>
      <c r="I2168">
        <v>30</v>
      </c>
      <c r="J2168" t="s">
        <v>11</v>
      </c>
    </row>
    <row r="2169" spans="1:10">
      <c r="A2169">
        <v>2168</v>
      </c>
      <c r="B2169" s="1">
        <v>45654</v>
      </c>
      <c r="C2169" t="s">
        <v>12</v>
      </c>
      <c r="D2169">
        <v>199</v>
      </c>
      <c r="E2169">
        <v>14.6</v>
      </c>
      <c r="F2169">
        <v>4</v>
      </c>
      <c r="G2169">
        <v>3</v>
      </c>
      <c r="H2169">
        <v>24</v>
      </c>
      <c r="I2169">
        <v>15</v>
      </c>
      <c r="J2169" t="s">
        <v>11</v>
      </c>
    </row>
    <row r="2170" spans="1:10">
      <c r="A2170">
        <v>2169</v>
      </c>
      <c r="B2170" s="1">
        <v>45221</v>
      </c>
      <c r="C2170" t="s">
        <v>12</v>
      </c>
      <c r="D2170">
        <v>199</v>
      </c>
      <c r="E2170">
        <v>4.5</v>
      </c>
      <c r="F2170">
        <v>0</v>
      </c>
      <c r="G2170">
        <v>0</v>
      </c>
      <c r="H2170">
        <v>16</v>
      </c>
      <c r="I2170">
        <v>24</v>
      </c>
      <c r="J2170" t="s">
        <v>11</v>
      </c>
    </row>
    <row r="2171" spans="1:10">
      <c r="A2171">
        <v>2170</v>
      </c>
      <c r="B2171" s="1">
        <v>45464</v>
      </c>
      <c r="C2171" t="s">
        <v>14</v>
      </c>
      <c r="D2171">
        <v>399</v>
      </c>
      <c r="E2171">
        <v>20.100000000000001</v>
      </c>
      <c r="F2171">
        <v>6</v>
      </c>
      <c r="G2171">
        <v>4</v>
      </c>
      <c r="H2171">
        <v>34</v>
      </c>
      <c r="I2171">
        <v>34</v>
      </c>
      <c r="J2171" t="s">
        <v>11</v>
      </c>
    </row>
    <row r="2172" spans="1:10">
      <c r="A2172">
        <v>2171</v>
      </c>
      <c r="B2172" s="1">
        <v>45097</v>
      </c>
      <c r="C2172" t="s">
        <v>14</v>
      </c>
      <c r="D2172">
        <v>399</v>
      </c>
      <c r="E2172">
        <v>9.1999999999999993</v>
      </c>
      <c r="F2172">
        <v>6</v>
      </c>
      <c r="G2172">
        <v>2</v>
      </c>
      <c r="H2172">
        <v>34</v>
      </c>
      <c r="I2172">
        <v>33</v>
      </c>
      <c r="J2172" t="s">
        <v>13</v>
      </c>
    </row>
    <row r="2173" spans="1:10">
      <c r="A2173">
        <v>2172</v>
      </c>
      <c r="B2173" s="1">
        <v>45303</v>
      </c>
      <c r="C2173" t="s">
        <v>10</v>
      </c>
      <c r="D2173">
        <v>699</v>
      </c>
      <c r="E2173">
        <v>3.6</v>
      </c>
      <c r="F2173">
        <v>0</v>
      </c>
      <c r="G2173">
        <v>1</v>
      </c>
      <c r="H2173">
        <v>32</v>
      </c>
      <c r="I2173">
        <v>4</v>
      </c>
      <c r="J2173" t="s">
        <v>13</v>
      </c>
    </row>
    <row r="2174" spans="1:10">
      <c r="A2174">
        <v>2173</v>
      </c>
      <c r="B2174" s="1">
        <v>44951</v>
      </c>
      <c r="C2174" t="s">
        <v>14</v>
      </c>
      <c r="D2174">
        <v>399</v>
      </c>
      <c r="E2174">
        <v>15.3</v>
      </c>
      <c r="F2174">
        <v>6</v>
      </c>
      <c r="G2174">
        <v>3</v>
      </c>
      <c r="H2174">
        <v>8</v>
      </c>
      <c r="I2174">
        <v>24</v>
      </c>
      <c r="J2174" t="s">
        <v>11</v>
      </c>
    </row>
    <row r="2175" spans="1:10">
      <c r="A2175">
        <v>2174</v>
      </c>
      <c r="B2175" s="1">
        <v>45077</v>
      </c>
      <c r="C2175" t="s">
        <v>14</v>
      </c>
      <c r="D2175">
        <v>399</v>
      </c>
      <c r="E2175">
        <v>5.4</v>
      </c>
      <c r="F2175">
        <v>0</v>
      </c>
      <c r="G2175">
        <v>1</v>
      </c>
      <c r="H2175">
        <v>32</v>
      </c>
      <c r="I2175">
        <v>27</v>
      </c>
      <c r="J2175" t="s">
        <v>13</v>
      </c>
    </row>
    <row r="2176" spans="1:10">
      <c r="A2176">
        <v>2175</v>
      </c>
      <c r="B2176" s="1">
        <v>45159</v>
      </c>
      <c r="C2176" t="s">
        <v>14</v>
      </c>
      <c r="D2176">
        <v>399</v>
      </c>
      <c r="E2176">
        <v>16.399999999999999</v>
      </c>
      <c r="F2176">
        <v>4</v>
      </c>
      <c r="G2176">
        <v>3</v>
      </c>
      <c r="H2176">
        <v>9</v>
      </c>
      <c r="I2176">
        <v>15</v>
      </c>
      <c r="J2176" t="s">
        <v>11</v>
      </c>
    </row>
    <row r="2177" spans="1:10">
      <c r="A2177">
        <v>2176</v>
      </c>
      <c r="B2177" s="1">
        <v>45136</v>
      </c>
      <c r="C2177" t="s">
        <v>14</v>
      </c>
      <c r="D2177">
        <v>399</v>
      </c>
      <c r="E2177">
        <v>12.4</v>
      </c>
      <c r="F2177">
        <v>7</v>
      </c>
      <c r="G2177">
        <v>5</v>
      </c>
      <c r="H2177">
        <v>17</v>
      </c>
      <c r="I2177">
        <v>29</v>
      </c>
      <c r="J2177" t="s">
        <v>11</v>
      </c>
    </row>
    <row r="2178" spans="1:10">
      <c r="A2178">
        <v>2177</v>
      </c>
      <c r="B2178" s="1">
        <v>45582</v>
      </c>
      <c r="C2178" t="s">
        <v>14</v>
      </c>
      <c r="D2178">
        <v>399</v>
      </c>
      <c r="E2178">
        <v>10.7</v>
      </c>
      <c r="F2178">
        <v>0</v>
      </c>
      <c r="G2178">
        <v>1</v>
      </c>
      <c r="H2178">
        <v>9</v>
      </c>
      <c r="I2178">
        <v>60</v>
      </c>
      <c r="J2178" t="s">
        <v>11</v>
      </c>
    </row>
    <row r="2179" spans="1:10">
      <c r="A2179">
        <v>2178</v>
      </c>
      <c r="B2179" s="1">
        <v>45596</v>
      </c>
      <c r="C2179" t="s">
        <v>12</v>
      </c>
      <c r="D2179">
        <v>199</v>
      </c>
      <c r="E2179">
        <v>9.6999999999999993</v>
      </c>
      <c r="F2179">
        <v>5</v>
      </c>
      <c r="G2179">
        <v>3</v>
      </c>
      <c r="H2179">
        <v>19</v>
      </c>
      <c r="I2179">
        <v>58</v>
      </c>
      <c r="J2179" t="s">
        <v>11</v>
      </c>
    </row>
    <row r="2180" spans="1:10">
      <c r="A2180">
        <v>2179</v>
      </c>
      <c r="B2180" s="1">
        <v>45417</v>
      </c>
      <c r="C2180" t="s">
        <v>14</v>
      </c>
      <c r="D2180">
        <v>399</v>
      </c>
      <c r="E2180">
        <v>15.2</v>
      </c>
      <c r="F2180">
        <v>5</v>
      </c>
      <c r="G2180">
        <v>4</v>
      </c>
      <c r="H2180">
        <v>5</v>
      </c>
      <c r="I2180">
        <v>35</v>
      </c>
      <c r="J2180" t="s">
        <v>11</v>
      </c>
    </row>
    <row r="2181" spans="1:10">
      <c r="A2181">
        <v>2180</v>
      </c>
      <c r="B2181" s="1">
        <v>45030</v>
      </c>
      <c r="C2181" t="s">
        <v>12</v>
      </c>
      <c r="D2181">
        <v>199</v>
      </c>
      <c r="E2181">
        <v>8.6</v>
      </c>
      <c r="F2181">
        <v>4</v>
      </c>
      <c r="G2181">
        <v>4</v>
      </c>
      <c r="H2181">
        <v>23</v>
      </c>
      <c r="I2181">
        <v>10</v>
      </c>
      <c r="J2181" t="s">
        <v>11</v>
      </c>
    </row>
    <row r="2182" spans="1:10">
      <c r="A2182">
        <v>2181</v>
      </c>
      <c r="B2182" s="1">
        <v>45307</v>
      </c>
      <c r="C2182" t="s">
        <v>12</v>
      </c>
      <c r="D2182">
        <v>199</v>
      </c>
      <c r="E2182">
        <v>7.1</v>
      </c>
      <c r="F2182">
        <v>0</v>
      </c>
      <c r="G2182">
        <v>4</v>
      </c>
      <c r="H2182">
        <v>36</v>
      </c>
      <c r="I2182">
        <v>13</v>
      </c>
      <c r="J2182" t="s">
        <v>13</v>
      </c>
    </row>
    <row r="2183" spans="1:10">
      <c r="A2183">
        <v>2182</v>
      </c>
      <c r="B2183" s="1">
        <v>45303</v>
      </c>
      <c r="C2183" t="s">
        <v>12</v>
      </c>
      <c r="D2183">
        <v>199</v>
      </c>
      <c r="E2183">
        <v>10.4</v>
      </c>
      <c r="F2183">
        <v>7</v>
      </c>
      <c r="G2183">
        <v>2</v>
      </c>
      <c r="H2183">
        <v>29</v>
      </c>
      <c r="I2183">
        <v>39</v>
      </c>
      <c r="J2183" t="s">
        <v>11</v>
      </c>
    </row>
    <row r="2184" spans="1:10">
      <c r="A2184">
        <v>2183</v>
      </c>
      <c r="B2184" s="1">
        <v>44964</v>
      </c>
      <c r="C2184" t="s">
        <v>12</v>
      </c>
      <c r="D2184">
        <v>199</v>
      </c>
      <c r="E2184">
        <v>14.8</v>
      </c>
      <c r="F2184">
        <v>7</v>
      </c>
      <c r="G2184">
        <v>3</v>
      </c>
      <c r="H2184">
        <v>34</v>
      </c>
      <c r="I2184">
        <v>27</v>
      </c>
      <c r="J2184" t="s">
        <v>13</v>
      </c>
    </row>
    <row r="2185" spans="1:10">
      <c r="A2185">
        <v>2184</v>
      </c>
      <c r="B2185" s="1">
        <v>45313</v>
      </c>
      <c r="C2185" t="s">
        <v>10</v>
      </c>
      <c r="D2185">
        <v>699</v>
      </c>
      <c r="E2185">
        <v>18.399999999999999</v>
      </c>
      <c r="F2185">
        <v>8</v>
      </c>
      <c r="G2185">
        <v>0</v>
      </c>
      <c r="H2185">
        <v>36</v>
      </c>
      <c r="I2185">
        <v>9</v>
      </c>
      <c r="J2185" t="s">
        <v>13</v>
      </c>
    </row>
    <row r="2186" spans="1:10">
      <c r="A2186">
        <v>2185</v>
      </c>
      <c r="B2186" s="1">
        <v>45128</v>
      </c>
      <c r="C2186" t="s">
        <v>14</v>
      </c>
      <c r="D2186">
        <v>399</v>
      </c>
      <c r="E2186">
        <v>18.399999999999999</v>
      </c>
      <c r="F2186">
        <v>4</v>
      </c>
      <c r="G2186">
        <v>1</v>
      </c>
      <c r="H2186">
        <v>29</v>
      </c>
      <c r="I2186">
        <v>9</v>
      </c>
      <c r="J2186" t="s">
        <v>13</v>
      </c>
    </row>
    <row r="2187" spans="1:10">
      <c r="A2187">
        <v>2186</v>
      </c>
      <c r="B2187" s="1">
        <v>45063</v>
      </c>
      <c r="C2187" t="s">
        <v>12</v>
      </c>
      <c r="D2187">
        <v>199</v>
      </c>
      <c r="E2187">
        <v>7.3</v>
      </c>
      <c r="F2187">
        <v>3</v>
      </c>
      <c r="G2187">
        <v>0</v>
      </c>
      <c r="H2187">
        <v>25</v>
      </c>
      <c r="I2187">
        <v>2</v>
      </c>
      <c r="J2187" t="s">
        <v>13</v>
      </c>
    </row>
    <row r="2188" spans="1:10">
      <c r="A2188">
        <v>2187</v>
      </c>
      <c r="B2188" s="1">
        <v>45188</v>
      </c>
      <c r="C2188" t="s">
        <v>12</v>
      </c>
      <c r="D2188">
        <v>199</v>
      </c>
      <c r="E2188">
        <v>14.4</v>
      </c>
      <c r="F2188">
        <v>6</v>
      </c>
      <c r="G2188">
        <v>1</v>
      </c>
      <c r="H2188">
        <v>27</v>
      </c>
      <c r="I2188">
        <v>27</v>
      </c>
      <c r="J2188" t="s">
        <v>13</v>
      </c>
    </row>
    <row r="2189" spans="1:10">
      <c r="A2189">
        <v>2188</v>
      </c>
      <c r="B2189" s="1">
        <v>44994</v>
      </c>
      <c r="C2189" t="s">
        <v>12</v>
      </c>
      <c r="D2189">
        <v>199</v>
      </c>
      <c r="E2189">
        <v>24.8</v>
      </c>
      <c r="F2189">
        <v>2</v>
      </c>
      <c r="G2189">
        <v>0</v>
      </c>
      <c r="H2189">
        <v>1</v>
      </c>
      <c r="I2189">
        <v>16</v>
      </c>
      <c r="J2189" t="s">
        <v>13</v>
      </c>
    </row>
    <row r="2190" spans="1:10">
      <c r="A2190">
        <v>2189</v>
      </c>
      <c r="B2190" s="1">
        <v>45612</v>
      </c>
      <c r="C2190" t="s">
        <v>12</v>
      </c>
      <c r="D2190">
        <v>199</v>
      </c>
      <c r="E2190">
        <v>22.9</v>
      </c>
      <c r="F2190">
        <v>2</v>
      </c>
      <c r="G2190">
        <v>5</v>
      </c>
      <c r="H2190">
        <v>30</v>
      </c>
      <c r="I2190">
        <v>31</v>
      </c>
      <c r="J2190" t="s">
        <v>11</v>
      </c>
    </row>
    <row r="2191" spans="1:10">
      <c r="A2191">
        <v>2190</v>
      </c>
      <c r="B2191" s="1">
        <v>45488</v>
      </c>
      <c r="C2191" t="s">
        <v>14</v>
      </c>
      <c r="D2191">
        <v>399</v>
      </c>
      <c r="E2191">
        <v>15.6</v>
      </c>
      <c r="F2191">
        <v>5</v>
      </c>
      <c r="G2191">
        <v>3</v>
      </c>
      <c r="H2191">
        <v>22</v>
      </c>
      <c r="I2191">
        <v>16</v>
      </c>
      <c r="J2191" t="s">
        <v>13</v>
      </c>
    </row>
    <row r="2192" spans="1:10">
      <c r="A2192">
        <v>2191</v>
      </c>
      <c r="B2192" s="1">
        <v>45530</v>
      </c>
      <c r="C2192" t="s">
        <v>10</v>
      </c>
      <c r="D2192">
        <v>699</v>
      </c>
      <c r="E2192">
        <v>16</v>
      </c>
      <c r="F2192">
        <v>5</v>
      </c>
      <c r="G2192">
        <v>4</v>
      </c>
      <c r="H2192">
        <v>22</v>
      </c>
      <c r="I2192">
        <v>9</v>
      </c>
      <c r="J2192" t="s">
        <v>13</v>
      </c>
    </row>
    <row r="2193" spans="1:10">
      <c r="A2193">
        <v>2192</v>
      </c>
      <c r="B2193" s="1">
        <v>45421</v>
      </c>
      <c r="C2193" t="s">
        <v>10</v>
      </c>
      <c r="D2193">
        <v>699</v>
      </c>
      <c r="E2193">
        <v>20.3</v>
      </c>
      <c r="F2193">
        <v>3</v>
      </c>
      <c r="G2193">
        <v>1</v>
      </c>
      <c r="H2193">
        <v>18</v>
      </c>
      <c r="I2193">
        <v>52</v>
      </c>
      <c r="J2193" t="s">
        <v>11</v>
      </c>
    </row>
    <row r="2194" spans="1:10">
      <c r="A2194">
        <v>2193</v>
      </c>
      <c r="B2194" s="1">
        <v>44979</v>
      </c>
      <c r="C2194" t="s">
        <v>14</v>
      </c>
      <c r="D2194">
        <v>399</v>
      </c>
      <c r="E2194">
        <v>23.5</v>
      </c>
      <c r="F2194">
        <v>4</v>
      </c>
      <c r="G2194">
        <v>3</v>
      </c>
      <c r="H2194">
        <v>22</v>
      </c>
      <c r="I2194">
        <v>46</v>
      </c>
      <c r="J2194" t="s">
        <v>13</v>
      </c>
    </row>
    <row r="2195" spans="1:10">
      <c r="A2195">
        <v>2194</v>
      </c>
      <c r="B2195" s="1">
        <v>45155</v>
      </c>
      <c r="C2195" t="s">
        <v>10</v>
      </c>
      <c r="D2195">
        <v>699</v>
      </c>
      <c r="E2195">
        <v>20.100000000000001</v>
      </c>
      <c r="F2195">
        <v>4</v>
      </c>
      <c r="G2195">
        <v>0</v>
      </c>
      <c r="H2195">
        <v>20</v>
      </c>
      <c r="I2195">
        <v>52</v>
      </c>
      <c r="J2195" t="s">
        <v>11</v>
      </c>
    </row>
    <row r="2196" spans="1:10">
      <c r="A2196">
        <v>2195</v>
      </c>
      <c r="B2196" s="1">
        <v>45298</v>
      </c>
      <c r="C2196" t="s">
        <v>12</v>
      </c>
      <c r="D2196">
        <v>199</v>
      </c>
      <c r="E2196">
        <v>11.9</v>
      </c>
      <c r="F2196">
        <v>2</v>
      </c>
      <c r="G2196">
        <v>0</v>
      </c>
      <c r="H2196">
        <v>16</v>
      </c>
      <c r="I2196">
        <v>44</v>
      </c>
      <c r="J2196" t="s">
        <v>13</v>
      </c>
    </row>
    <row r="2197" spans="1:10">
      <c r="A2197">
        <v>2196</v>
      </c>
      <c r="B2197" s="1">
        <v>45565</v>
      </c>
      <c r="C2197" t="s">
        <v>14</v>
      </c>
      <c r="D2197">
        <v>399</v>
      </c>
      <c r="E2197">
        <v>10.8</v>
      </c>
      <c r="F2197">
        <v>5</v>
      </c>
      <c r="G2197">
        <v>2</v>
      </c>
      <c r="H2197">
        <v>26</v>
      </c>
      <c r="I2197">
        <v>5</v>
      </c>
      <c r="J2197" t="s">
        <v>11</v>
      </c>
    </row>
    <row r="2198" spans="1:10">
      <c r="A2198">
        <v>2197</v>
      </c>
      <c r="B2198" s="1">
        <v>45084</v>
      </c>
      <c r="C2198" t="s">
        <v>14</v>
      </c>
      <c r="D2198">
        <v>399</v>
      </c>
      <c r="E2198">
        <v>19.5</v>
      </c>
      <c r="F2198">
        <v>0</v>
      </c>
      <c r="G2198">
        <v>3</v>
      </c>
      <c r="H2198">
        <v>5</v>
      </c>
      <c r="I2198">
        <v>25</v>
      </c>
      <c r="J2198" t="s">
        <v>13</v>
      </c>
    </row>
    <row r="2199" spans="1:10">
      <c r="A2199">
        <v>2198</v>
      </c>
      <c r="B2199" s="1">
        <v>45425</v>
      </c>
      <c r="C2199" t="s">
        <v>14</v>
      </c>
      <c r="D2199">
        <v>399</v>
      </c>
      <c r="E2199">
        <v>24.5</v>
      </c>
      <c r="F2199">
        <v>5</v>
      </c>
      <c r="G2199">
        <v>2</v>
      </c>
      <c r="H2199">
        <v>31</v>
      </c>
      <c r="I2199">
        <v>7</v>
      </c>
      <c r="J2199" t="s">
        <v>11</v>
      </c>
    </row>
    <row r="2200" spans="1:10">
      <c r="A2200">
        <v>2199</v>
      </c>
      <c r="B2200" s="1">
        <v>45176</v>
      </c>
      <c r="C2200" t="s">
        <v>14</v>
      </c>
      <c r="D2200">
        <v>399</v>
      </c>
      <c r="E2200">
        <v>14.9</v>
      </c>
      <c r="F2200">
        <v>6</v>
      </c>
      <c r="G2200">
        <v>3</v>
      </c>
      <c r="H2200">
        <v>26</v>
      </c>
      <c r="I2200">
        <v>54</v>
      </c>
      <c r="J2200" t="s">
        <v>11</v>
      </c>
    </row>
    <row r="2201" spans="1:10">
      <c r="A2201">
        <v>2200</v>
      </c>
      <c r="B2201" s="1">
        <v>45030</v>
      </c>
      <c r="C2201" t="s">
        <v>10</v>
      </c>
      <c r="D2201">
        <v>699</v>
      </c>
      <c r="E2201">
        <v>8.6999999999999993</v>
      </c>
      <c r="F2201">
        <v>5</v>
      </c>
      <c r="G2201">
        <v>4</v>
      </c>
      <c r="H2201">
        <v>11</v>
      </c>
      <c r="I2201">
        <v>24</v>
      </c>
      <c r="J2201" t="s">
        <v>13</v>
      </c>
    </row>
    <row r="2202" spans="1:10">
      <c r="A2202">
        <v>2201</v>
      </c>
      <c r="B2202" s="1">
        <v>45021</v>
      </c>
      <c r="C2202" t="s">
        <v>12</v>
      </c>
      <c r="D2202">
        <v>199</v>
      </c>
      <c r="E2202">
        <v>20</v>
      </c>
      <c r="F2202">
        <v>0</v>
      </c>
      <c r="G2202">
        <v>1</v>
      </c>
      <c r="H2202">
        <v>6</v>
      </c>
      <c r="I2202">
        <v>34</v>
      </c>
      <c r="J2202" t="s">
        <v>13</v>
      </c>
    </row>
    <row r="2203" spans="1:10">
      <c r="A2203">
        <v>2202</v>
      </c>
      <c r="B2203" s="1">
        <v>45225</v>
      </c>
      <c r="C2203" t="s">
        <v>10</v>
      </c>
      <c r="D2203">
        <v>699</v>
      </c>
      <c r="E2203">
        <v>24.8</v>
      </c>
      <c r="F2203">
        <v>0</v>
      </c>
      <c r="G2203">
        <v>3</v>
      </c>
      <c r="H2203">
        <v>10</v>
      </c>
      <c r="I2203">
        <v>11</v>
      </c>
      <c r="J2203" t="s">
        <v>11</v>
      </c>
    </row>
    <row r="2204" spans="1:10">
      <c r="A2204">
        <v>2203</v>
      </c>
      <c r="B2204" s="1">
        <v>45265</v>
      </c>
      <c r="C2204" t="s">
        <v>14</v>
      </c>
      <c r="D2204">
        <v>399</v>
      </c>
      <c r="E2204">
        <v>16.8</v>
      </c>
      <c r="F2204">
        <v>1</v>
      </c>
      <c r="G2204">
        <v>0</v>
      </c>
      <c r="H2204">
        <v>23</v>
      </c>
      <c r="I2204">
        <v>10</v>
      </c>
      <c r="J2204" t="s">
        <v>13</v>
      </c>
    </row>
    <row r="2205" spans="1:10">
      <c r="A2205">
        <v>2204</v>
      </c>
      <c r="B2205" s="1">
        <v>45123</v>
      </c>
      <c r="C2205" t="s">
        <v>12</v>
      </c>
      <c r="D2205">
        <v>199</v>
      </c>
      <c r="E2205">
        <v>24.9</v>
      </c>
      <c r="F2205">
        <v>1</v>
      </c>
      <c r="G2205">
        <v>0</v>
      </c>
      <c r="H2205">
        <v>3</v>
      </c>
      <c r="I2205">
        <v>39</v>
      </c>
      <c r="J2205" t="s">
        <v>11</v>
      </c>
    </row>
    <row r="2206" spans="1:10">
      <c r="A2206">
        <v>2205</v>
      </c>
      <c r="B2206" s="1">
        <v>45557</v>
      </c>
      <c r="C2206" t="s">
        <v>12</v>
      </c>
      <c r="D2206">
        <v>199</v>
      </c>
      <c r="E2206">
        <v>20.7</v>
      </c>
      <c r="F2206">
        <v>7</v>
      </c>
      <c r="G2206">
        <v>0</v>
      </c>
      <c r="H2206">
        <v>26</v>
      </c>
      <c r="I2206">
        <v>17</v>
      </c>
      <c r="J2206" t="s">
        <v>13</v>
      </c>
    </row>
    <row r="2207" spans="1:10">
      <c r="A2207">
        <v>2206</v>
      </c>
      <c r="B2207" s="1">
        <v>45193</v>
      </c>
      <c r="C2207" t="s">
        <v>10</v>
      </c>
      <c r="D2207">
        <v>699</v>
      </c>
      <c r="E2207">
        <v>20.9</v>
      </c>
      <c r="F2207">
        <v>4</v>
      </c>
      <c r="G2207">
        <v>1</v>
      </c>
      <c r="H2207">
        <v>5</v>
      </c>
      <c r="I2207">
        <v>4</v>
      </c>
      <c r="J2207" t="s">
        <v>13</v>
      </c>
    </row>
    <row r="2208" spans="1:10">
      <c r="A2208">
        <v>2207</v>
      </c>
      <c r="B2208" s="1">
        <v>45273</v>
      </c>
      <c r="C2208" t="s">
        <v>12</v>
      </c>
      <c r="D2208">
        <v>199</v>
      </c>
      <c r="E2208">
        <v>2.9</v>
      </c>
      <c r="F2208">
        <v>3</v>
      </c>
      <c r="G2208">
        <v>5</v>
      </c>
      <c r="H2208">
        <v>33</v>
      </c>
      <c r="I2208">
        <v>18</v>
      </c>
      <c r="J2208" t="s">
        <v>11</v>
      </c>
    </row>
    <row r="2209" spans="1:10">
      <c r="A2209">
        <v>2208</v>
      </c>
      <c r="B2209" s="1">
        <v>45227</v>
      </c>
      <c r="C2209" t="s">
        <v>10</v>
      </c>
      <c r="D2209">
        <v>699</v>
      </c>
      <c r="E2209">
        <v>17.5</v>
      </c>
      <c r="F2209">
        <v>7</v>
      </c>
      <c r="G2209">
        <v>2</v>
      </c>
      <c r="H2209">
        <v>11</v>
      </c>
      <c r="I2209">
        <v>60</v>
      </c>
      <c r="J2209" t="s">
        <v>11</v>
      </c>
    </row>
    <row r="2210" spans="1:10">
      <c r="A2210">
        <v>2209</v>
      </c>
      <c r="B2210" s="1">
        <v>45173</v>
      </c>
      <c r="C2210" t="s">
        <v>10</v>
      </c>
      <c r="D2210">
        <v>699</v>
      </c>
      <c r="E2210">
        <v>10.7</v>
      </c>
      <c r="F2210">
        <v>3</v>
      </c>
      <c r="G2210">
        <v>2</v>
      </c>
      <c r="H2210">
        <v>26</v>
      </c>
      <c r="I2210">
        <v>42</v>
      </c>
      <c r="J2210" t="s">
        <v>11</v>
      </c>
    </row>
    <row r="2211" spans="1:10">
      <c r="A2211">
        <v>2210</v>
      </c>
      <c r="B2211" s="1">
        <v>45047</v>
      </c>
      <c r="C2211" t="s">
        <v>14</v>
      </c>
      <c r="D2211">
        <v>399</v>
      </c>
      <c r="E2211">
        <v>17.7</v>
      </c>
      <c r="F2211">
        <v>0</v>
      </c>
      <c r="G2211">
        <v>0</v>
      </c>
      <c r="H2211">
        <v>10</v>
      </c>
      <c r="I2211">
        <v>3</v>
      </c>
      <c r="J2211" t="s">
        <v>13</v>
      </c>
    </row>
    <row r="2212" spans="1:10">
      <c r="A2212">
        <v>2211</v>
      </c>
      <c r="B2212" s="1">
        <v>45267</v>
      </c>
      <c r="C2212" t="s">
        <v>12</v>
      </c>
      <c r="D2212">
        <v>199</v>
      </c>
      <c r="E2212">
        <v>25</v>
      </c>
      <c r="F2212">
        <v>2</v>
      </c>
      <c r="G2212">
        <v>1</v>
      </c>
      <c r="H2212">
        <v>7</v>
      </c>
      <c r="I2212">
        <v>46</v>
      </c>
      <c r="J2212" t="s">
        <v>11</v>
      </c>
    </row>
    <row r="2213" spans="1:10">
      <c r="A2213">
        <v>2212</v>
      </c>
      <c r="B2213" s="1">
        <v>45586</v>
      </c>
      <c r="C2213" t="s">
        <v>10</v>
      </c>
      <c r="D2213">
        <v>699</v>
      </c>
      <c r="E2213">
        <v>14.7</v>
      </c>
      <c r="F2213">
        <v>7</v>
      </c>
      <c r="G2213">
        <v>3</v>
      </c>
      <c r="H2213">
        <v>21</v>
      </c>
      <c r="I2213">
        <v>26</v>
      </c>
      <c r="J2213" t="s">
        <v>11</v>
      </c>
    </row>
    <row r="2214" spans="1:10">
      <c r="A2214">
        <v>2213</v>
      </c>
      <c r="B2214" s="1">
        <v>45598</v>
      </c>
      <c r="C2214" t="s">
        <v>10</v>
      </c>
      <c r="D2214">
        <v>699</v>
      </c>
      <c r="E2214">
        <v>18.399999999999999</v>
      </c>
      <c r="F2214">
        <v>4</v>
      </c>
      <c r="G2214">
        <v>5</v>
      </c>
      <c r="H2214">
        <v>36</v>
      </c>
      <c r="I2214">
        <v>13</v>
      </c>
      <c r="J2214" t="s">
        <v>13</v>
      </c>
    </row>
    <row r="2215" spans="1:10">
      <c r="A2215">
        <v>2214</v>
      </c>
      <c r="B2215" s="1">
        <v>45185</v>
      </c>
      <c r="C2215" t="s">
        <v>12</v>
      </c>
      <c r="D2215">
        <v>199</v>
      </c>
      <c r="E2215">
        <v>4.3</v>
      </c>
      <c r="F2215">
        <v>3</v>
      </c>
      <c r="G2215">
        <v>2</v>
      </c>
      <c r="H2215">
        <v>24</v>
      </c>
      <c r="I2215">
        <v>4</v>
      </c>
      <c r="J2215" t="s">
        <v>11</v>
      </c>
    </row>
    <row r="2216" spans="1:10">
      <c r="A2216">
        <v>2215</v>
      </c>
      <c r="B2216" s="1">
        <v>45258</v>
      </c>
      <c r="C2216" t="s">
        <v>14</v>
      </c>
      <c r="D2216">
        <v>399</v>
      </c>
      <c r="E2216">
        <v>20.399999999999999</v>
      </c>
      <c r="F2216">
        <v>7</v>
      </c>
      <c r="G2216">
        <v>5</v>
      </c>
      <c r="H2216">
        <v>12</v>
      </c>
      <c r="I2216">
        <v>25</v>
      </c>
      <c r="J2216" t="s">
        <v>13</v>
      </c>
    </row>
    <row r="2217" spans="1:10">
      <c r="A2217">
        <v>2216</v>
      </c>
      <c r="B2217" s="1">
        <v>45507</v>
      </c>
      <c r="C2217" t="s">
        <v>14</v>
      </c>
      <c r="D2217">
        <v>399</v>
      </c>
      <c r="E2217">
        <v>20.5</v>
      </c>
      <c r="F2217">
        <v>6</v>
      </c>
      <c r="G2217">
        <v>5</v>
      </c>
      <c r="H2217">
        <v>9</v>
      </c>
      <c r="I2217">
        <v>20</v>
      </c>
      <c r="J2217" t="s">
        <v>13</v>
      </c>
    </row>
    <row r="2218" spans="1:10">
      <c r="A2218">
        <v>2217</v>
      </c>
      <c r="B2218" s="1">
        <v>45269</v>
      </c>
      <c r="C2218" t="s">
        <v>10</v>
      </c>
      <c r="D2218">
        <v>699</v>
      </c>
      <c r="E2218">
        <v>0.7</v>
      </c>
      <c r="F2218">
        <v>2</v>
      </c>
      <c r="G2218">
        <v>2</v>
      </c>
      <c r="H2218">
        <v>12</v>
      </c>
      <c r="I2218">
        <v>26</v>
      </c>
      <c r="J2218" t="s">
        <v>11</v>
      </c>
    </row>
    <row r="2219" spans="1:10">
      <c r="A2219">
        <v>2218</v>
      </c>
      <c r="B2219" s="1">
        <v>45211</v>
      </c>
      <c r="C2219" t="s">
        <v>12</v>
      </c>
      <c r="D2219">
        <v>199</v>
      </c>
      <c r="E2219">
        <v>22.2</v>
      </c>
      <c r="F2219">
        <v>3</v>
      </c>
      <c r="G2219">
        <v>4</v>
      </c>
      <c r="H2219">
        <v>3</v>
      </c>
      <c r="I2219">
        <v>38</v>
      </c>
      <c r="J2219" t="s">
        <v>11</v>
      </c>
    </row>
    <row r="2220" spans="1:10">
      <c r="A2220">
        <v>2219</v>
      </c>
      <c r="B2220" s="1">
        <v>45556</v>
      </c>
      <c r="C2220" t="s">
        <v>12</v>
      </c>
      <c r="D2220">
        <v>199</v>
      </c>
      <c r="E2220">
        <v>10.7</v>
      </c>
      <c r="F2220">
        <v>0</v>
      </c>
      <c r="G2220">
        <v>5</v>
      </c>
      <c r="H2220">
        <v>12</v>
      </c>
      <c r="I2220">
        <v>23</v>
      </c>
      <c r="J2220" t="s">
        <v>13</v>
      </c>
    </row>
    <row r="2221" spans="1:10">
      <c r="A2221">
        <v>2220</v>
      </c>
      <c r="B2221" s="1">
        <v>45267</v>
      </c>
      <c r="C2221" t="s">
        <v>14</v>
      </c>
      <c r="D2221">
        <v>399</v>
      </c>
      <c r="E2221">
        <v>0.6</v>
      </c>
      <c r="F2221">
        <v>7</v>
      </c>
      <c r="G2221">
        <v>4</v>
      </c>
      <c r="H2221">
        <v>22</v>
      </c>
      <c r="I2221">
        <v>12</v>
      </c>
      <c r="J2221" t="s">
        <v>11</v>
      </c>
    </row>
    <row r="2222" spans="1:10">
      <c r="A2222">
        <v>2221</v>
      </c>
      <c r="B2222" s="1">
        <v>45553</v>
      </c>
      <c r="C2222" t="s">
        <v>10</v>
      </c>
      <c r="D2222">
        <v>699</v>
      </c>
      <c r="E2222">
        <v>7.2</v>
      </c>
      <c r="F2222">
        <v>6</v>
      </c>
      <c r="G2222">
        <v>4</v>
      </c>
      <c r="H2222">
        <v>33</v>
      </c>
      <c r="I2222">
        <v>37</v>
      </c>
      <c r="J2222" t="s">
        <v>11</v>
      </c>
    </row>
    <row r="2223" spans="1:10">
      <c r="A2223">
        <v>2222</v>
      </c>
      <c r="B2223" s="1">
        <v>45224</v>
      </c>
      <c r="C2223" t="s">
        <v>12</v>
      </c>
      <c r="D2223">
        <v>199</v>
      </c>
      <c r="E2223">
        <v>19.399999999999999</v>
      </c>
      <c r="F2223">
        <v>0</v>
      </c>
      <c r="G2223">
        <v>3</v>
      </c>
      <c r="H2223">
        <v>28</v>
      </c>
      <c r="I2223">
        <v>46</v>
      </c>
      <c r="J2223" t="s">
        <v>11</v>
      </c>
    </row>
    <row r="2224" spans="1:10">
      <c r="A2224">
        <v>2223</v>
      </c>
      <c r="B2224" s="1">
        <v>44991</v>
      </c>
      <c r="C2224" t="s">
        <v>10</v>
      </c>
      <c r="D2224">
        <v>699</v>
      </c>
      <c r="E2224">
        <v>1.6</v>
      </c>
      <c r="F2224">
        <v>5</v>
      </c>
      <c r="G2224">
        <v>0</v>
      </c>
      <c r="H2224">
        <v>30</v>
      </c>
      <c r="I2224">
        <v>26</v>
      </c>
      <c r="J2224" t="s">
        <v>11</v>
      </c>
    </row>
    <row r="2225" spans="1:10">
      <c r="A2225">
        <v>2224</v>
      </c>
      <c r="B2225" s="1">
        <v>45387</v>
      </c>
      <c r="C2225" t="s">
        <v>14</v>
      </c>
      <c r="D2225">
        <v>399</v>
      </c>
      <c r="E2225">
        <v>23.3</v>
      </c>
      <c r="F2225">
        <v>3</v>
      </c>
      <c r="G2225">
        <v>2</v>
      </c>
      <c r="H2225">
        <v>27</v>
      </c>
      <c r="I2225">
        <v>53</v>
      </c>
      <c r="J2225" t="s">
        <v>11</v>
      </c>
    </row>
    <row r="2226" spans="1:10">
      <c r="A2226">
        <v>2225</v>
      </c>
      <c r="B2226" s="1">
        <v>45187</v>
      </c>
      <c r="C2226" t="s">
        <v>14</v>
      </c>
      <c r="D2226">
        <v>399</v>
      </c>
      <c r="E2226">
        <v>22.3</v>
      </c>
      <c r="F2226">
        <v>0</v>
      </c>
      <c r="G2226">
        <v>1</v>
      </c>
      <c r="H2226">
        <v>20</v>
      </c>
      <c r="I2226">
        <v>42</v>
      </c>
      <c r="J2226" t="s">
        <v>13</v>
      </c>
    </row>
    <row r="2227" spans="1:10">
      <c r="A2227">
        <v>2226</v>
      </c>
      <c r="B2227" s="1">
        <v>45387</v>
      </c>
      <c r="C2227" t="s">
        <v>14</v>
      </c>
      <c r="D2227">
        <v>399</v>
      </c>
      <c r="E2227">
        <v>0.6</v>
      </c>
      <c r="F2227">
        <v>3</v>
      </c>
      <c r="G2227">
        <v>0</v>
      </c>
      <c r="H2227">
        <v>17</v>
      </c>
      <c r="I2227">
        <v>14</v>
      </c>
      <c r="J2227" t="s">
        <v>13</v>
      </c>
    </row>
    <row r="2228" spans="1:10">
      <c r="A2228">
        <v>2227</v>
      </c>
      <c r="B2228" s="1">
        <v>45475</v>
      </c>
      <c r="C2228" t="s">
        <v>12</v>
      </c>
      <c r="D2228">
        <v>199</v>
      </c>
      <c r="E2228">
        <v>0.6</v>
      </c>
      <c r="F2228">
        <v>0</v>
      </c>
      <c r="G2228">
        <v>0</v>
      </c>
      <c r="H2228">
        <v>26</v>
      </c>
      <c r="I2228">
        <v>51</v>
      </c>
      <c r="J2228" t="s">
        <v>13</v>
      </c>
    </row>
    <row r="2229" spans="1:10">
      <c r="A2229">
        <v>2228</v>
      </c>
      <c r="B2229" s="1">
        <v>45521</v>
      </c>
      <c r="C2229" t="s">
        <v>10</v>
      </c>
      <c r="D2229">
        <v>699</v>
      </c>
      <c r="E2229">
        <v>0.9</v>
      </c>
      <c r="F2229">
        <v>4</v>
      </c>
      <c r="G2229">
        <v>4</v>
      </c>
      <c r="H2229">
        <v>27</v>
      </c>
      <c r="I2229">
        <v>42</v>
      </c>
      <c r="J2229" t="s">
        <v>11</v>
      </c>
    </row>
    <row r="2230" spans="1:10">
      <c r="A2230">
        <v>2229</v>
      </c>
      <c r="B2230" s="1">
        <v>45325</v>
      </c>
      <c r="C2230" t="s">
        <v>12</v>
      </c>
      <c r="D2230">
        <v>199</v>
      </c>
      <c r="E2230">
        <v>16.7</v>
      </c>
      <c r="F2230">
        <v>4</v>
      </c>
      <c r="G2230">
        <v>0</v>
      </c>
      <c r="H2230">
        <v>35</v>
      </c>
      <c r="I2230">
        <v>54</v>
      </c>
      <c r="J2230" t="s">
        <v>11</v>
      </c>
    </row>
    <row r="2231" spans="1:10">
      <c r="A2231">
        <v>2230</v>
      </c>
      <c r="B2231" s="1">
        <v>45263</v>
      </c>
      <c r="C2231" t="s">
        <v>10</v>
      </c>
      <c r="D2231">
        <v>699</v>
      </c>
      <c r="E2231">
        <v>4.8</v>
      </c>
      <c r="F2231">
        <v>3</v>
      </c>
      <c r="G2231">
        <v>0</v>
      </c>
      <c r="H2231">
        <v>22</v>
      </c>
      <c r="I2231">
        <v>43</v>
      </c>
      <c r="J2231" t="s">
        <v>11</v>
      </c>
    </row>
    <row r="2232" spans="1:10">
      <c r="A2232">
        <v>2231</v>
      </c>
      <c r="B2232" s="1">
        <v>45191</v>
      </c>
      <c r="C2232" t="s">
        <v>10</v>
      </c>
      <c r="D2232">
        <v>699</v>
      </c>
      <c r="E2232">
        <v>23.7</v>
      </c>
      <c r="F2232">
        <v>0</v>
      </c>
      <c r="G2232">
        <v>0</v>
      </c>
      <c r="H2232">
        <v>16</v>
      </c>
      <c r="I2232">
        <v>8</v>
      </c>
      <c r="J2232" t="s">
        <v>13</v>
      </c>
    </row>
    <row r="2233" spans="1:10">
      <c r="A2233">
        <v>2232</v>
      </c>
      <c r="B2233" s="1">
        <v>45094</v>
      </c>
      <c r="C2233" t="s">
        <v>12</v>
      </c>
      <c r="D2233">
        <v>199</v>
      </c>
      <c r="E2233">
        <v>17</v>
      </c>
      <c r="F2233">
        <v>6</v>
      </c>
      <c r="G2233">
        <v>1</v>
      </c>
      <c r="H2233">
        <v>19</v>
      </c>
      <c r="I2233">
        <v>57</v>
      </c>
      <c r="J2233" t="s">
        <v>11</v>
      </c>
    </row>
    <row r="2234" spans="1:10">
      <c r="A2234">
        <v>2233</v>
      </c>
      <c r="B2234" s="1">
        <v>45581</v>
      </c>
      <c r="C2234" t="s">
        <v>14</v>
      </c>
      <c r="D2234">
        <v>399</v>
      </c>
      <c r="E2234">
        <v>19.2</v>
      </c>
      <c r="F2234">
        <v>4</v>
      </c>
      <c r="G2234">
        <v>2</v>
      </c>
      <c r="H2234">
        <v>7</v>
      </c>
      <c r="I2234">
        <v>34</v>
      </c>
      <c r="J2234" t="s">
        <v>11</v>
      </c>
    </row>
    <row r="2235" spans="1:10">
      <c r="A2235">
        <v>2234</v>
      </c>
      <c r="B2235" s="1">
        <v>45203</v>
      </c>
      <c r="C2235" t="s">
        <v>12</v>
      </c>
      <c r="D2235">
        <v>199</v>
      </c>
      <c r="E2235">
        <v>24.6</v>
      </c>
      <c r="F2235">
        <v>1</v>
      </c>
      <c r="G2235">
        <v>0</v>
      </c>
      <c r="H2235">
        <v>5</v>
      </c>
      <c r="I2235">
        <v>15</v>
      </c>
      <c r="J2235" t="s">
        <v>11</v>
      </c>
    </row>
    <row r="2236" spans="1:10">
      <c r="A2236">
        <v>2235</v>
      </c>
      <c r="B2236" s="1">
        <v>45474</v>
      </c>
      <c r="C2236" t="s">
        <v>12</v>
      </c>
      <c r="D2236">
        <v>199</v>
      </c>
      <c r="E2236">
        <v>19.2</v>
      </c>
      <c r="F2236">
        <v>5</v>
      </c>
      <c r="G2236">
        <v>0</v>
      </c>
      <c r="H2236">
        <v>8</v>
      </c>
      <c r="I2236">
        <v>32</v>
      </c>
      <c r="J2236" t="s">
        <v>13</v>
      </c>
    </row>
    <row r="2237" spans="1:10">
      <c r="A2237">
        <v>2236</v>
      </c>
      <c r="B2237" s="1">
        <v>45288</v>
      </c>
      <c r="C2237" t="s">
        <v>14</v>
      </c>
      <c r="D2237">
        <v>399</v>
      </c>
      <c r="E2237">
        <v>3.5</v>
      </c>
      <c r="F2237">
        <v>4</v>
      </c>
      <c r="G2237">
        <v>0</v>
      </c>
      <c r="H2237">
        <v>33</v>
      </c>
      <c r="I2237">
        <v>22</v>
      </c>
      <c r="J2237" t="s">
        <v>13</v>
      </c>
    </row>
    <row r="2238" spans="1:10">
      <c r="A2238">
        <v>2237</v>
      </c>
      <c r="B2238" s="1">
        <v>45562</v>
      </c>
      <c r="C2238" t="s">
        <v>12</v>
      </c>
      <c r="D2238">
        <v>199</v>
      </c>
      <c r="E2238">
        <v>20.3</v>
      </c>
      <c r="F2238">
        <v>8</v>
      </c>
      <c r="G2238">
        <v>2</v>
      </c>
      <c r="H2238">
        <v>25</v>
      </c>
      <c r="I2238">
        <v>46</v>
      </c>
      <c r="J2238" t="s">
        <v>11</v>
      </c>
    </row>
    <row r="2239" spans="1:10">
      <c r="A2239">
        <v>2238</v>
      </c>
      <c r="B2239" s="1">
        <v>45474</v>
      </c>
      <c r="C2239" t="s">
        <v>12</v>
      </c>
      <c r="D2239">
        <v>199</v>
      </c>
      <c r="E2239">
        <v>4.5</v>
      </c>
      <c r="F2239">
        <v>5</v>
      </c>
      <c r="G2239">
        <v>1</v>
      </c>
      <c r="H2239">
        <v>5</v>
      </c>
      <c r="I2239">
        <v>33</v>
      </c>
      <c r="J2239" t="s">
        <v>13</v>
      </c>
    </row>
    <row r="2240" spans="1:10">
      <c r="A2240">
        <v>2239</v>
      </c>
      <c r="B2240" s="1">
        <v>45369</v>
      </c>
      <c r="C2240" t="s">
        <v>12</v>
      </c>
      <c r="D2240">
        <v>199</v>
      </c>
      <c r="E2240">
        <v>24.8</v>
      </c>
      <c r="F2240">
        <v>5</v>
      </c>
      <c r="G2240">
        <v>0</v>
      </c>
      <c r="H2240">
        <v>31</v>
      </c>
      <c r="I2240">
        <v>21</v>
      </c>
      <c r="J2240" t="s">
        <v>13</v>
      </c>
    </row>
    <row r="2241" spans="1:10">
      <c r="A2241">
        <v>2240</v>
      </c>
      <c r="B2241" s="1">
        <v>45579</v>
      </c>
      <c r="C2241" t="s">
        <v>12</v>
      </c>
      <c r="D2241">
        <v>199</v>
      </c>
      <c r="E2241">
        <v>19.5</v>
      </c>
      <c r="F2241">
        <v>6</v>
      </c>
      <c r="G2241">
        <v>1</v>
      </c>
      <c r="H2241">
        <v>33</v>
      </c>
      <c r="I2241">
        <v>10</v>
      </c>
      <c r="J2241" t="s">
        <v>11</v>
      </c>
    </row>
    <row r="2242" spans="1:10">
      <c r="A2242">
        <v>2241</v>
      </c>
      <c r="B2242" s="1">
        <v>45433</v>
      </c>
      <c r="C2242" t="s">
        <v>14</v>
      </c>
      <c r="D2242">
        <v>399</v>
      </c>
      <c r="E2242">
        <v>24.4</v>
      </c>
      <c r="F2242">
        <v>3</v>
      </c>
      <c r="G2242">
        <v>5</v>
      </c>
      <c r="H2242">
        <v>5</v>
      </c>
      <c r="I2242">
        <v>59</v>
      </c>
      <c r="J2242" t="s">
        <v>13</v>
      </c>
    </row>
    <row r="2243" spans="1:10">
      <c r="A2243">
        <v>2242</v>
      </c>
      <c r="B2243" s="1">
        <v>45390</v>
      </c>
      <c r="C2243" t="s">
        <v>10</v>
      </c>
      <c r="D2243">
        <v>699</v>
      </c>
      <c r="E2243">
        <v>10</v>
      </c>
      <c r="F2243">
        <v>5</v>
      </c>
      <c r="G2243">
        <v>1</v>
      </c>
      <c r="H2243">
        <v>30</v>
      </c>
      <c r="I2243">
        <v>57</v>
      </c>
      <c r="J2243" t="s">
        <v>11</v>
      </c>
    </row>
    <row r="2244" spans="1:10">
      <c r="A2244">
        <v>2243</v>
      </c>
      <c r="B2244" s="1">
        <v>45273</v>
      </c>
      <c r="C2244" t="s">
        <v>12</v>
      </c>
      <c r="D2244">
        <v>199</v>
      </c>
      <c r="E2244">
        <v>14.5</v>
      </c>
      <c r="F2244">
        <v>0</v>
      </c>
      <c r="G2244">
        <v>5</v>
      </c>
      <c r="H2244">
        <v>1</v>
      </c>
      <c r="I2244">
        <v>59</v>
      </c>
      <c r="J2244" t="s">
        <v>11</v>
      </c>
    </row>
    <row r="2245" spans="1:10">
      <c r="A2245">
        <v>2244</v>
      </c>
      <c r="B2245" s="1">
        <v>45535</v>
      </c>
      <c r="C2245" t="s">
        <v>14</v>
      </c>
      <c r="D2245">
        <v>399</v>
      </c>
      <c r="E2245">
        <v>24.3</v>
      </c>
      <c r="F2245">
        <v>7</v>
      </c>
      <c r="G2245">
        <v>0</v>
      </c>
      <c r="H2245">
        <v>1</v>
      </c>
      <c r="I2245">
        <v>8</v>
      </c>
      <c r="J2245" t="s">
        <v>13</v>
      </c>
    </row>
    <row r="2246" spans="1:10">
      <c r="A2246">
        <v>2245</v>
      </c>
      <c r="B2246" s="1">
        <v>45491</v>
      </c>
      <c r="C2246" t="s">
        <v>10</v>
      </c>
      <c r="D2246">
        <v>699</v>
      </c>
      <c r="E2246">
        <v>19.3</v>
      </c>
      <c r="F2246">
        <v>2</v>
      </c>
      <c r="G2246">
        <v>3</v>
      </c>
      <c r="H2246">
        <v>36</v>
      </c>
      <c r="I2246">
        <v>31</v>
      </c>
      <c r="J2246" t="s">
        <v>11</v>
      </c>
    </row>
    <row r="2247" spans="1:10">
      <c r="A2247">
        <v>2246</v>
      </c>
      <c r="B2247" s="1">
        <v>45476</v>
      </c>
      <c r="C2247" t="s">
        <v>10</v>
      </c>
      <c r="D2247">
        <v>699</v>
      </c>
      <c r="E2247">
        <v>3.4</v>
      </c>
      <c r="F2247">
        <v>0</v>
      </c>
      <c r="G2247">
        <v>5</v>
      </c>
      <c r="H2247">
        <v>22</v>
      </c>
      <c r="I2247">
        <v>20</v>
      </c>
      <c r="J2247" t="s">
        <v>11</v>
      </c>
    </row>
    <row r="2248" spans="1:10">
      <c r="A2248">
        <v>2247</v>
      </c>
      <c r="B2248" s="1">
        <v>45067</v>
      </c>
      <c r="C2248" t="s">
        <v>14</v>
      </c>
      <c r="D2248">
        <v>399</v>
      </c>
      <c r="E2248">
        <v>1.5</v>
      </c>
      <c r="F2248">
        <v>1</v>
      </c>
      <c r="G2248">
        <v>0</v>
      </c>
      <c r="H2248">
        <v>19</v>
      </c>
      <c r="I2248">
        <v>60</v>
      </c>
      <c r="J2248" t="s">
        <v>11</v>
      </c>
    </row>
    <row r="2249" spans="1:10">
      <c r="A2249">
        <v>2248</v>
      </c>
      <c r="B2249" s="1">
        <v>45003</v>
      </c>
      <c r="C2249" t="s">
        <v>10</v>
      </c>
      <c r="D2249">
        <v>699</v>
      </c>
      <c r="E2249">
        <v>20.5</v>
      </c>
      <c r="F2249">
        <v>2</v>
      </c>
      <c r="G2249">
        <v>2</v>
      </c>
      <c r="H2249">
        <v>17</v>
      </c>
      <c r="I2249">
        <v>21</v>
      </c>
      <c r="J2249" t="s">
        <v>13</v>
      </c>
    </row>
    <row r="2250" spans="1:10">
      <c r="A2250">
        <v>2249</v>
      </c>
      <c r="B2250" s="1">
        <v>44953</v>
      </c>
      <c r="C2250" t="s">
        <v>10</v>
      </c>
      <c r="D2250">
        <v>699</v>
      </c>
      <c r="E2250">
        <v>2.2999999999999998</v>
      </c>
      <c r="F2250">
        <v>4</v>
      </c>
      <c r="G2250">
        <v>5</v>
      </c>
      <c r="H2250">
        <v>24</v>
      </c>
      <c r="I2250">
        <v>19</v>
      </c>
      <c r="J2250" t="s">
        <v>11</v>
      </c>
    </row>
    <row r="2251" spans="1:10">
      <c r="A2251">
        <v>2250</v>
      </c>
      <c r="B2251" s="1">
        <v>45540</v>
      </c>
      <c r="C2251" t="s">
        <v>14</v>
      </c>
      <c r="D2251">
        <v>399</v>
      </c>
      <c r="E2251">
        <v>5</v>
      </c>
      <c r="F2251">
        <v>1</v>
      </c>
      <c r="G2251">
        <v>1</v>
      </c>
      <c r="H2251">
        <v>21</v>
      </c>
      <c r="I2251">
        <v>59</v>
      </c>
      <c r="J2251" t="s">
        <v>13</v>
      </c>
    </row>
    <row r="2252" spans="1:10">
      <c r="A2252">
        <v>2251</v>
      </c>
      <c r="B2252" s="1">
        <v>45114</v>
      </c>
      <c r="C2252" t="s">
        <v>12</v>
      </c>
      <c r="D2252">
        <v>199</v>
      </c>
      <c r="E2252">
        <v>3.3</v>
      </c>
      <c r="F2252">
        <v>4</v>
      </c>
      <c r="G2252">
        <v>2</v>
      </c>
      <c r="H2252">
        <v>24</v>
      </c>
      <c r="I2252">
        <v>20</v>
      </c>
      <c r="J2252" t="s">
        <v>13</v>
      </c>
    </row>
    <row r="2253" spans="1:10">
      <c r="A2253">
        <v>2252</v>
      </c>
      <c r="B2253" s="1">
        <v>45490</v>
      </c>
      <c r="C2253" t="s">
        <v>10</v>
      </c>
      <c r="D2253">
        <v>699</v>
      </c>
      <c r="E2253">
        <v>14.8</v>
      </c>
      <c r="F2253">
        <v>1</v>
      </c>
      <c r="G2253">
        <v>1</v>
      </c>
      <c r="H2253">
        <v>14</v>
      </c>
      <c r="I2253">
        <v>3</v>
      </c>
      <c r="J2253" t="s">
        <v>13</v>
      </c>
    </row>
    <row r="2254" spans="1:10">
      <c r="A2254">
        <v>2253</v>
      </c>
      <c r="B2254" s="1">
        <v>45231</v>
      </c>
      <c r="C2254" t="s">
        <v>10</v>
      </c>
      <c r="D2254">
        <v>699</v>
      </c>
      <c r="E2254">
        <v>20.399999999999999</v>
      </c>
      <c r="F2254">
        <v>8</v>
      </c>
      <c r="G2254">
        <v>4</v>
      </c>
      <c r="H2254">
        <v>6</v>
      </c>
      <c r="I2254">
        <v>55</v>
      </c>
      <c r="J2254" t="s">
        <v>11</v>
      </c>
    </row>
    <row r="2255" spans="1:10">
      <c r="A2255">
        <v>2254</v>
      </c>
      <c r="B2255" s="1">
        <v>45357</v>
      </c>
      <c r="C2255" t="s">
        <v>10</v>
      </c>
      <c r="D2255">
        <v>699</v>
      </c>
      <c r="E2255">
        <v>3</v>
      </c>
      <c r="F2255">
        <v>6</v>
      </c>
      <c r="G2255">
        <v>0</v>
      </c>
      <c r="H2255">
        <v>20</v>
      </c>
      <c r="I2255">
        <v>19</v>
      </c>
      <c r="J2255" t="s">
        <v>13</v>
      </c>
    </row>
    <row r="2256" spans="1:10">
      <c r="A2256">
        <v>2255</v>
      </c>
      <c r="B2256" s="1">
        <v>45529</v>
      </c>
      <c r="C2256" t="s">
        <v>12</v>
      </c>
      <c r="D2256">
        <v>199</v>
      </c>
      <c r="E2256">
        <v>7.1</v>
      </c>
      <c r="F2256">
        <v>0</v>
      </c>
      <c r="G2256">
        <v>1</v>
      </c>
      <c r="H2256">
        <v>22</v>
      </c>
      <c r="I2256">
        <v>4</v>
      </c>
      <c r="J2256" t="s">
        <v>11</v>
      </c>
    </row>
    <row r="2257" spans="1:10">
      <c r="A2257">
        <v>2256</v>
      </c>
      <c r="B2257" s="1">
        <v>45481</v>
      </c>
      <c r="C2257" t="s">
        <v>12</v>
      </c>
      <c r="D2257">
        <v>199</v>
      </c>
      <c r="E2257">
        <v>22.3</v>
      </c>
      <c r="F2257">
        <v>0</v>
      </c>
      <c r="G2257">
        <v>3</v>
      </c>
      <c r="H2257">
        <v>7</v>
      </c>
      <c r="I2257">
        <v>51</v>
      </c>
      <c r="J2257" t="s">
        <v>11</v>
      </c>
    </row>
    <row r="2258" spans="1:10">
      <c r="A2258">
        <v>2257</v>
      </c>
      <c r="B2258" s="1">
        <v>45116</v>
      </c>
      <c r="C2258" t="s">
        <v>12</v>
      </c>
      <c r="D2258">
        <v>199</v>
      </c>
      <c r="E2258">
        <v>4.4000000000000004</v>
      </c>
      <c r="F2258">
        <v>8</v>
      </c>
      <c r="G2258">
        <v>1</v>
      </c>
      <c r="H2258">
        <v>17</v>
      </c>
      <c r="I2258">
        <v>5</v>
      </c>
      <c r="J2258" t="s">
        <v>11</v>
      </c>
    </row>
    <row r="2259" spans="1:10">
      <c r="A2259">
        <v>2258</v>
      </c>
      <c r="B2259" s="1">
        <v>45056</v>
      </c>
      <c r="C2259" t="s">
        <v>10</v>
      </c>
      <c r="D2259">
        <v>699</v>
      </c>
      <c r="E2259">
        <v>16</v>
      </c>
      <c r="F2259">
        <v>0</v>
      </c>
      <c r="G2259">
        <v>3</v>
      </c>
      <c r="H2259">
        <v>7</v>
      </c>
      <c r="I2259">
        <v>13</v>
      </c>
      <c r="J2259" t="s">
        <v>13</v>
      </c>
    </row>
    <row r="2260" spans="1:10">
      <c r="A2260">
        <v>2259</v>
      </c>
      <c r="B2260" s="1">
        <v>45206</v>
      </c>
      <c r="C2260" t="s">
        <v>12</v>
      </c>
      <c r="D2260">
        <v>199</v>
      </c>
      <c r="E2260">
        <v>6.3</v>
      </c>
      <c r="F2260">
        <v>6</v>
      </c>
      <c r="G2260">
        <v>0</v>
      </c>
      <c r="H2260">
        <v>33</v>
      </c>
      <c r="I2260">
        <v>43</v>
      </c>
      <c r="J2260" t="s">
        <v>13</v>
      </c>
    </row>
    <row r="2261" spans="1:10">
      <c r="A2261">
        <v>2260</v>
      </c>
      <c r="B2261" s="1">
        <v>45609</v>
      </c>
      <c r="C2261" t="s">
        <v>10</v>
      </c>
      <c r="D2261">
        <v>699</v>
      </c>
      <c r="E2261">
        <v>12.6</v>
      </c>
      <c r="F2261">
        <v>3</v>
      </c>
      <c r="G2261">
        <v>0</v>
      </c>
      <c r="H2261">
        <v>13</v>
      </c>
      <c r="I2261">
        <v>27</v>
      </c>
      <c r="J2261" t="s">
        <v>11</v>
      </c>
    </row>
    <row r="2262" spans="1:10">
      <c r="A2262">
        <v>2261</v>
      </c>
      <c r="B2262" s="1">
        <v>45531</v>
      </c>
      <c r="C2262" t="s">
        <v>14</v>
      </c>
      <c r="D2262">
        <v>399</v>
      </c>
      <c r="E2262">
        <v>20.7</v>
      </c>
      <c r="F2262">
        <v>4</v>
      </c>
      <c r="G2262">
        <v>2</v>
      </c>
      <c r="H2262">
        <v>13</v>
      </c>
      <c r="I2262">
        <v>8</v>
      </c>
      <c r="J2262" t="s">
        <v>11</v>
      </c>
    </row>
    <row r="2263" spans="1:10">
      <c r="A2263">
        <v>2262</v>
      </c>
      <c r="B2263" s="1">
        <v>45546</v>
      </c>
      <c r="C2263" t="s">
        <v>14</v>
      </c>
      <c r="D2263">
        <v>399</v>
      </c>
      <c r="E2263">
        <v>7.1</v>
      </c>
      <c r="F2263">
        <v>1</v>
      </c>
      <c r="G2263">
        <v>5</v>
      </c>
      <c r="H2263">
        <v>19</v>
      </c>
      <c r="I2263">
        <v>26</v>
      </c>
      <c r="J2263" t="s">
        <v>11</v>
      </c>
    </row>
    <row r="2264" spans="1:10">
      <c r="A2264">
        <v>2263</v>
      </c>
      <c r="B2264" s="1">
        <v>45634</v>
      </c>
      <c r="C2264" t="s">
        <v>14</v>
      </c>
      <c r="D2264">
        <v>399</v>
      </c>
      <c r="E2264">
        <v>24.5</v>
      </c>
      <c r="F2264">
        <v>6</v>
      </c>
      <c r="G2264">
        <v>4</v>
      </c>
      <c r="H2264">
        <v>1</v>
      </c>
      <c r="I2264">
        <v>12</v>
      </c>
      <c r="J2264" t="s">
        <v>13</v>
      </c>
    </row>
    <row r="2265" spans="1:10">
      <c r="A2265">
        <v>2264</v>
      </c>
      <c r="B2265" s="1">
        <v>44968</v>
      </c>
      <c r="C2265" t="s">
        <v>12</v>
      </c>
      <c r="D2265">
        <v>199</v>
      </c>
      <c r="E2265">
        <v>20.5</v>
      </c>
      <c r="F2265">
        <v>1</v>
      </c>
      <c r="G2265">
        <v>5</v>
      </c>
      <c r="H2265">
        <v>12</v>
      </c>
      <c r="I2265">
        <v>15</v>
      </c>
      <c r="J2265" t="s">
        <v>11</v>
      </c>
    </row>
    <row r="2266" spans="1:10">
      <c r="A2266">
        <v>2265</v>
      </c>
      <c r="B2266" s="1">
        <v>45150</v>
      </c>
      <c r="C2266" t="s">
        <v>12</v>
      </c>
      <c r="D2266">
        <v>199</v>
      </c>
      <c r="E2266">
        <v>18.7</v>
      </c>
      <c r="F2266">
        <v>1</v>
      </c>
      <c r="G2266">
        <v>5</v>
      </c>
      <c r="H2266">
        <v>16</v>
      </c>
      <c r="I2266">
        <v>25</v>
      </c>
      <c r="J2266" t="s">
        <v>11</v>
      </c>
    </row>
    <row r="2267" spans="1:10">
      <c r="A2267">
        <v>2266</v>
      </c>
      <c r="B2267" s="1">
        <v>44941</v>
      </c>
      <c r="C2267" t="s">
        <v>14</v>
      </c>
      <c r="D2267">
        <v>399</v>
      </c>
      <c r="E2267">
        <v>14.6</v>
      </c>
      <c r="F2267">
        <v>3</v>
      </c>
      <c r="G2267">
        <v>5</v>
      </c>
      <c r="H2267">
        <v>8</v>
      </c>
      <c r="I2267">
        <v>7</v>
      </c>
      <c r="J2267" t="s">
        <v>13</v>
      </c>
    </row>
    <row r="2268" spans="1:10">
      <c r="A2268">
        <v>2267</v>
      </c>
      <c r="B2268" s="1">
        <v>45053</v>
      </c>
      <c r="C2268" t="s">
        <v>14</v>
      </c>
      <c r="D2268">
        <v>399</v>
      </c>
      <c r="E2268">
        <v>8.9</v>
      </c>
      <c r="F2268">
        <v>7</v>
      </c>
      <c r="G2268">
        <v>1</v>
      </c>
      <c r="H2268">
        <v>7</v>
      </c>
      <c r="I2268">
        <v>9</v>
      </c>
      <c r="J2268" t="s">
        <v>13</v>
      </c>
    </row>
    <row r="2269" spans="1:10">
      <c r="A2269">
        <v>2268</v>
      </c>
      <c r="B2269" s="1">
        <v>45381</v>
      </c>
      <c r="C2269" t="s">
        <v>14</v>
      </c>
      <c r="D2269">
        <v>399</v>
      </c>
      <c r="E2269">
        <v>24.4</v>
      </c>
      <c r="F2269">
        <v>6</v>
      </c>
      <c r="G2269">
        <v>5</v>
      </c>
      <c r="H2269">
        <v>21</v>
      </c>
      <c r="I2269">
        <v>33</v>
      </c>
      <c r="J2269" t="s">
        <v>11</v>
      </c>
    </row>
    <row r="2270" spans="1:10">
      <c r="A2270">
        <v>2269</v>
      </c>
      <c r="B2270" s="1">
        <v>45608</v>
      </c>
      <c r="C2270" t="s">
        <v>10</v>
      </c>
      <c r="D2270">
        <v>699</v>
      </c>
      <c r="E2270">
        <v>21.5</v>
      </c>
      <c r="F2270">
        <v>2</v>
      </c>
      <c r="G2270">
        <v>1</v>
      </c>
      <c r="H2270">
        <v>13</v>
      </c>
      <c r="I2270">
        <v>24</v>
      </c>
      <c r="J2270" t="s">
        <v>13</v>
      </c>
    </row>
    <row r="2271" spans="1:10">
      <c r="A2271">
        <v>2270</v>
      </c>
      <c r="B2271" s="1">
        <v>45370</v>
      </c>
      <c r="C2271" t="s">
        <v>10</v>
      </c>
      <c r="D2271">
        <v>699</v>
      </c>
      <c r="E2271">
        <v>12.5</v>
      </c>
      <c r="F2271">
        <v>4</v>
      </c>
      <c r="G2271">
        <v>3</v>
      </c>
      <c r="H2271">
        <v>16</v>
      </c>
      <c r="I2271">
        <v>3</v>
      </c>
      <c r="J2271" t="s">
        <v>11</v>
      </c>
    </row>
    <row r="2272" spans="1:10">
      <c r="A2272">
        <v>2271</v>
      </c>
      <c r="B2272" s="1">
        <v>45135</v>
      </c>
      <c r="C2272" t="s">
        <v>14</v>
      </c>
      <c r="D2272">
        <v>399</v>
      </c>
      <c r="E2272">
        <v>2</v>
      </c>
      <c r="F2272">
        <v>0</v>
      </c>
      <c r="G2272">
        <v>5</v>
      </c>
      <c r="H2272">
        <v>11</v>
      </c>
      <c r="I2272">
        <v>29</v>
      </c>
      <c r="J2272" t="s">
        <v>11</v>
      </c>
    </row>
    <row r="2273" spans="1:10">
      <c r="A2273">
        <v>2272</v>
      </c>
      <c r="B2273" s="1">
        <v>44941</v>
      </c>
      <c r="C2273" t="s">
        <v>14</v>
      </c>
      <c r="D2273">
        <v>399</v>
      </c>
      <c r="E2273">
        <v>22.1</v>
      </c>
      <c r="F2273">
        <v>2</v>
      </c>
      <c r="G2273">
        <v>2</v>
      </c>
      <c r="H2273">
        <v>8</v>
      </c>
      <c r="I2273">
        <v>17</v>
      </c>
      <c r="J2273" t="s">
        <v>11</v>
      </c>
    </row>
    <row r="2274" spans="1:10">
      <c r="A2274">
        <v>2273</v>
      </c>
      <c r="B2274" s="1">
        <v>45387</v>
      </c>
      <c r="C2274" t="s">
        <v>14</v>
      </c>
      <c r="D2274">
        <v>399</v>
      </c>
      <c r="E2274">
        <v>2.1</v>
      </c>
      <c r="F2274">
        <v>7</v>
      </c>
      <c r="G2274">
        <v>2</v>
      </c>
      <c r="H2274">
        <v>34</v>
      </c>
      <c r="I2274">
        <v>19</v>
      </c>
      <c r="J2274" t="s">
        <v>11</v>
      </c>
    </row>
    <row r="2275" spans="1:10">
      <c r="A2275">
        <v>2274</v>
      </c>
      <c r="B2275" s="1">
        <v>45375</v>
      </c>
      <c r="C2275" t="s">
        <v>12</v>
      </c>
      <c r="D2275">
        <v>199</v>
      </c>
      <c r="E2275">
        <v>21.1</v>
      </c>
      <c r="F2275">
        <v>6</v>
      </c>
      <c r="G2275">
        <v>2</v>
      </c>
      <c r="H2275">
        <v>18</v>
      </c>
      <c r="I2275">
        <v>10</v>
      </c>
      <c r="J2275" t="s">
        <v>11</v>
      </c>
    </row>
    <row r="2276" spans="1:10">
      <c r="A2276">
        <v>2275</v>
      </c>
      <c r="B2276" s="1">
        <v>45491</v>
      </c>
      <c r="C2276" t="s">
        <v>12</v>
      </c>
      <c r="D2276">
        <v>199</v>
      </c>
      <c r="E2276">
        <v>19.600000000000001</v>
      </c>
      <c r="F2276">
        <v>7</v>
      </c>
      <c r="G2276">
        <v>3</v>
      </c>
      <c r="H2276">
        <v>2</v>
      </c>
      <c r="I2276">
        <v>14</v>
      </c>
      <c r="J2276" t="s">
        <v>13</v>
      </c>
    </row>
    <row r="2277" spans="1:10">
      <c r="A2277">
        <v>2276</v>
      </c>
      <c r="B2277" s="1">
        <v>45205</v>
      </c>
      <c r="C2277" t="s">
        <v>10</v>
      </c>
      <c r="D2277">
        <v>699</v>
      </c>
      <c r="E2277">
        <v>3.2</v>
      </c>
      <c r="F2277">
        <v>5</v>
      </c>
      <c r="G2277">
        <v>4</v>
      </c>
      <c r="H2277">
        <v>10</v>
      </c>
      <c r="I2277">
        <v>16</v>
      </c>
      <c r="J2277" t="s">
        <v>11</v>
      </c>
    </row>
    <row r="2278" spans="1:10">
      <c r="A2278">
        <v>2277</v>
      </c>
      <c r="B2278" s="1">
        <v>45036</v>
      </c>
      <c r="C2278" t="s">
        <v>10</v>
      </c>
      <c r="D2278">
        <v>699</v>
      </c>
      <c r="E2278">
        <v>20.100000000000001</v>
      </c>
      <c r="F2278">
        <v>6</v>
      </c>
      <c r="G2278">
        <v>0</v>
      </c>
      <c r="H2278">
        <v>34</v>
      </c>
      <c r="I2278">
        <v>4</v>
      </c>
      <c r="J2278" t="s">
        <v>13</v>
      </c>
    </row>
    <row r="2279" spans="1:10">
      <c r="A2279">
        <v>2278</v>
      </c>
      <c r="B2279" s="1">
        <v>45555</v>
      </c>
      <c r="C2279" t="s">
        <v>12</v>
      </c>
      <c r="D2279">
        <v>199</v>
      </c>
      <c r="E2279">
        <v>6.7</v>
      </c>
      <c r="F2279">
        <v>3</v>
      </c>
      <c r="G2279">
        <v>5</v>
      </c>
      <c r="H2279">
        <v>19</v>
      </c>
      <c r="I2279">
        <v>59</v>
      </c>
      <c r="J2279" t="s">
        <v>11</v>
      </c>
    </row>
    <row r="2280" spans="1:10">
      <c r="A2280">
        <v>2279</v>
      </c>
      <c r="B2280" s="1">
        <v>44947</v>
      </c>
      <c r="C2280" t="s">
        <v>10</v>
      </c>
      <c r="D2280">
        <v>699</v>
      </c>
      <c r="E2280">
        <v>23.1</v>
      </c>
      <c r="F2280">
        <v>7</v>
      </c>
      <c r="G2280">
        <v>4</v>
      </c>
      <c r="H2280">
        <v>34</v>
      </c>
      <c r="I2280">
        <v>0</v>
      </c>
      <c r="J2280" t="s">
        <v>11</v>
      </c>
    </row>
    <row r="2281" spans="1:10">
      <c r="A2281">
        <v>2280</v>
      </c>
      <c r="B2281" s="1">
        <v>45038</v>
      </c>
      <c r="C2281" t="s">
        <v>14</v>
      </c>
      <c r="D2281">
        <v>399</v>
      </c>
      <c r="E2281">
        <v>10.8</v>
      </c>
      <c r="F2281">
        <v>5</v>
      </c>
      <c r="G2281">
        <v>0</v>
      </c>
      <c r="H2281">
        <v>36</v>
      </c>
      <c r="I2281">
        <v>30</v>
      </c>
      <c r="J2281" t="s">
        <v>11</v>
      </c>
    </row>
    <row r="2282" spans="1:10">
      <c r="A2282">
        <v>2281</v>
      </c>
      <c r="B2282" s="1">
        <v>45527</v>
      </c>
      <c r="C2282" t="s">
        <v>10</v>
      </c>
      <c r="D2282">
        <v>699</v>
      </c>
      <c r="E2282">
        <v>18.2</v>
      </c>
      <c r="F2282">
        <v>6</v>
      </c>
      <c r="G2282">
        <v>2</v>
      </c>
      <c r="H2282">
        <v>20</v>
      </c>
      <c r="I2282">
        <v>44</v>
      </c>
      <c r="J2282" t="s">
        <v>13</v>
      </c>
    </row>
    <row r="2283" spans="1:10">
      <c r="A2283">
        <v>2282</v>
      </c>
      <c r="B2283" s="1">
        <v>45127</v>
      </c>
      <c r="C2283" t="s">
        <v>12</v>
      </c>
      <c r="D2283">
        <v>199</v>
      </c>
      <c r="E2283">
        <v>16.899999999999999</v>
      </c>
      <c r="F2283">
        <v>5</v>
      </c>
      <c r="G2283">
        <v>0</v>
      </c>
      <c r="H2283">
        <v>26</v>
      </c>
      <c r="I2283">
        <v>24</v>
      </c>
      <c r="J2283" t="s">
        <v>11</v>
      </c>
    </row>
    <row r="2284" spans="1:10">
      <c r="A2284">
        <v>2283</v>
      </c>
      <c r="B2284" s="1">
        <v>45472</v>
      </c>
      <c r="C2284" t="s">
        <v>12</v>
      </c>
      <c r="D2284">
        <v>199</v>
      </c>
      <c r="E2284">
        <v>1.6</v>
      </c>
      <c r="F2284">
        <v>5</v>
      </c>
      <c r="G2284">
        <v>2</v>
      </c>
      <c r="H2284">
        <v>21</v>
      </c>
      <c r="I2284">
        <v>30</v>
      </c>
      <c r="J2284" t="s">
        <v>11</v>
      </c>
    </row>
    <row r="2285" spans="1:10">
      <c r="A2285">
        <v>2284</v>
      </c>
      <c r="B2285" s="1">
        <v>45505</v>
      </c>
      <c r="C2285" t="s">
        <v>14</v>
      </c>
      <c r="D2285">
        <v>399</v>
      </c>
      <c r="E2285">
        <v>6.1</v>
      </c>
      <c r="F2285">
        <v>8</v>
      </c>
      <c r="G2285">
        <v>0</v>
      </c>
      <c r="H2285">
        <v>32</v>
      </c>
      <c r="I2285">
        <v>44</v>
      </c>
      <c r="J2285" t="s">
        <v>11</v>
      </c>
    </row>
    <row r="2286" spans="1:10">
      <c r="A2286">
        <v>2285</v>
      </c>
      <c r="B2286" s="1">
        <v>45001</v>
      </c>
      <c r="C2286" t="s">
        <v>12</v>
      </c>
      <c r="D2286">
        <v>199</v>
      </c>
      <c r="E2286">
        <v>10.6</v>
      </c>
      <c r="F2286">
        <v>0</v>
      </c>
      <c r="G2286">
        <v>1</v>
      </c>
      <c r="H2286">
        <v>15</v>
      </c>
      <c r="I2286">
        <v>29</v>
      </c>
      <c r="J2286" t="s">
        <v>13</v>
      </c>
    </row>
    <row r="2287" spans="1:10">
      <c r="A2287">
        <v>2286</v>
      </c>
      <c r="B2287" s="1">
        <v>45306</v>
      </c>
      <c r="C2287" t="s">
        <v>12</v>
      </c>
      <c r="D2287">
        <v>199</v>
      </c>
      <c r="E2287">
        <v>11.3</v>
      </c>
      <c r="F2287">
        <v>2</v>
      </c>
      <c r="G2287">
        <v>1</v>
      </c>
      <c r="H2287">
        <v>36</v>
      </c>
      <c r="I2287">
        <v>47</v>
      </c>
      <c r="J2287" t="s">
        <v>11</v>
      </c>
    </row>
    <row r="2288" spans="1:10">
      <c r="A2288">
        <v>2287</v>
      </c>
      <c r="B2288" s="1">
        <v>45387</v>
      </c>
      <c r="C2288" t="s">
        <v>12</v>
      </c>
      <c r="D2288">
        <v>199</v>
      </c>
      <c r="E2288">
        <v>6.8</v>
      </c>
      <c r="F2288">
        <v>6</v>
      </c>
      <c r="G2288">
        <v>0</v>
      </c>
      <c r="H2288">
        <v>3</v>
      </c>
      <c r="I2288">
        <v>17</v>
      </c>
      <c r="J2288" t="s">
        <v>13</v>
      </c>
    </row>
    <row r="2289" spans="1:10">
      <c r="A2289">
        <v>2288</v>
      </c>
      <c r="B2289" s="1">
        <v>45183</v>
      </c>
      <c r="C2289" t="s">
        <v>12</v>
      </c>
      <c r="D2289">
        <v>199</v>
      </c>
      <c r="E2289">
        <v>8.8000000000000007</v>
      </c>
      <c r="F2289">
        <v>3</v>
      </c>
      <c r="G2289">
        <v>4</v>
      </c>
      <c r="H2289">
        <v>6</v>
      </c>
      <c r="I2289">
        <v>7</v>
      </c>
      <c r="J2289" t="s">
        <v>11</v>
      </c>
    </row>
    <row r="2290" spans="1:10">
      <c r="A2290">
        <v>2289</v>
      </c>
      <c r="B2290" s="1">
        <v>45481</v>
      </c>
      <c r="C2290" t="s">
        <v>10</v>
      </c>
      <c r="D2290">
        <v>699</v>
      </c>
      <c r="E2290">
        <v>18.8</v>
      </c>
      <c r="F2290">
        <v>3</v>
      </c>
      <c r="G2290">
        <v>0</v>
      </c>
      <c r="H2290">
        <v>35</v>
      </c>
      <c r="I2290">
        <v>30</v>
      </c>
      <c r="J2290" t="s">
        <v>13</v>
      </c>
    </row>
    <row r="2291" spans="1:10">
      <c r="A2291">
        <v>2290</v>
      </c>
      <c r="B2291" s="1">
        <v>45265</v>
      </c>
      <c r="C2291" t="s">
        <v>12</v>
      </c>
      <c r="D2291">
        <v>199</v>
      </c>
      <c r="E2291">
        <v>23.2</v>
      </c>
      <c r="F2291">
        <v>7</v>
      </c>
      <c r="G2291">
        <v>1</v>
      </c>
      <c r="H2291">
        <v>1</v>
      </c>
      <c r="I2291">
        <v>50</v>
      </c>
      <c r="J2291" t="s">
        <v>11</v>
      </c>
    </row>
    <row r="2292" spans="1:10">
      <c r="A2292">
        <v>2291</v>
      </c>
      <c r="B2292" s="1">
        <v>45640</v>
      </c>
      <c r="C2292" t="s">
        <v>12</v>
      </c>
      <c r="D2292">
        <v>199</v>
      </c>
      <c r="E2292">
        <v>12.8</v>
      </c>
      <c r="F2292">
        <v>3</v>
      </c>
      <c r="G2292">
        <v>4</v>
      </c>
      <c r="H2292">
        <v>6</v>
      </c>
      <c r="I2292">
        <v>17</v>
      </c>
      <c r="J2292" t="s">
        <v>11</v>
      </c>
    </row>
    <row r="2293" spans="1:10">
      <c r="A2293">
        <v>2292</v>
      </c>
      <c r="B2293" s="1">
        <v>45026</v>
      </c>
      <c r="C2293" t="s">
        <v>14</v>
      </c>
      <c r="D2293">
        <v>399</v>
      </c>
      <c r="E2293">
        <v>19</v>
      </c>
      <c r="F2293">
        <v>8</v>
      </c>
      <c r="G2293">
        <v>5</v>
      </c>
      <c r="H2293">
        <v>23</v>
      </c>
      <c r="I2293">
        <v>10</v>
      </c>
      <c r="J2293" t="s">
        <v>11</v>
      </c>
    </row>
    <row r="2294" spans="1:10">
      <c r="A2294">
        <v>2293</v>
      </c>
      <c r="B2294" s="1">
        <v>44973</v>
      </c>
      <c r="C2294" t="s">
        <v>10</v>
      </c>
      <c r="D2294">
        <v>699</v>
      </c>
      <c r="E2294">
        <v>16.8</v>
      </c>
      <c r="F2294">
        <v>3</v>
      </c>
      <c r="G2294">
        <v>1</v>
      </c>
      <c r="H2294">
        <v>2</v>
      </c>
      <c r="I2294">
        <v>52</v>
      </c>
      <c r="J2294" t="s">
        <v>11</v>
      </c>
    </row>
    <row r="2295" spans="1:10">
      <c r="A2295">
        <v>2294</v>
      </c>
      <c r="B2295" s="1">
        <v>44989</v>
      </c>
      <c r="C2295" t="s">
        <v>10</v>
      </c>
      <c r="D2295">
        <v>699</v>
      </c>
      <c r="E2295">
        <v>5.3</v>
      </c>
      <c r="F2295">
        <v>3</v>
      </c>
      <c r="G2295">
        <v>1</v>
      </c>
      <c r="H2295">
        <v>12</v>
      </c>
      <c r="I2295">
        <v>8</v>
      </c>
      <c r="J2295" t="s">
        <v>13</v>
      </c>
    </row>
    <row r="2296" spans="1:10">
      <c r="A2296">
        <v>2295</v>
      </c>
      <c r="B2296" s="1">
        <v>45136</v>
      </c>
      <c r="C2296" t="s">
        <v>10</v>
      </c>
      <c r="D2296">
        <v>699</v>
      </c>
      <c r="E2296">
        <v>6</v>
      </c>
      <c r="F2296">
        <v>2</v>
      </c>
      <c r="G2296">
        <v>0</v>
      </c>
      <c r="H2296">
        <v>29</v>
      </c>
      <c r="I2296">
        <v>7</v>
      </c>
      <c r="J2296" t="s">
        <v>13</v>
      </c>
    </row>
    <row r="2297" spans="1:10">
      <c r="A2297">
        <v>2296</v>
      </c>
      <c r="B2297" s="1">
        <v>45089</v>
      </c>
      <c r="C2297" t="s">
        <v>14</v>
      </c>
      <c r="D2297">
        <v>399</v>
      </c>
      <c r="E2297">
        <v>21</v>
      </c>
      <c r="F2297">
        <v>6</v>
      </c>
      <c r="G2297">
        <v>1</v>
      </c>
      <c r="H2297">
        <v>20</v>
      </c>
      <c r="I2297">
        <v>44</v>
      </c>
      <c r="J2297" t="s">
        <v>11</v>
      </c>
    </row>
    <row r="2298" spans="1:10">
      <c r="A2298">
        <v>2297</v>
      </c>
      <c r="B2298" s="1">
        <v>45357</v>
      </c>
      <c r="C2298" t="s">
        <v>14</v>
      </c>
      <c r="D2298">
        <v>399</v>
      </c>
      <c r="E2298">
        <v>0.7</v>
      </c>
      <c r="F2298">
        <v>5</v>
      </c>
      <c r="G2298">
        <v>0</v>
      </c>
      <c r="H2298">
        <v>25</v>
      </c>
      <c r="I2298">
        <v>34</v>
      </c>
      <c r="J2298" t="s">
        <v>11</v>
      </c>
    </row>
    <row r="2299" spans="1:10">
      <c r="A2299">
        <v>2298</v>
      </c>
      <c r="B2299" s="1">
        <v>45372</v>
      </c>
      <c r="C2299" t="s">
        <v>12</v>
      </c>
      <c r="D2299">
        <v>199</v>
      </c>
      <c r="E2299">
        <v>19.2</v>
      </c>
      <c r="F2299">
        <v>3</v>
      </c>
      <c r="G2299">
        <v>0</v>
      </c>
      <c r="H2299">
        <v>6</v>
      </c>
      <c r="I2299">
        <v>9</v>
      </c>
      <c r="J2299" t="s">
        <v>13</v>
      </c>
    </row>
    <row r="2300" spans="1:10">
      <c r="A2300">
        <v>2299</v>
      </c>
      <c r="B2300" s="1">
        <v>45470</v>
      </c>
      <c r="C2300" t="s">
        <v>12</v>
      </c>
      <c r="D2300">
        <v>199</v>
      </c>
      <c r="E2300">
        <v>7</v>
      </c>
      <c r="F2300">
        <v>8</v>
      </c>
      <c r="G2300">
        <v>5</v>
      </c>
      <c r="H2300">
        <v>11</v>
      </c>
      <c r="I2300">
        <v>35</v>
      </c>
      <c r="J2300" t="s">
        <v>13</v>
      </c>
    </row>
    <row r="2301" spans="1:10">
      <c r="A2301">
        <v>2300</v>
      </c>
      <c r="B2301" s="1">
        <v>45147</v>
      </c>
      <c r="C2301" t="s">
        <v>10</v>
      </c>
      <c r="D2301">
        <v>699</v>
      </c>
      <c r="E2301">
        <v>22.2</v>
      </c>
      <c r="F2301">
        <v>2</v>
      </c>
      <c r="G2301">
        <v>4</v>
      </c>
      <c r="H2301">
        <v>22</v>
      </c>
      <c r="I2301">
        <v>34</v>
      </c>
      <c r="J2301" t="s">
        <v>13</v>
      </c>
    </row>
    <row r="2302" spans="1:10">
      <c r="A2302">
        <v>2301</v>
      </c>
      <c r="B2302" s="1">
        <v>45146</v>
      </c>
      <c r="C2302" t="s">
        <v>14</v>
      </c>
      <c r="D2302">
        <v>399</v>
      </c>
      <c r="E2302">
        <v>4.7</v>
      </c>
      <c r="F2302">
        <v>7</v>
      </c>
      <c r="G2302">
        <v>2</v>
      </c>
      <c r="H2302">
        <v>28</v>
      </c>
      <c r="I2302">
        <v>20</v>
      </c>
      <c r="J2302" t="s">
        <v>11</v>
      </c>
    </row>
    <row r="2303" spans="1:10">
      <c r="A2303">
        <v>2302</v>
      </c>
      <c r="B2303" s="1">
        <v>45020</v>
      </c>
      <c r="C2303" t="s">
        <v>10</v>
      </c>
      <c r="D2303">
        <v>699</v>
      </c>
      <c r="E2303">
        <v>5.3</v>
      </c>
      <c r="F2303">
        <v>4</v>
      </c>
      <c r="G2303">
        <v>3</v>
      </c>
      <c r="H2303">
        <v>2</v>
      </c>
      <c r="I2303">
        <v>49</v>
      </c>
      <c r="J2303" t="s">
        <v>11</v>
      </c>
    </row>
    <row r="2304" spans="1:10">
      <c r="A2304">
        <v>2303</v>
      </c>
      <c r="B2304" s="1">
        <v>45473</v>
      </c>
      <c r="C2304" t="s">
        <v>10</v>
      </c>
      <c r="D2304">
        <v>699</v>
      </c>
      <c r="E2304">
        <v>20</v>
      </c>
      <c r="F2304">
        <v>2</v>
      </c>
      <c r="G2304">
        <v>0</v>
      </c>
      <c r="H2304">
        <v>8</v>
      </c>
      <c r="I2304">
        <v>14</v>
      </c>
      <c r="J2304" t="s">
        <v>13</v>
      </c>
    </row>
    <row r="2305" spans="1:10">
      <c r="A2305">
        <v>2304</v>
      </c>
      <c r="B2305" s="1">
        <v>45164</v>
      </c>
      <c r="C2305" t="s">
        <v>12</v>
      </c>
      <c r="D2305">
        <v>199</v>
      </c>
      <c r="E2305">
        <v>12.2</v>
      </c>
      <c r="F2305">
        <v>2</v>
      </c>
      <c r="G2305">
        <v>0</v>
      </c>
      <c r="H2305">
        <v>36</v>
      </c>
      <c r="I2305">
        <v>33</v>
      </c>
      <c r="J2305" t="s">
        <v>11</v>
      </c>
    </row>
    <row r="2306" spans="1:10">
      <c r="A2306">
        <v>2305</v>
      </c>
      <c r="B2306" s="1">
        <v>45174</v>
      </c>
      <c r="C2306" t="s">
        <v>12</v>
      </c>
      <c r="D2306">
        <v>199</v>
      </c>
      <c r="E2306">
        <v>22.7</v>
      </c>
      <c r="F2306">
        <v>8</v>
      </c>
      <c r="G2306">
        <v>4</v>
      </c>
      <c r="H2306">
        <v>16</v>
      </c>
      <c r="I2306">
        <v>34</v>
      </c>
      <c r="J2306" t="s">
        <v>13</v>
      </c>
    </row>
    <row r="2307" spans="1:10">
      <c r="A2307">
        <v>2306</v>
      </c>
      <c r="B2307" s="1">
        <v>45267</v>
      </c>
      <c r="C2307" t="s">
        <v>10</v>
      </c>
      <c r="D2307">
        <v>699</v>
      </c>
      <c r="E2307">
        <v>2.5</v>
      </c>
      <c r="F2307">
        <v>8</v>
      </c>
      <c r="G2307">
        <v>4</v>
      </c>
      <c r="H2307">
        <v>36</v>
      </c>
      <c r="I2307">
        <v>5</v>
      </c>
      <c r="J2307" t="s">
        <v>11</v>
      </c>
    </row>
    <row r="2308" spans="1:10">
      <c r="A2308">
        <v>2307</v>
      </c>
      <c r="B2308" s="1">
        <v>45137</v>
      </c>
      <c r="C2308" t="s">
        <v>10</v>
      </c>
      <c r="D2308">
        <v>699</v>
      </c>
      <c r="E2308">
        <v>20.8</v>
      </c>
      <c r="F2308">
        <v>0</v>
      </c>
      <c r="G2308">
        <v>3</v>
      </c>
      <c r="H2308">
        <v>9</v>
      </c>
      <c r="I2308">
        <v>31</v>
      </c>
      <c r="J2308" t="s">
        <v>13</v>
      </c>
    </row>
    <row r="2309" spans="1:10">
      <c r="A2309">
        <v>2308</v>
      </c>
      <c r="B2309" s="1">
        <v>45000</v>
      </c>
      <c r="C2309" t="s">
        <v>12</v>
      </c>
      <c r="D2309">
        <v>199</v>
      </c>
      <c r="E2309">
        <v>17.600000000000001</v>
      </c>
      <c r="F2309">
        <v>1</v>
      </c>
      <c r="G2309">
        <v>4</v>
      </c>
      <c r="H2309">
        <v>15</v>
      </c>
      <c r="I2309">
        <v>9</v>
      </c>
      <c r="J2309" t="s">
        <v>13</v>
      </c>
    </row>
    <row r="2310" spans="1:10">
      <c r="A2310">
        <v>2309</v>
      </c>
      <c r="B2310" s="1">
        <v>45272</v>
      </c>
      <c r="C2310" t="s">
        <v>14</v>
      </c>
      <c r="D2310">
        <v>399</v>
      </c>
      <c r="E2310">
        <v>2.5</v>
      </c>
      <c r="F2310">
        <v>5</v>
      </c>
      <c r="G2310">
        <v>3</v>
      </c>
      <c r="H2310">
        <v>35</v>
      </c>
      <c r="I2310">
        <v>10</v>
      </c>
      <c r="J2310" t="s">
        <v>11</v>
      </c>
    </row>
    <row r="2311" spans="1:10">
      <c r="A2311">
        <v>2310</v>
      </c>
      <c r="B2311" s="1">
        <v>44958</v>
      </c>
      <c r="C2311" t="s">
        <v>12</v>
      </c>
      <c r="D2311">
        <v>199</v>
      </c>
      <c r="E2311">
        <v>19.3</v>
      </c>
      <c r="F2311">
        <v>0</v>
      </c>
      <c r="G2311">
        <v>5</v>
      </c>
      <c r="H2311">
        <v>3</v>
      </c>
      <c r="I2311">
        <v>44</v>
      </c>
      <c r="J2311" t="s">
        <v>11</v>
      </c>
    </row>
    <row r="2312" spans="1:10">
      <c r="A2312">
        <v>2311</v>
      </c>
      <c r="B2312" s="1">
        <v>45027</v>
      </c>
      <c r="C2312" t="s">
        <v>12</v>
      </c>
      <c r="D2312">
        <v>199</v>
      </c>
      <c r="E2312">
        <v>4.5</v>
      </c>
      <c r="F2312">
        <v>1</v>
      </c>
      <c r="G2312">
        <v>0</v>
      </c>
      <c r="H2312">
        <v>21</v>
      </c>
      <c r="I2312">
        <v>44</v>
      </c>
      <c r="J2312" t="s">
        <v>11</v>
      </c>
    </row>
    <row r="2313" spans="1:10">
      <c r="A2313">
        <v>2312</v>
      </c>
      <c r="B2313" s="1">
        <v>44953</v>
      </c>
      <c r="C2313" t="s">
        <v>14</v>
      </c>
      <c r="D2313">
        <v>399</v>
      </c>
      <c r="E2313">
        <v>16.399999999999999</v>
      </c>
      <c r="F2313">
        <v>0</v>
      </c>
      <c r="G2313">
        <v>5</v>
      </c>
      <c r="H2313">
        <v>35</v>
      </c>
      <c r="I2313">
        <v>47</v>
      </c>
      <c r="J2313" t="s">
        <v>13</v>
      </c>
    </row>
    <row r="2314" spans="1:10">
      <c r="A2314">
        <v>2313</v>
      </c>
      <c r="B2314" s="1">
        <v>45443</v>
      </c>
      <c r="C2314" t="s">
        <v>10</v>
      </c>
      <c r="D2314">
        <v>699</v>
      </c>
      <c r="E2314">
        <v>24.7</v>
      </c>
      <c r="F2314">
        <v>5</v>
      </c>
      <c r="G2314">
        <v>3</v>
      </c>
      <c r="H2314">
        <v>10</v>
      </c>
      <c r="I2314">
        <v>43</v>
      </c>
      <c r="J2314" t="s">
        <v>11</v>
      </c>
    </row>
    <row r="2315" spans="1:10">
      <c r="A2315">
        <v>2314</v>
      </c>
      <c r="B2315" s="1">
        <v>45078</v>
      </c>
      <c r="C2315" t="s">
        <v>10</v>
      </c>
      <c r="D2315">
        <v>699</v>
      </c>
      <c r="E2315">
        <v>18.899999999999999</v>
      </c>
      <c r="F2315">
        <v>4</v>
      </c>
      <c r="G2315">
        <v>1</v>
      </c>
      <c r="H2315">
        <v>19</v>
      </c>
      <c r="I2315">
        <v>5</v>
      </c>
      <c r="J2315" t="s">
        <v>13</v>
      </c>
    </row>
    <row r="2316" spans="1:10">
      <c r="A2316">
        <v>2315</v>
      </c>
      <c r="B2316" s="1">
        <v>45081</v>
      </c>
      <c r="C2316" t="s">
        <v>10</v>
      </c>
      <c r="D2316">
        <v>699</v>
      </c>
      <c r="E2316">
        <v>12.2</v>
      </c>
      <c r="F2316">
        <v>7</v>
      </c>
      <c r="G2316">
        <v>4</v>
      </c>
      <c r="H2316">
        <v>35</v>
      </c>
      <c r="I2316">
        <v>58</v>
      </c>
      <c r="J2316" t="s">
        <v>13</v>
      </c>
    </row>
    <row r="2317" spans="1:10">
      <c r="A2317">
        <v>2316</v>
      </c>
      <c r="B2317" s="1">
        <v>45446</v>
      </c>
      <c r="C2317" t="s">
        <v>12</v>
      </c>
      <c r="D2317">
        <v>199</v>
      </c>
      <c r="E2317">
        <v>12.8</v>
      </c>
      <c r="F2317">
        <v>0</v>
      </c>
      <c r="G2317">
        <v>2</v>
      </c>
      <c r="H2317">
        <v>19</v>
      </c>
      <c r="I2317">
        <v>24</v>
      </c>
      <c r="J2317" t="s">
        <v>11</v>
      </c>
    </row>
    <row r="2318" spans="1:10">
      <c r="A2318">
        <v>2317</v>
      </c>
      <c r="B2318" s="1">
        <v>45178</v>
      </c>
      <c r="C2318" t="s">
        <v>14</v>
      </c>
      <c r="D2318">
        <v>399</v>
      </c>
      <c r="E2318">
        <v>1.1000000000000001</v>
      </c>
      <c r="F2318">
        <v>0</v>
      </c>
      <c r="G2318">
        <v>0</v>
      </c>
      <c r="H2318">
        <v>30</v>
      </c>
      <c r="I2318">
        <v>42</v>
      </c>
      <c r="J2318" t="s">
        <v>11</v>
      </c>
    </row>
    <row r="2319" spans="1:10">
      <c r="A2319">
        <v>2318</v>
      </c>
      <c r="B2319" s="1">
        <v>45469</v>
      </c>
      <c r="C2319" t="s">
        <v>14</v>
      </c>
      <c r="D2319">
        <v>399</v>
      </c>
      <c r="E2319">
        <v>16.100000000000001</v>
      </c>
      <c r="F2319">
        <v>1</v>
      </c>
      <c r="G2319">
        <v>2</v>
      </c>
      <c r="H2319">
        <v>23</v>
      </c>
      <c r="I2319">
        <v>46</v>
      </c>
      <c r="J2319" t="s">
        <v>11</v>
      </c>
    </row>
    <row r="2320" spans="1:10">
      <c r="A2320">
        <v>2319</v>
      </c>
      <c r="B2320" s="1">
        <v>45202</v>
      </c>
      <c r="C2320" t="s">
        <v>12</v>
      </c>
      <c r="D2320">
        <v>199</v>
      </c>
      <c r="E2320">
        <v>9.8000000000000007</v>
      </c>
      <c r="F2320">
        <v>1</v>
      </c>
      <c r="G2320">
        <v>1</v>
      </c>
      <c r="H2320">
        <v>26</v>
      </c>
      <c r="I2320">
        <v>26</v>
      </c>
      <c r="J2320" t="s">
        <v>11</v>
      </c>
    </row>
    <row r="2321" spans="1:10">
      <c r="A2321">
        <v>2320</v>
      </c>
      <c r="B2321" s="1">
        <v>45101</v>
      </c>
      <c r="C2321" t="s">
        <v>10</v>
      </c>
      <c r="D2321">
        <v>699</v>
      </c>
      <c r="E2321">
        <v>24.8</v>
      </c>
      <c r="F2321">
        <v>5</v>
      </c>
      <c r="G2321">
        <v>5</v>
      </c>
      <c r="H2321">
        <v>15</v>
      </c>
      <c r="I2321">
        <v>3</v>
      </c>
      <c r="J2321" t="s">
        <v>11</v>
      </c>
    </row>
    <row r="2322" spans="1:10">
      <c r="A2322">
        <v>2321</v>
      </c>
      <c r="B2322" s="1">
        <v>44981</v>
      </c>
      <c r="C2322" t="s">
        <v>10</v>
      </c>
      <c r="D2322">
        <v>699</v>
      </c>
      <c r="E2322">
        <v>18.399999999999999</v>
      </c>
      <c r="F2322">
        <v>8</v>
      </c>
      <c r="G2322">
        <v>5</v>
      </c>
      <c r="H2322">
        <v>25</v>
      </c>
      <c r="I2322">
        <v>2</v>
      </c>
      <c r="J2322" t="s">
        <v>13</v>
      </c>
    </row>
    <row r="2323" spans="1:10">
      <c r="A2323">
        <v>2322</v>
      </c>
      <c r="B2323" s="1">
        <v>44944</v>
      </c>
      <c r="C2323" t="s">
        <v>14</v>
      </c>
      <c r="D2323">
        <v>399</v>
      </c>
      <c r="E2323">
        <v>6.4</v>
      </c>
      <c r="F2323">
        <v>8</v>
      </c>
      <c r="G2323">
        <v>3</v>
      </c>
      <c r="H2323">
        <v>14</v>
      </c>
      <c r="I2323">
        <v>39</v>
      </c>
      <c r="J2323" t="s">
        <v>11</v>
      </c>
    </row>
    <row r="2324" spans="1:10">
      <c r="A2324">
        <v>2323</v>
      </c>
      <c r="B2324" s="1">
        <v>45052</v>
      </c>
      <c r="C2324" t="s">
        <v>10</v>
      </c>
      <c r="D2324">
        <v>699</v>
      </c>
      <c r="E2324">
        <v>5</v>
      </c>
      <c r="F2324">
        <v>1</v>
      </c>
      <c r="G2324">
        <v>0</v>
      </c>
      <c r="H2324">
        <v>34</v>
      </c>
      <c r="I2324">
        <v>17</v>
      </c>
      <c r="J2324" t="s">
        <v>13</v>
      </c>
    </row>
    <row r="2325" spans="1:10">
      <c r="A2325">
        <v>2324</v>
      </c>
      <c r="B2325" s="1">
        <v>44932</v>
      </c>
      <c r="C2325" t="s">
        <v>14</v>
      </c>
      <c r="D2325">
        <v>399</v>
      </c>
      <c r="E2325">
        <v>21</v>
      </c>
      <c r="F2325">
        <v>1</v>
      </c>
      <c r="G2325">
        <v>4</v>
      </c>
      <c r="H2325">
        <v>17</v>
      </c>
      <c r="I2325">
        <v>58</v>
      </c>
      <c r="J2325" t="s">
        <v>11</v>
      </c>
    </row>
    <row r="2326" spans="1:10">
      <c r="A2326">
        <v>2325</v>
      </c>
      <c r="B2326" s="1">
        <v>45181</v>
      </c>
      <c r="C2326" t="s">
        <v>14</v>
      </c>
      <c r="D2326">
        <v>399</v>
      </c>
      <c r="E2326">
        <v>24.1</v>
      </c>
      <c r="F2326">
        <v>2</v>
      </c>
      <c r="G2326">
        <v>4</v>
      </c>
      <c r="H2326">
        <v>17</v>
      </c>
      <c r="I2326">
        <v>60</v>
      </c>
      <c r="J2326" t="s">
        <v>11</v>
      </c>
    </row>
    <row r="2327" spans="1:10">
      <c r="A2327">
        <v>2326</v>
      </c>
      <c r="B2327" s="1">
        <v>45201</v>
      </c>
      <c r="C2327" t="s">
        <v>10</v>
      </c>
      <c r="D2327">
        <v>699</v>
      </c>
      <c r="E2327">
        <v>9.8000000000000007</v>
      </c>
      <c r="F2327">
        <v>3</v>
      </c>
      <c r="G2327">
        <v>4</v>
      </c>
      <c r="H2327">
        <v>13</v>
      </c>
      <c r="I2327">
        <v>41</v>
      </c>
      <c r="J2327" t="s">
        <v>11</v>
      </c>
    </row>
    <row r="2328" spans="1:10">
      <c r="A2328">
        <v>2327</v>
      </c>
      <c r="B2328" s="1">
        <v>45229</v>
      </c>
      <c r="C2328" t="s">
        <v>12</v>
      </c>
      <c r="D2328">
        <v>199</v>
      </c>
      <c r="E2328">
        <v>17</v>
      </c>
      <c r="F2328">
        <v>2</v>
      </c>
      <c r="G2328">
        <v>5</v>
      </c>
      <c r="H2328">
        <v>10</v>
      </c>
      <c r="I2328">
        <v>25</v>
      </c>
      <c r="J2328" t="s">
        <v>13</v>
      </c>
    </row>
    <row r="2329" spans="1:10">
      <c r="A2329">
        <v>2328</v>
      </c>
      <c r="B2329" s="1">
        <v>45175</v>
      </c>
      <c r="C2329" t="s">
        <v>10</v>
      </c>
      <c r="D2329">
        <v>699</v>
      </c>
      <c r="E2329">
        <v>13.3</v>
      </c>
      <c r="F2329">
        <v>4</v>
      </c>
      <c r="G2329">
        <v>3</v>
      </c>
      <c r="H2329">
        <v>11</v>
      </c>
      <c r="I2329">
        <v>19</v>
      </c>
      <c r="J2329" t="s">
        <v>11</v>
      </c>
    </row>
    <row r="2330" spans="1:10">
      <c r="A2330">
        <v>2329</v>
      </c>
      <c r="B2330" s="1">
        <v>45184</v>
      </c>
      <c r="C2330" t="s">
        <v>14</v>
      </c>
      <c r="D2330">
        <v>399</v>
      </c>
      <c r="E2330">
        <v>9.5</v>
      </c>
      <c r="F2330">
        <v>8</v>
      </c>
      <c r="G2330">
        <v>3</v>
      </c>
      <c r="H2330">
        <v>9</v>
      </c>
      <c r="I2330">
        <v>13</v>
      </c>
      <c r="J2330" t="s">
        <v>11</v>
      </c>
    </row>
    <row r="2331" spans="1:10">
      <c r="A2331">
        <v>2330</v>
      </c>
      <c r="B2331" s="1">
        <v>45326</v>
      </c>
      <c r="C2331" t="s">
        <v>12</v>
      </c>
      <c r="D2331">
        <v>199</v>
      </c>
      <c r="E2331">
        <v>21.9</v>
      </c>
      <c r="F2331">
        <v>6</v>
      </c>
      <c r="G2331">
        <v>2</v>
      </c>
      <c r="H2331">
        <v>30</v>
      </c>
      <c r="I2331">
        <v>60</v>
      </c>
      <c r="J2331" t="s">
        <v>13</v>
      </c>
    </row>
    <row r="2332" spans="1:10">
      <c r="A2332">
        <v>2331</v>
      </c>
      <c r="B2332" s="1">
        <v>45118</v>
      </c>
      <c r="C2332" t="s">
        <v>12</v>
      </c>
      <c r="D2332">
        <v>199</v>
      </c>
      <c r="E2332">
        <v>23.7</v>
      </c>
      <c r="F2332">
        <v>5</v>
      </c>
      <c r="G2332">
        <v>2</v>
      </c>
      <c r="H2332">
        <v>23</v>
      </c>
      <c r="I2332">
        <v>55</v>
      </c>
      <c r="J2332" t="s">
        <v>13</v>
      </c>
    </row>
    <row r="2333" spans="1:10">
      <c r="A2333">
        <v>2332</v>
      </c>
      <c r="B2333" s="1">
        <v>45227</v>
      </c>
      <c r="C2333" t="s">
        <v>14</v>
      </c>
      <c r="D2333">
        <v>399</v>
      </c>
      <c r="E2333">
        <v>18.2</v>
      </c>
      <c r="F2333">
        <v>5</v>
      </c>
      <c r="G2333">
        <v>2</v>
      </c>
      <c r="H2333">
        <v>15</v>
      </c>
      <c r="I2333">
        <v>34</v>
      </c>
      <c r="J2333" t="s">
        <v>11</v>
      </c>
    </row>
    <row r="2334" spans="1:10">
      <c r="A2334">
        <v>2333</v>
      </c>
      <c r="B2334" s="1">
        <v>45213</v>
      </c>
      <c r="C2334" t="s">
        <v>12</v>
      </c>
      <c r="D2334">
        <v>199</v>
      </c>
      <c r="E2334">
        <v>16.899999999999999</v>
      </c>
      <c r="F2334">
        <v>7</v>
      </c>
      <c r="G2334">
        <v>3</v>
      </c>
      <c r="H2334">
        <v>2</v>
      </c>
      <c r="I2334">
        <v>19</v>
      </c>
      <c r="J2334" t="s">
        <v>11</v>
      </c>
    </row>
    <row r="2335" spans="1:10">
      <c r="A2335">
        <v>2334</v>
      </c>
      <c r="B2335" s="1">
        <v>45158</v>
      </c>
      <c r="C2335" t="s">
        <v>14</v>
      </c>
      <c r="D2335">
        <v>399</v>
      </c>
      <c r="E2335">
        <v>14.6</v>
      </c>
      <c r="F2335">
        <v>8</v>
      </c>
      <c r="G2335">
        <v>4</v>
      </c>
      <c r="H2335">
        <v>33</v>
      </c>
      <c r="I2335">
        <v>58</v>
      </c>
      <c r="J2335" t="s">
        <v>13</v>
      </c>
    </row>
    <row r="2336" spans="1:10">
      <c r="A2336">
        <v>2335</v>
      </c>
      <c r="B2336" s="1">
        <v>45209</v>
      </c>
      <c r="C2336" t="s">
        <v>10</v>
      </c>
      <c r="D2336">
        <v>699</v>
      </c>
      <c r="E2336">
        <v>9.5</v>
      </c>
      <c r="F2336">
        <v>8</v>
      </c>
      <c r="G2336">
        <v>5</v>
      </c>
      <c r="H2336">
        <v>7</v>
      </c>
      <c r="I2336">
        <v>32</v>
      </c>
      <c r="J2336" t="s">
        <v>11</v>
      </c>
    </row>
    <row r="2337" spans="1:10">
      <c r="A2337">
        <v>2336</v>
      </c>
      <c r="B2337" s="1">
        <v>45223</v>
      </c>
      <c r="C2337" t="s">
        <v>14</v>
      </c>
      <c r="D2337">
        <v>399</v>
      </c>
      <c r="E2337">
        <v>11.9</v>
      </c>
      <c r="F2337">
        <v>0</v>
      </c>
      <c r="G2337">
        <v>5</v>
      </c>
      <c r="H2337">
        <v>9</v>
      </c>
      <c r="I2337">
        <v>44</v>
      </c>
      <c r="J2337" t="s">
        <v>11</v>
      </c>
    </row>
    <row r="2338" spans="1:10">
      <c r="A2338">
        <v>2337</v>
      </c>
      <c r="B2338" s="1">
        <v>45140</v>
      </c>
      <c r="C2338" t="s">
        <v>10</v>
      </c>
      <c r="D2338">
        <v>699</v>
      </c>
      <c r="E2338">
        <v>24.8</v>
      </c>
      <c r="F2338">
        <v>4</v>
      </c>
      <c r="G2338">
        <v>1</v>
      </c>
      <c r="H2338">
        <v>4</v>
      </c>
      <c r="I2338">
        <v>13</v>
      </c>
      <c r="J2338" t="s">
        <v>13</v>
      </c>
    </row>
    <row r="2339" spans="1:10">
      <c r="A2339">
        <v>2338</v>
      </c>
      <c r="B2339" s="1">
        <v>45052</v>
      </c>
      <c r="C2339" t="s">
        <v>14</v>
      </c>
      <c r="D2339">
        <v>399</v>
      </c>
      <c r="E2339">
        <v>20.8</v>
      </c>
      <c r="F2339">
        <v>4</v>
      </c>
      <c r="G2339">
        <v>4</v>
      </c>
      <c r="H2339">
        <v>13</v>
      </c>
      <c r="I2339">
        <v>20</v>
      </c>
      <c r="J2339" t="s">
        <v>13</v>
      </c>
    </row>
    <row r="2340" spans="1:10">
      <c r="A2340">
        <v>2339</v>
      </c>
      <c r="B2340" s="1">
        <v>45392</v>
      </c>
      <c r="C2340" t="s">
        <v>14</v>
      </c>
      <c r="D2340">
        <v>399</v>
      </c>
      <c r="E2340">
        <v>20.3</v>
      </c>
      <c r="F2340">
        <v>1</v>
      </c>
      <c r="G2340">
        <v>0</v>
      </c>
      <c r="H2340">
        <v>15</v>
      </c>
      <c r="I2340">
        <v>6</v>
      </c>
      <c r="J2340" t="s">
        <v>13</v>
      </c>
    </row>
    <row r="2341" spans="1:10">
      <c r="A2341">
        <v>2340</v>
      </c>
      <c r="B2341" s="1">
        <v>45130</v>
      </c>
      <c r="C2341" t="s">
        <v>10</v>
      </c>
      <c r="D2341">
        <v>699</v>
      </c>
      <c r="E2341">
        <v>18.2</v>
      </c>
      <c r="F2341">
        <v>1</v>
      </c>
      <c r="G2341">
        <v>4</v>
      </c>
      <c r="H2341">
        <v>30</v>
      </c>
      <c r="I2341">
        <v>3</v>
      </c>
      <c r="J2341" t="s">
        <v>13</v>
      </c>
    </row>
    <row r="2342" spans="1:10">
      <c r="A2342">
        <v>2341</v>
      </c>
      <c r="B2342" s="1">
        <v>45586</v>
      </c>
      <c r="C2342" t="s">
        <v>12</v>
      </c>
      <c r="D2342">
        <v>199</v>
      </c>
      <c r="E2342">
        <v>16</v>
      </c>
      <c r="F2342">
        <v>3</v>
      </c>
      <c r="G2342">
        <v>3</v>
      </c>
      <c r="H2342">
        <v>6</v>
      </c>
      <c r="I2342">
        <v>13</v>
      </c>
      <c r="J2342" t="s">
        <v>11</v>
      </c>
    </row>
    <row r="2343" spans="1:10">
      <c r="A2343">
        <v>2342</v>
      </c>
      <c r="B2343" s="1">
        <v>45012</v>
      </c>
      <c r="C2343" t="s">
        <v>14</v>
      </c>
      <c r="D2343">
        <v>399</v>
      </c>
      <c r="E2343">
        <v>1.5</v>
      </c>
      <c r="F2343">
        <v>6</v>
      </c>
      <c r="G2343">
        <v>0</v>
      </c>
      <c r="H2343">
        <v>15</v>
      </c>
      <c r="I2343">
        <v>46</v>
      </c>
      <c r="J2343" t="s">
        <v>11</v>
      </c>
    </row>
    <row r="2344" spans="1:10">
      <c r="A2344">
        <v>2343</v>
      </c>
      <c r="B2344" s="1">
        <v>45439</v>
      </c>
      <c r="C2344" t="s">
        <v>10</v>
      </c>
      <c r="D2344">
        <v>699</v>
      </c>
      <c r="E2344">
        <v>12.7</v>
      </c>
      <c r="F2344">
        <v>5</v>
      </c>
      <c r="G2344">
        <v>3</v>
      </c>
      <c r="H2344">
        <v>33</v>
      </c>
      <c r="I2344">
        <v>6</v>
      </c>
      <c r="J2344" t="s">
        <v>11</v>
      </c>
    </row>
    <row r="2345" spans="1:10">
      <c r="A2345">
        <v>2344</v>
      </c>
      <c r="B2345" s="1">
        <v>45140</v>
      </c>
      <c r="C2345" t="s">
        <v>14</v>
      </c>
      <c r="D2345">
        <v>399</v>
      </c>
      <c r="E2345">
        <v>18.100000000000001</v>
      </c>
      <c r="F2345">
        <v>8</v>
      </c>
      <c r="G2345">
        <v>0</v>
      </c>
      <c r="H2345">
        <v>36</v>
      </c>
      <c r="I2345">
        <v>0</v>
      </c>
      <c r="J2345" t="s">
        <v>13</v>
      </c>
    </row>
    <row r="2346" spans="1:10">
      <c r="A2346">
        <v>2345</v>
      </c>
      <c r="B2346" s="1">
        <v>45538</v>
      </c>
      <c r="C2346" t="s">
        <v>12</v>
      </c>
      <c r="D2346">
        <v>199</v>
      </c>
      <c r="E2346">
        <v>14.9</v>
      </c>
      <c r="F2346">
        <v>5</v>
      </c>
      <c r="G2346">
        <v>3</v>
      </c>
      <c r="H2346">
        <v>2</v>
      </c>
      <c r="I2346">
        <v>7</v>
      </c>
      <c r="J2346" t="s">
        <v>13</v>
      </c>
    </row>
    <row r="2347" spans="1:10">
      <c r="A2347">
        <v>2346</v>
      </c>
      <c r="B2347" s="1">
        <v>45436</v>
      </c>
      <c r="C2347" t="s">
        <v>10</v>
      </c>
      <c r="D2347">
        <v>699</v>
      </c>
      <c r="E2347">
        <v>6.5</v>
      </c>
      <c r="F2347">
        <v>6</v>
      </c>
      <c r="G2347">
        <v>2</v>
      </c>
      <c r="H2347">
        <v>1</v>
      </c>
      <c r="I2347">
        <v>30</v>
      </c>
      <c r="J2347" t="s">
        <v>11</v>
      </c>
    </row>
    <row r="2348" spans="1:10">
      <c r="A2348">
        <v>2347</v>
      </c>
      <c r="B2348" s="1">
        <v>44930</v>
      </c>
      <c r="C2348" t="s">
        <v>14</v>
      </c>
      <c r="D2348">
        <v>399</v>
      </c>
      <c r="E2348">
        <v>20.7</v>
      </c>
      <c r="F2348">
        <v>1</v>
      </c>
      <c r="G2348">
        <v>5</v>
      </c>
      <c r="H2348">
        <v>19</v>
      </c>
      <c r="I2348">
        <v>58</v>
      </c>
      <c r="J2348" t="s">
        <v>11</v>
      </c>
    </row>
    <row r="2349" spans="1:10">
      <c r="A2349">
        <v>2348</v>
      </c>
      <c r="B2349" s="1">
        <v>45245</v>
      </c>
      <c r="C2349" t="s">
        <v>10</v>
      </c>
      <c r="D2349">
        <v>699</v>
      </c>
      <c r="E2349">
        <v>10.1</v>
      </c>
      <c r="F2349">
        <v>5</v>
      </c>
      <c r="G2349">
        <v>1</v>
      </c>
      <c r="H2349">
        <v>14</v>
      </c>
      <c r="I2349">
        <v>56</v>
      </c>
      <c r="J2349" t="s">
        <v>11</v>
      </c>
    </row>
    <row r="2350" spans="1:10">
      <c r="A2350">
        <v>2349</v>
      </c>
      <c r="B2350" s="1">
        <v>45038</v>
      </c>
      <c r="C2350" t="s">
        <v>10</v>
      </c>
      <c r="D2350">
        <v>699</v>
      </c>
      <c r="E2350">
        <v>20.3</v>
      </c>
      <c r="F2350">
        <v>8</v>
      </c>
      <c r="G2350">
        <v>5</v>
      </c>
      <c r="H2350">
        <v>5</v>
      </c>
      <c r="I2350">
        <v>49</v>
      </c>
      <c r="J2350" t="s">
        <v>11</v>
      </c>
    </row>
    <row r="2351" spans="1:10">
      <c r="A2351">
        <v>2350</v>
      </c>
      <c r="B2351" s="1">
        <v>44954</v>
      </c>
      <c r="C2351" t="s">
        <v>10</v>
      </c>
      <c r="D2351">
        <v>699</v>
      </c>
      <c r="E2351">
        <v>6</v>
      </c>
      <c r="F2351">
        <v>6</v>
      </c>
      <c r="G2351">
        <v>4</v>
      </c>
      <c r="H2351">
        <v>19</v>
      </c>
      <c r="I2351">
        <v>30</v>
      </c>
      <c r="J2351" t="s">
        <v>11</v>
      </c>
    </row>
    <row r="2352" spans="1:10">
      <c r="A2352">
        <v>2351</v>
      </c>
      <c r="B2352" s="1">
        <v>45088</v>
      </c>
      <c r="C2352" t="s">
        <v>10</v>
      </c>
      <c r="D2352">
        <v>699</v>
      </c>
      <c r="E2352">
        <v>19</v>
      </c>
      <c r="F2352">
        <v>6</v>
      </c>
      <c r="G2352">
        <v>1</v>
      </c>
      <c r="H2352">
        <v>9</v>
      </c>
      <c r="I2352">
        <v>10</v>
      </c>
      <c r="J2352" t="s">
        <v>13</v>
      </c>
    </row>
    <row r="2353" spans="1:10">
      <c r="A2353">
        <v>2352</v>
      </c>
      <c r="B2353" s="1">
        <v>45355</v>
      </c>
      <c r="C2353" t="s">
        <v>12</v>
      </c>
      <c r="D2353">
        <v>199</v>
      </c>
      <c r="E2353">
        <v>4.0999999999999996</v>
      </c>
      <c r="F2353">
        <v>3</v>
      </c>
      <c r="G2353">
        <v>3</v>
      </c>
      <c r="H2353">
        <v>33</v>
      </c>
      <c r="I2353">
        <v>17</v>
      </c>
      <c r="J2353" t="s">
        <v>11</v>
      </c>
    </row>
    <row r="2354" spans="1:10">
      <c r="A2354">
        <v>2353</v>
      </c>
      <c r="B2354" s="1">
        <v>45228</v>
      </c>
      <c r="C2354" t="s">
        <v>12</v>
      </c>
      <c r="D2354">
        <v>199</v>
      </c>
      <c r="E2354">
        <v>6.8</v>
      </c>
      <c r="F2354">
        <v>0</v>
      </c>
      <c r="G2354">
        <v>5</v>
      </c>
      <c r="H2354">
        <v>6</v>
      </c>
      <c r="I2354">
        <v>47</v>
      </c>
      <c r="J2354" t="s">
        <v>13</v>
      </c>
    </row>
    <row r="2355" spans="1:10">
      <c r="A2355">
        <v>2354</v>
      </c>
      <c r="B2355" s="1">
        <v>45272</v>
      </c>
      <c r="C2355" t="s">
        <v>12</v>
      </c>
      <c r="D2355">
        <v>199</v>
      </c>
      <c r="E2355">
        <v>13.6</v>
      </c>
      <c r="F2355">
        <v>0</v>
      </c>
      <c r="G2355">
        <v>2</v>
      </c>
      <c r="H2355">
        <v>34</v>
      </c>
      <c r="I2355">
        <v>40</v>
      </c>
      <c r="J2355" t="s">
        <v>11</v>
      </c>
    </row>
    <row r="2356" spans="1:10">
      <c r="A2356">
        <v>2355</v>
      </c>
      <c r="B2356" s="1">
        <v>45458</v>
      </c>
      <c r="C2356" t="s">
        <v>12</v>
      </c>
      <c r="D2356">
        <v>199</v>
      </c>
      <c r="E2356">
        <v>23.4</v>
      </c>
      <c r="F2356">
        <v>6</v>
      </c>
      <c r="G2356">
        <v>3</v>
      </c>
      <c r="H2356">
        <v>32</v>
      </c>
      <c r="I2356">
        <v>50</v>
      </c>
      <c r="J2356" t="s">
        <v>11</v>
      </c>
    </row>
    <row r="2357" spans="1:10">
      <c r="A2357">
        <v>2356</v>
      </c>
      <c r="B2357" s="1">
        <v>44970</v>
      </c>
      <c r="C2357" t="s">
        <v>10</v>
      </c>
      <c r="D2357">
        <v>699</v>
      </c>
      <c r="E2357">
        <v>3.4</v>
      </c>
      <c r="F2357">
        <v>2</v>
      </c>
      <c r="G2357">
        <v>3</v>
      </c>
      <c r="H2357">
        <v>7</v>
      </c>
      <c r="I2357">
        <v>49</v>
      </c>
      <c r="J2357" t="s">
        <v>11</v>
      </c>
    </row>
    <row r="2358" spans="1:10">
      <c r="A2358">
        <v>2357</v>
      </c>
      <c r="B2358" s="1">
        <v>45549</v>
      </c>
      <c r="C2358" t="s">
        <v>12</v>
      </c>
      <c r="D2358">
        <v>199</v>
      </c>
      <c r="E2358">
        <v>13.2</v>
      </c>
      <c r="F2358">
        <v>3</v>
      </c>
      <c r="G2358">
        <v>2</v>
      </c>
      <c r="H2358">
        <v>4</v>
      </c>
      <c r="I2358">
        <v>24</v>
      </c>
      <c r="J2358" t="s">
        <v>11</v>
      </c>
    </row>
    <row r="2359" spans="1:10">
      <c r="A2359">
        <v>2358</v>
      </c>
      <c r="B2359" s="1">
        <v>45144</v>
      </c>
      <c r="C2359" t="s">
        <v>12</v>
      </c>
      <c r="D2359">
        <v>199</v>
      </c>
      <c r="E2359">
        <v>10</v>
      </c>
      <c r="F2359">
        <v>7</v>
      </c>
      <c r="G2359">
        <v>0</v>
      </c>
      <c r="H2359">
        <v>2</v>
      </c>
      <c r="I2359">
        <v>20</v>
      </c>
      <c r="J2359" t="s">
        <v>13</v>
      </c>
    </row>
    <row r="2360" spans="1:10">
      <c r="A2360">
        <v>2359</v>
      </c>
      <c r="B2360" s="1">
        <v>45367</v>
      </c>
      <c r="C2360" t="s">
        <v>12</v>
      </c>
      <c r="D2360">
        <v>199</v>
      </c>
      <c r="E2360">
        <v>19.3</v>
      </c>
      <c r="F2360">
        <v>4</v>
      </c>
      <c r="G2360">
        <v>2</v>
      </c>
      <c r="H2360">
        <v>12</v>
      </c>
      <c r="I2360">
        <v>22</v>
      </c>
      <c r="J2360" t="s">
        <v>11</v>
      </c>
    </row>
    <row r="2361" spans="1:10">
      <c r="A2361">
        <v>2360</v>
      </c>
      <c r="B2361" s="1">
        <v>45361</v>
      </c>
      <c r="C2361" t="s">
        <v>10</v>
      </c>
      <c r="D2361">
        <v>699</v>
      </c>
      <c r="E2361">
        <v>5</v>
      </c>
      <c r="F2361">
        <v>1</v>
      </c>
      <c r="G2361">
        <v>3</v>
      </c>
      <c r="H2361">
        <v>36</v>
      </c>
      <c r="I2361">
        <v>40</v>
      </c>
      <c r="J2361" t="s">
        <v>13</v>
      </c>
    </row>
    <row r="2362" spans="1:10">
      <c r="A2362">
        <v>2361</v>
      </c>
      <c r="B2362" s="1">
        <v>44968</v>
      </c>
      <c r="C2362" t="s">
        <v>10</v>
      </c>
      <c r="D2362">
        <v>699</v>
      </c>
      <c r="E2362">
        <v>15.7</v>
      </c>
      <c r="F2362">
        <v>8</v>
      </c>
      <c r="G2362">
        <v>2</v>
      </c>
      <c r="H2362">
        <v>10</v>
      </c>
      <c r="I2362">
        <v>18</v>
      </c>
      <c r="J2362" t="s">
        <v>13</v>
      </c>
    </row>
    <row r="2363" spans="1:10">
      <c r="A2363">
        <v>2362</v>
      </c>
      <c r="B2363" s="1">
        <v>45385</v>
      </c>
      <c r="C2363" t="s">
        <v>12</v>
      </c>
      <c r="D2363">
        <v>199</v>
      </c>
      <c r="E2363">
        <v>7.9</v>
      </c>
      <c r="F2363">
        <v>8</v>
      </c>
      <c r="G2363">
        <v>0</v>
      </c>
      <c r="H2363">
        <v>16</v>
      </c>
      <c r="I2363">
        <v>50</v>
      </c>
      <c r="J2363" t="s">
        <v>13</v>
      </c>
    </row>
    <row r="2364" spans="1:10">
      <c r="A2364">
        <v>2363</v>
      </c>
      <c r="B2364" s="1">
        <v>45468</v>
      </c>
      <c r="C2364" t="s">
        <v>12</v>
      </c>
      <c r="D2364">
        <v>199</v>
      </c>
      <c r="E2364">
        <v>7.8</v>
      </c>
      <c r="F2364">
        <v>7</v>
      </c>
      <c r="G2364">
        <v>5</v>
      </c>
      <c r="H2364">
        <v>22</v>
      </c>
      <c r="I2364">
        <v>58</v>
      </c>
      <c r="J2364" t="s">
        <v>11</v>
      </c>
    </row>
    <row r="2365" spans="1:10">
      <c r="A2365">
        <v>2364</v>
      </c>
      <c r="B2365" s="1">
        <v>45054</v>
      </c>
      <c r="C2365" t="s">
        <v>12</v>
      </c>
      <c r="D2365">
        <v>199</v>
      </c>
      <c r="E2365">
        <v>1.6</v>
      </c>
      <c r="F2365">
        <v>3</v>
      </c>
      <c r="G2365">
        <v>5</v>
      </c>
      <c r="H2365">
        <v>27</v>
      </c>
      <c r="I2365">
        <v>23</v>
      </c>
      <c r="J2365" t="s">
        <v>11</v>
      </c>
    </row>
    <row r="2366" spans="1:10">
      <c r="A2366">
        <v>2365</v>
      </c>
      <c r="B2366" s="1">
        <v>44975</v>
      </c>
      <c r="C2366" t="s">
        <v>12</v>
      </c>
      <c r="D2366">
        <v>199</v>
      </c>
      <c r="E2366">
        <v>16.8</v>
      </c>
      <c r="F2366">
        <v>7</v>
      </c>
      <c r="G2366">
        <v>5</v>
      </c>
      <c r="H2366">
        <v>7</v>
      </c>
      <c r="I2366">
        <v>44</v>
      </c>
      <c r="J2366" t="s">
        <v>11</v>
      </c>
    </row>
    <row r="2367" spans="1:10">
      <c r="A2367">
        <v>2366</v>
      </c>
      <c r="B2367" s="1">
        <v>44943</v>
      </c>
      <c r="C2367" t="s">
        <v>10</v>
      </c>
      <c r="D2367">
        <v>699</v>
      </c>
      <c r="E2367">
        <v>24.8</v>
      </c>
      <c r="F2367">
        <v>1</v>
      </c>
      <c r="G2367">
        <v>2</v>
      </c>
      <c r="H2367">
        <v>24</v>
      </c>
      <c r="I2367">
        <v>18</v>
      </c>
      <c r="J2367" t="s">
        <v>13</v>
      </c>
    </row>
    <row r="2368" spans="1:10">
      <c r="A2368">
        <v>2367</v>
      </c>
      <c r="B2368" s="1">
        <v>45513</v>
      </c>
      <c r="C2368" t="s">
        <v>10</v>
      </c>
      <c r="D2368">
        <v>699</v>
      </c>
      <c r="E2368">
        <v>24.8</v>
      </c>
      <c r="F2368">
        <v>2</v>
      </c>
      <c r="G2368">
        <v>3</v>
      </c>
      <c r="H2368">
        <v>29</v>
      </c>
      <c r="I2368">
        <v>48</v>
      </c>
      <c r="J2368" t="s">
        <v>11</v>
      </c>
    </row>
    <row r="2369" spans="1:10">
      <c r="A2369">
        <v>2368</v>
      </c>
      <c r="B2369" s="1">
        <v>45584</v>
      </c>
      <c r="C2369" t="s">
        <v>10</v>
      </c>
      <c r="D2369">
        <v>699</v>
      </c>
      <c r="E2369">
        <v>19.3</v>
      </c>
      <c r="F2369">
        <v>6</v>
      </c>
      <c r="G2369">
        <v>5</v>
      </c>
      <c r="H2369">
        <v>27</v>
      </c>
      <c r="I2369">
        <v>18</v>
      </c>
      <c r="J2369" t="s">
        <v>13</v>
      </c>
    </row>
    <row r="2370" spans="1:10">
      <c r="A2370">
        <v>2369</v>
      </c>
      <c r="B2370" s="1">
        <v>45301</v>
      </c>
      <c r="C2370" t="s">
        <v>10</v>
      </c>
      <c r="D2370">
        <v>699</v>
      </c>
      <c r="E2370">
        <v>2.7</v>
      </c>
      <c r="F2370">
        <v>8</v>
      </c>
      <c r="G2370">
        <v>2</v>
      </c>
      <c r="H2370">
        <v>30</v>
      </c>
      <c r="I2370">
        <v>9</v>
      </c>
      <c r="J2370" t="s">
        <v>11</v>
      </c>
    </row>
    <row r="2371" spans="1:10">
      <c r="A2371">
        <v>2370</v>
      </c>
      <c r="B2371" s="1">
        <v>45228</v>
      </c>
      <c r="C2371" t="s">
        <v>10</v>
      </c>
      <c r="D2371">
        <v>699</v>
      </c>
      <c r="E2371">
        <v>16.100000000000001</v>
      </c>
      <c r="F2371">
        <v>3</v>
      </c>
      <c r="G2371">
        <v>1</v>
      </c>
      <c r="H2371">
        <v>25</v>
      </c>
      <c r="I2371">
        <v>21</v>
      </c>
      <c r="J2371" t="s">
        <v>13</v>
      </c>
    </row>
    <row r="2372" spans="1:10">
      <c r="A2372">
        <v>2371</v>
      </c>
      <c r="B2372" s="1">
        <v>45116</v>
      </c>
      <c r="C2372" t="s">
        <v>12</v>
      </c>
      <c r="D2372">
        <v>199</v>
      </c>
      <c r="E2372">
        <v>22.2</v>
      </c>
      <c r="F2372">
        <v>3</v>
      </c>
      <c r="G2372">
        <v>1</v>
      </c>
      <c r="H2372">
        <v>33</v>
      </c>
      <c r="I2372">
        <v>56</v>
      </c>
      <c r="J2372" t="s">
        <v>11</v>
      </c>
    </row>
    <row r="2373" spans="1:10">
      <c r="A2373">
        <v>2372</v>
      </c>
      <c r="B2373" s="1">
        <v>44983</v>
      </c>
      <c r="C2373" t="s">
        <v>12</v>
      </c>
      <c r="D2373">
        <v>199</v>
      </c>
      <c r="E2373">
        <v>19.600000000000001</v>
      </c>
      <c r="F2373">
        <v>6</v>
      </c>
      <c r="G2373">
        <v>3</v>
      </c>
      <c r="H2373">
        <v>19</v>
      </c>
      <c r="I2373">
        <v>36</v>
      </c>
      <c r="J2373" t="s">
        <v>11</v>
      </c>
    </row>
    <row r="2374" spans="1:10">
      <c r="A2374">
        <v>2373</v>
      </c>
      <c r="B2374" s="1">
        <v>45395</v>
      </c>
      <c r="C2374" t="s">
        <v>14</v>
      </c>
      <c r="D2374">
        <v>399</v>
      </c>
      <c r="E2374">
        <v>24.8</v>
      </c>
      <c r="F2374">
        <v>7</v>
      </c>
      <c r="G2374">
        <v>1</v>
      </c>
      <c r="H2374">
        <v>2</v>
      </c>
      <c r="I2374">
        <v>25</v>
      </c>
      <c r="J2374" t="s">
        <v>13</v>
      </c>
    </row>
    <row r="2375" spans="1:10">
      <c r="A2375">
        <v>2374</v>
      </c>
      <c r="B2375" s="1">
        <v>45160</v>
      </c>
      <c r="C2375" t="s">
        <v>14</v>
      </c>
      <c r="D2375">
        <v>399</v>
      </c>
      <c r="E2375">
        <v>16.2</v>
      </c>
      <c r="F2375">
        <v>2</v>
      </c>
      <c r="G2375">
        <v>5</v>
      </c>
      <c r="H2375">
        <v>2</v>
      </c>
      <c r="I2375">
        <v>13</v>
      </c>
      <c r="J2375" t="s">
        <v>11</v>
      </c>
    </row>
    <row r="2376" spans="1:10">
      <c r="A2376">
        <v>2375</v>
      </c>
      <c r="B2376" s="1">
        <v>45459</v>
      </c>
      <c r="C2376" t="s">
        <v>10</v>
      </c>
      <c r="D2376">
        <v>699</v>
      </c>
      <c r="E2376">
        <v>8.5</v>
      </c>
      <c r="F2376">
        <v>5</v>
      </c>
      <c r="G2376">
        <v>5</v>
      </c>
      <c r="H2376">
        <v>15</v>
      </c>
      <c r="I2376">
        <v>15</v>
      </c>
      <c r="J2376" t="s">
        <v>13</v>
      </c>
    </row>
    <row r="2377" spans="1:10">
      <c r="A2377">
        <v>2376</v>
      </c>
      <c r="B2377" s="1">
        <v>45344</v>
      </c>
      <c r="C2377" t="s">
        <v>12</v>
      </c>
      <c r="D2377">
        <v>199</v>
      </c>
      <c r="E2377">
        <v>19</v>
      </c>
      <c r="F2377">
        <v>4</v>
      </c>
      <c r="G2377">
        <v>0</v>
      </c>
      <c r="H2377">
        <v>36</v>
      </c>
      <c r="I2377">
        <v>57</v>
      </c>
      <c r="J2377" t="s">
        <v>11</v>
      </c>
    </row>
    <row r="2378" spans="1:10">
      <c r="A2378">
        <v>2377</v>
      </c>
      <c r="B2378" s="1">
        <v>45077</v>
      </c>
      <c r="C2378" t="s">
        <v>10</v>
      </c>
      <c r="D2378">
        <v>699</v>
      </c>
      <c r="E2378">
        <v>24.5</v>
      </c>
      <c r="F2378">
        <v>6</v>
      </c>
      <c r="G2378">
        <v>2</v>
      </c>
      <c r="H2378">
        <v>8</v>
      </c>
      <c r="I2378">
        <v>1</v>
      </c>
      <c r="J2378" t="s">
        <v>13</v>
      </c>
    </row>
    <row r="2379" spans="1:10">
      <c r="A2379">
        <v>2378</v>
      </c>
      <c r="B2379" s="1">
        <v>45490</v>
      </c>
      <c r="C2379" t="s">
        <v>14</v>
      </c>
      <c r="D2379">
        <v>399</v>
      </c>
      <c r="E2379">
        <v>13.8</v>
      </c>
      <c r="F2379">
        <v>2</v>
      </c>
      <c r="G2379">
        <v>3</v>
      </c>
      <c r="H2379">
        <v>23</v>
      </c>
      <c r="I2379">
        <v>42</v>
      </c>
      <c r="J2379" t="s">
        <v>11</v>
      </c>
    </row>
    <row r="2380" spans="1:10">
      <c r="A2380">
        <v>2379</v>
      </c>
      <c r="B2380" s="1">
        <v>45363</v>
      </c>
      <c r="C2380" t="s">
        <v>14</v>
      </c>
      <c r="D2380">
        <v>399</v>
      </c>
      <c r="E2380">
        <v>8.9</v>
      </c>
      <c r="F2380">
        <v>1</v>
      </c>
      <c r="G2380">
        <v>1</v>
      </c>
      <c r="H2380">
        <v>25</v>
      </c>
      <c r="I2380">
        <v>0</v>
      </c>
      <c r="J2380" t="s">
        <v>13</v>
      </c>
    </row>
    <row r="2381" spans="1:10">
      <c r="A2381">
        <v>2380</v>
      </c>
      <c r="B2381" s="1">
        <v>45050</v>
      </c>
      <c r="C2381" t="s">
        <v>12</v>
      </c>
      <c r="D2381">
        <v>199</v>
      </c>
      <c r="E2381">
        <v>19.3</v>
      </c>
      <c r="F2381">
        <v>8</v>
      </c>
      <c r="G2381">
        <v>2</v>
      </c>
      <c r="H2381">
        <v>10</v>
      </c>
      <c r="I2381">
        <v>36</v>
      </c>
      <c r="J2381" t="s">
        <v>11</v>
      </c>
    </row>
    <row r="2382" spans="1:10">
      <c r="A2382">
        <v>2381</v>
      </c>
      <c r="B2382" s="1">
        <v>45245</v>
      </c>
      <c r="C2382" t="s">
        <v>14</v>
      </c>
      <c r="D2382">
        <v>399</v>
      </c>
      <c r="E2382">
        <v>19.5</v>
      </c>
      <c r="F2382">
        <v>6</v>
      </c>
      <c r="G2382">
        <v>4</v>
      </c>
      <c r="H2382">
        <v>13</v>
      </c>
      <c r="I2382">
        <v>9</v>
      </c>
      <c r="J2382" t="s">
        <v>11</v>
      </c>
    </row>
    <row r="2383" spans="1:10">
      <c r="A2383">
        <v>2382</v>
      </c>
      <c r="B2383" s="1">
        <v>45416</v>
      </c>
      <c r="C2383" t="s">
        <v>10</v>
      </c>
      <c r="D2383">
        <v>699</v>
      </c>
      <c r="E2383">
        <v>15.8</v>
      </c>
      <c r="F2383">
        <v>0</v>
      </c>
      <c r="G2383">
        <v>0</v>
      </c>
      <c r="H2383">
        <v>18</v>
      </c>
      <c r="I2383">
        <v>53</v>
      </c>
      <c r="J2383" t="s">
        <v>13</v>
      </c>
    </row>
    <row r="2384" spans="1:10">
      <c r="A2384">
        <v>2383</v>
      </c>
      <c r="B2384" s="1">
        <v>45325</v>
      </c>
      <c r="C2384" t="s">
        <v>12</v>
      </c>
      <c r="D2384">
        <v>199</v>
      </c>
      <c r="E2384">
        <v>0.7</v>
      </c>
      <c r="F2384">
        <v>8</v>
      </c>
      <c r="G2384">
        <v>3</v>
      </c>
      <c r="H2384">
        <v>1</v>
      </c>
      <c r="I2384">
        <v>38</v>
      </c>
      <c r="J2384" t="s">
        <v>11</v>
      </c>
    </row>
    <row r="2385" spans="1:10">
      <c r="A2385">
        <v>2384</v>
      </c>
      <c r="B2385" s="1">
        <v>45611</v>
      </c>
      <c r="C2385" t="s">
        <v>12</v>
      </c>
      <c r="D2385">
        <v>199</v>
      </c>
      <c r="E2385">
        <v>3.4</v>
      </c>
      <c r="F2385">
        <v>6</v>
      </c>
      <c r="G2385">
        <v>4</v>
      </c>
      <c r="H2385">
        <v>4</v>
      </c>
      <c r="I2385">
        <v>12</v>
      </c>
      <c r="J2385" t="s">
        <v>11</v>
      </c>
    </row>
    <row r="2386" spans="1:10">
      <c r="A2386">
        <v>2385</v>
      </c>
      <c r="B2386" s="1">
        <v>45467</v>
      </c>
      <c r="C2386" t="s">
        <v>12</v>
      </c>
      <c r="D2386">
        <v>199</v>
      </c>
      <c r="E2386">
        <v>20.7</v>
      </c>
      <c r="F2386">
        <v>0</v>
      </c>
      <c r="G2386">
        <v>0</v>
      </c>
      <c r="H2386">
        <v>22</v>
      </c>
      <c r="I2386">
        <v>60</v>
      </c>
      <c r="J2386" t="s">
        <v>11</v>
      </c>
    </row>
    <row r="2387" spans="1:10">
      <c r="A2387">
        <v>2386</v>
      </c>
      <c r="B2387" s="1">
        <v>45344</v>
      </c>
      <c r="C2387" t="s">
        <v>12</v>
      </c>
      <c r="D2387">
        <v>199</v>
      </c>
      <c r="E2387">
        <v>2.5</v>
      </c>
      <c r="F2387">
        <v>1</v>
      </c>
      <c r="G2387">
        <v>5</v>
      </c>
      <c r="H2387">
        <v>18</v>
      </c>
      <c r="I2387">
        <v>20</v>
      </c>
      <c r="J2387" t="s">
        <v>11</v>
      </c>
    </row>
    <row r="2388" spans="1:10">
      <c r="A2388">
        <v>2387</v>
      </c>
      <c r="B2388" s="1">
        <v>44978</v>
      </c>
      <c r="C2388" t="s">
        <v>12</v>
      </c>
      <c r="D2388">
        <v>199</v>
      </c>
      <c r="E2388">
        <v>5.3</v>
      </c>
      <c r="F2388">
        <v>7</v>
      </c>
      <c r="G2388">
        <v>5</v>
      </c>
      <c r="H2388">
        <v>34</v>
      </c>
      <c r="I2388">
        <v>26</v>
      </c>
      <c r="J2388" t="s">
        <v>11</v>
      </c>
    </row>
    <row r="2389" spans="1:10">
      <c r="A2389">
        <v>2388</v>
      </c>
      <c r="B2389" s="1">
        <v>45378</v>
      </c>
      <c r="C2389" t="s">
        <v>10</v>
      </c>
      <c r="D2389">
        <v>699</v>
      </c>
      <c r="E2389">
        <v>5.9</v>
      </c>
      <c r="F2389">
        <v>4</v>
      </c>
      <c r="G2389">
        <v>2</v>
      </c>
      <c r="H2389">
        <v>24</v>
      </c>
      <c r="I2389">
        <v>1</v>
      </c>
      <c r="J2389" t="s">
        <v>13</v>
      </c>
    </row>
    <row r="2390" spans="1:10">
      <c r="A2390">
        <v>2389</v>
      </c>
      <c r="B2390" s="1">
        <v>45070</v>
      </c>
      <c r="C2390" t="s">
        <v>14</v>
      </c>
      <c r="D2390">
        <v>399</v>
      </c>
      <c r="E2390">
        <v>10.1</v>
      </c>
      <c r="F2390">
        <v>0</v>
      </c>
      <c r="G2390">
        <v>5</v>
      </c>
      <c r="H2390">
        <v>19</v>
      </c>
      <c r="I2390">
        <v>60</v>
      </c>
      <c r="J2390" t="s">
        <v>11</v>
      </c>
    </row>
    <row r="2391" spans="1:10">
      <c r="A2391">
        <v>2390</v>
      </c>
      <c r="B2391" s="1">
        <v>45279</v>
      </c>
      <c r="C2391" t="s">
        <v>10</v>
      </c>
      <c r="D2391">
        <v>699</v>
      </c>
      <c r="E2391">
        <v>19.2</v>
      </c>
      <c r="F2391">
        <v>6</v>
      </c>
      <c r="G2391">
        <v>5</v>
      </c>
      <c r="H2391">
        <v>26</v>
      </c>
      <c r="I2391">
        <v>8</v>
      </c>
      <c r="J2391" t="s">
        <v>13</v>
      </c>
    </row>
    <row r="2392" spans="1:10">
      <c r="A2392">
        <v>2391</v>
      </c>
      <c r="B2392" s="1">
        <v>45320</v>
      </c>
      <c r="C2392" t="s">
        <v>12</v>
      </c>
      <c r="D2392">
        <v>199</v>
      </c>
      <c r="E2392">
        <v>20.100000000000001</v>
      </c>
      <c r="F2392">
        <v>7</v>
      </c>
      <c r="G2392">
        <v>5</v>
      </c>
      <c r="H2392">
        <v>36</v>
      </c>
      <c r="I2392">
        <v>40</v>
      </c>
      <c r="J2392" t="s">
        <v>13</v>
      </c>
    </row>
    <row r="2393" spans="1:10">
      <c r="A2393">
        <v>2392</v>
      </c>
      <c r="B2393" s="1">
        <v>45463</v>
      </c>
      <c r="C2393" t="s">
        <v>12</v>
      </c>
      <c r="D2393">
        <v>199</v>
      </c>
      <c r="E2393">
        <v>14.4</v>
      </c>
      <c r="F2393">
        <v>1</v>
      </c>
      <c r="G2393">
        <v>2</v>
      </c>
      <c r="H2393">
        <v>11</v>
      </c>
      <c r="I2393">
        <v>1</v>
      </c>
      <c r="J2393" t="s">
        <v>13</v>
      </c>
    </row>
    <row r="2394" spans="1:10">
      <c r="A2394">
        <v>2393</v>
      </c>
      <c r="B2394" s="1">
        <v>45018</v>
      </c>
      <c r="C2394" t="s">
        <v>10</v>
      </c>
      <c r="D2394">
        <v>699</v>
      </c>
      <c r="E2394">
        <v>6.9</v>
      </c>
      <c r="F2394">
        <v>3</v>
      </c>
      <c r="G2394">
        <v>1</v>
      </c>
      <c r="H2394">
        <v>35</v>
      </c>
      <c r="I2394">
        <v>12</v>
      </c>
      <c r="J2394" t="s">
        <v>13</v>
      </c>
    </row>
    <row r="2395" spans="1:10">
      <c r="A2395">
        <v>2394</v>
      </c>
      <c r="B2395" s="1">
        <v>45337</v>
      </c>
      <c r="C2395" t="s">
        <v>12</v>
      </c>
      <c r="D2395">
        <v>199</v>
      </c>
      <c r="E2395">
        <v>9.3000000000000007</v>
      </c>
      <c r="F2395">
        <v>2</v>
      </c>
      <c r="G2395">
        <v>1</v>
      </c>
      <c r="H2395">
        <v>21</v>
      </c>
      <c r="I2395">
        <v>22</v>
      </c>
      <c r="J2395" t="s">
        <v>13</v>
      </c>
    </row>
    <row r="2396" spans="1:10">
      <c r="A2396">
        <v>2395</v>
      </c>
      <c r="B2396" s="1">
        <v>45095</v>
      </c>
      <c r="C2396" t="s">
        <v>12</v>
      </c>
      <c r="D2396">
        <v>199</v>
      </c>
      <c r="E2396">
        <v>13.8</v>
      </c>
      <c r="F2396">
        <v>1</v>
      </c>
      <c r="G2396">
        <v>3</v>
      </c>
      <c r="H2396">
        <v>30</v>
      </c>
      <c r="I2396">
        <v>0</v>
      </c>
      <c r="J2396" t="s">
        <v>11</v>
      </c>
    </row>
    <row r="2397" spans="1:10">
      <c r="A2397">
        <v>2396</v>
      </c>
      <c r="B2397" s="1">
        <v>45359</v>
      </c>
      <c r="C2397" t="s">
        <v>10</v>
      </c>
      <c r="D2397">
        <v>699</v>
      </c>
      <c r="E2397">
        <v>2.4</v>
      </c>
      <c r="F2397">
        <v>2</v>
      </c>
      <c r="G2397">
        <v>0</v>
      </c>
      <c r="H2397">
        <v>7</v>
      </c>
      <c r="I2397">
        <v>24</v>
      </c>
      <c r="J2397" t="s">
        <v>11</v>
      </c>
    </row>
    <row r="2398" spans="1:10">
      <c r="A2398">
        <v>2397</v>
      </c>
      <c r="B2398" s="1">
        <v>45514</v>
      </c>
      <c r="C2398" t="s">
        <v>12</v>
      </c>
      <c r="D2398">
        <v>199</v>
      </c>
      <c r="E2398">
        <v>24.5</v>
      </c>
      <c r="F2398">
        <v>5</v>
      </c>
      <c r="G2398">
        <v>1</v>
      </c>
      <c r="H2398">
        <v>33</v>
      </c>
      <c r="I2398">
        <v>29</v>
      </c>
      <c r="J2398" t="s">
        <v>11</v>
      </c>
    </row>
    <row r="2399" spans="1:10">
      <c r="A2399">
        <v>2398</v>
      </c>
      <c r="B2399" s="1">
        <v>45485</v>
      </c>
      <c r="C2399" t="s">
        <v>14</v>
      </c>
      <c r="D2399">
        <v>399</v>
      </c>
      <c r="E2399">
        <v>3.5</v>
      </c>
      <c r="F2399">
        <v>3</v>
      </c>
      <c r="G2399">
        <v>3</v>
      </c>
      <c r="H2399">
        <v>25</v>
      </c>
      <c r="I2399">
        <v>4</v>
      </c>
      <c r="J2399" t="s">
        <v>13</v>
      </c>
    </row>
    <row r="2400" spans="1:10">
      <c r="A2400">
        <v>2399</v>
      </c>
      <c r="B2400" s="1">
        <v>45257</v>
      </c>
      <c r="C2400" t="s">
        <v>14</v>
      </c>
      <c r="D2400">
        <v>399</v>
      </c>
      <c r="E2400">
        <v>7</v>
      </c>
      <c r="F2400">
        <v>0</v>
      </c>
      <c r="G2400">
        <v>5</v>
      </c>
      <c r="H2400">
        <v>20</v>
      </c>
      <c r="I2400">
        <v>10</v>
      </c>
      <c r="J2400" t="s">
        <v>13</v>
      </c>
    </row>
    <row r="2401" spans="1:10">
      <c r="A2401">
        <v>2400</v>
      </c>
      <c r="B2401" s="1">
        <v>45023</v>
      </c>
      <c r="C2401" t="s">
        <v>12</v>
      </c>
      <c r="D2401">
        <v>199</v>
      </c>
      <c r="E2401">
        <v>21.7</v>
      </c>
      <c r="F2401">
        <v>4</v>
      </c>
      <c r="G2401">
        <v>4</v>
      </c>
      <c r="H2401">
        <v>10</v>
      </c>
      <c r="I2401">
        <v>2</v>
      </c>
      <c r="J2401" t="s">
        <v>13</v>
      </c>
    </row>
    <row r="2402" spans="1:10">
      <c r="A2402">
        <v>2401</v>
      </c>
      <c r="B2402" s="1">
        <v>45183</v>
      </c>
      <c r="C2402" t="s">
        <v>14</v>
      </c>
      <c r="D2402">
        <v>399</v>
      </c>
      <c r="E2402">
        <v>7.5</v>
      </c>
      <c r="F2402">
        <v>0</v>
      </c>
      <c r="G2402">
        <v>1</v>
      </c>
      <c r="H2402">
        <v>18</v>
      </c>
      <c r="I2402">
        <v>28</v>
      </c>
      <c r="J2402" t="s">
        <v>11</v>
      </c>
    </row>
    <row r="2403" spans="1:10">
      <c r="A2403">
        <v>2402</v>
      </c>
      <c r="B2403" s="1">
        <v>45438</v>
      </c>
      <c r="C2403" t="s">
        <v>12</v>
      </c>
      <c r="D2403">
        <v>199</v>
      </c>
      <c r="E2403">
        <v>12</v>
      </c>
      <c r="F2403">
        <v>1</v>
      </c>
      <c r="G2403">
        <v>1</v>
      </c>
      <c r="H2403">
        <v>26</v>
      </c>
      <c r="I2403">
        <v>57</v>
      </c>
      <c r="J2403" t="s">
        <v>13</v>
      </c>
    </row>
    <row r="2404" spans="1:10">
      <c r="A2404">
        <v>2403</v>
      </c>
      <c r="B2404" s="1">
        <v>45581</v>
      </c>
      <c r="C2404" t="s">
        <v>10</v>
      </c>
      <c r="D2404">
        <v>699</v>
      </c>
      <c r="E2404">
        <v>4.7</v>
      </c>
      <c r="F2404">
        <v>2</v>
      </c>
      <c r="G2404">
        <v>0</v>
      </c>
      <c r="H2404">
        <v>33</v>
      </c>
      <c r="I2404">
        <v>0</v>
      </c>
      <c r="J2404" t="s">
        <v>13</v>
      </c>
    </row>
    <row r="2405" spans="1:10">
      <c r="A2405">
        <v>2404</v>
      </c>
      <c r="B2405" s="1">
        <v>45194</v>
      </c>
      <c r="C2405" t="s">
        <v>12</v>
      </c>
      <c r="D2405">
        <v>199</v>
      </c>
      <c r="E2405">
        <v>22.4</v>
      </c>
      <c r="F2405">
        <v>8</v>
      </c>
      <c r="G2405">
        <v>1</v>
      </c>
      <c r="H2405">
        <v>32</v>
      </c>
      <c r="I2405">
        <v>6</v>
      </c>
      <c r="J2405" t="s">
        <v>13</v>
      </c>
    </row>
    <row r="2406" spans="1:10">
      <c r="A2406">
        <v>2405</v>
      </c>
      <c r="B2406" s="1">
        <v>45630</v>
      </c>
      <c r="C2406" t="s">
        <v>10</v>
      </c>
      <c r="D2406">
        <v>699</v>
      </c>
      <c r="E2406">
        <v>4.7</v>
      </c>
      <c r="F2406">
        <v>8</v>
      </c>
      <c r="G2406">
        <v>2</v>
      </c>
      <c r="H2406">
        <v>27</v>
      </c>
      <c r="I2406">
        <v>47</v>
      </c>
      <c r="J2406" t="s">
        <v>11</v>
      </c>
    </row>
    <row r="2407" spans="1:10">
      <c r="A2407">
        <v>2406</v>
      </c>
      <c r="B2407" s="1">
        <v>45175</v>
      </c>
      <c r="C2407" t="s">
        <v>10</v>
      </c>
      <c r="D2407">
        <v>699</v>
      </c>
      <c r="E2407">
        <v>6.2</v>
      </c>
      <c r="F2407">
        <v>6</v>
      </c>
      <c r="G2407">
        <v>1</v>
      </c>
      <c r="H2407">
        <v>29</v>
      </c>
      <c r="I2407">
        <v>55</v>
      </c>
      <c r="J2407" t="s">
        <v>13</v>
      </c>
    </row>
    <row r="2408" spans="1:10">
      <c r="A2408">
        <v>2407</v>
      </c>
      <c r="B2408" s="1">
        <v>45513</v>
      </c>
      <c r="C2408" t="s">
        <v>12</v>
      </c>
      <c r="D2408">
        <v>199</v>
      </c>
      <c r="E2408">
        <v>4.8</v>
      </c>
      <c r="F2408">
        <v>5</v>
      </c>
      <c r="G2408">
        <v>3</v>
      </c>
      <c r="H2408">
        <v>33</v>
      </c>
      <c r="I2408">
        <v>1</v>
      </c>
      <c r="J2408" t="s">
        <v>11</v>
      </c>
    </row>
    <row r="2409" spans="1:10">
      <c r="A2409">
        <v>2408</v>
      </c>
      <c r="B2409" s="1">
        <v>45624</v>
      </c>
      <c r="C2409" t="s">
        <v>14</v>
      </c>
      <c r="D2409">
        <v>399</v>
      </c>
      <c r="E2409">
        <v>12.6</v>
      </c>
      <c r="F2409">
        <v>8</v>
      </c>
      <c r="G2409">
        <v>5</v>
      </c>
      <c r="H2409">
        <v>2</v>
      </c>
      <c r="I2409">
        <v>40</v>
      </c>
      <c r="J2409" t="s">
        <v>11</v>
      </c>
    </row>
    <row r="2410" spans="1:10">
      <c r="A2410">
        <v>2409</v>
      </c>
      <c r="B2410" s="1">
        <v>45168</v>
      </c>
      <c r="C2410" t="s">
        <v>12</v>
      </c>
      <c r="D2410">
        <v>199</v>
      </c>
      <c r="E2410">
        <v>12.2</v>
      </c>
      <c r="F2410">
        <v>0</v>
      </c>
      <c r="G2410">
        <v>3</v>
      </c>
      <c r="H2410">
        <v>30</v>
      </c>
      <c r="I2410">
        <v>55</v>
      </c>
      <c r="J2410" t="s">
        <v>13</v>
      </c>
    </row>
    <row r="2411" spans="1:10">
      <c r="A2411">
        <v>2410</v>
      </c>
      <c r="B2411" s="1">
        <v>45312</v>
      </c>
      <c r="C2411" t="s">
        <v>14</v>
      </c>
      <c r="D2411">
        <v>399</v>
      </c>
      <c r="E2411">
        <v>19.600000000000001</v>
      </c>
      <c r="F2411">
        <v>2</v>
      </c>
      <c r="G2411">
        <v>0</v>
      </c>
      <c r="H2411">
        <v>34</v>
      </c>
      <c r="I2411">
        <v>23</v>
      </c>
      <c r="J2411" t="s">
        <v>13</v>
      </c>
    </row>
    <row r="2412" spans="1:10">
      <c r="A2412">
        <v>2411</v>
      </c>
      <c r="B2412" s="1">
        <v>45262</v>
      </c>
      <c r="C2412" t="s">
        <v>10</v>
      </c>
      <c r="D2412">
        <v>699</v>
      </c>
      <c r="E2412">
        <v>2.6</v>
      </c>
      <c r="F2412">
        <v>2</v>
      </c>
      <c r="G2412">
        <v>1</v>
      </c>
      <c r="H2412">
        <v>10</v>
      </c>
      <c r="I2412">
        <v>14</v>
      </c>
      <c r="J2412" t="s">
        <v>13</v>
      </c>
    </row>
    <row r="2413" spans="1:10">
      <c r="A2413">
        <v>2412</v>
      </c>
      <c r="B2413" s="1">
        <v>44942</v>
      </c>
      <c r="C2413" t="s">
        <v>10</v>
      </c>
      <c r="D2413">
        <v>699</v>
      </c>
      <c r="E2413">
        <v>2.6</v>
      </c>
      <c r="F2413">
        <v>6</v>
      </c>
      <c r="G2413">
        <v>5</v>
      </c>
      <c r="H2413">
        <v>11</v>
      </c>
      <c r="I2413">
        <v>55</v>
      </c>
      <c r="J2413" t="s">
        <v>11</v>
      </c>
    </row>
    <row r="2414" spans="1:10">
      <c r="A2414">
        <v>2413</v>
      </c>
      <c r="B2414" s="1">
        <v>45080</v>
      </c>
      <c r="C2414" t="s">
        <v>14</v>
      </c>
      <c r="D2414">
        <v>399</v>
      </c>
      <c r="E2414">
        <v>24.7</v>
      </c>
      <c r="F2414">
        <v>1</v>
      </c>
      <c r="G2414">
        <v>5</v>
      </c>
      <c r="H2414">
        <v>35</v>
      </c>
      <c r="I2414">
        <v>16</v>
      </c>
      <c r="J2414" t="s">
        <v>13</v>
      </c>
    </row>
    <row r="2415" spans="1:10">
      <c r="A2415">
        <v>2414</v>
      </c>
      <c r="B2415" s="1">
        <v>45508</v>
      </c>
      <c r="C2415" t="s">
        <v>10</v>
      </c>
      <c r="D2415">
        <v>699</v>
      </c>
      <c r="E2415">
        <v>13.3</v>
      </c>
      <c r="F2415">
        <v>2</v>
      </c>
      <c r="G2415">
        <v>0</v>
      </c>
      <c r="H2415">
        <v>5</v>
      </c>
      <c r="I2415">
        <v>36</v>
      </c>
      <c r="J2415" t="s">
        <v>11</v>
      </c>
    </row>
    <row r="2416" spans="1:10">
      <c r="A2416">
        <v>2415</v>
      </c>
      <c r="B2416" s="1">
        <v>45625</v>
      </c>
      <c r="C2416" t="s">
        <v>14</v>
      </c>
      <c r="D2416">
        <v>399</v>
      </c>
      <c r="E2416">
        <v>19</v>
      </c>
      <c r="F2416">
        <v>0</v>
      </c>
      <c r="G2416">
        <v>4</v>
      </c>
      <c r="H2416">
        <v>30</v>
      </c>
      <c r="I2416">
        <v>37</v>
      </c>
      <c r="J2416" t="s">
        <v>11</v>
      </c>
    </row>
    <row r="2417" spans="1:10">
      <c r="A2417">
        <v>2416</v>
      </c>
      <c r="B2417" s="1">
        <v>44943</v>
      </c>
      <c r="C2417" t="s">
        <v>14</v>
      </c>
      <c r="D2417">
        <v>399</v>
      </c>
      <c r="E2417">
        <v>11</v>
      </c>
      <c r="F2417">
        <v>8</v>
      </c>
      <c r="G2417">
        <v>2</v>
      </c>
      <c r="H2417">
        <v>16</v>
      </c>
      <c r="I2417">
        <v>50</v>
      </c>
      <c r="J2417" t="s">
        <v>11</v>
      </c>
    </row>
    <row r="2418" spans="1:10">
      <c r="A2418">
        <v>2417</v>
      </c>
      <c r="B2418" s="1">
        <v>45546</v>
      </c>
      <c r="C2418" t="s">
        <v>12</v>
      </c>
      <c r="D2418">
        <v>199</v>
      </c>
      <c r="E2418">
        <v>22.4</v>
      </c>
      <c r="F2418">
        <v>0</v>
      </c>
      <c r="G2418">
        <v>2</v>
      </c>
      <c r="H2418">
        <v>9</v>
      </c>
      <c r="I2418">
        <v>51</v>
      </c>
      <c r="J2418" t="s">
        <v>11</v>
      </c>
    </row>
    <row r="2419" spans="1:10">
      <c r="A2419">
        <v>2418</v>
      </c>
      <c r="B2419" s="1">
        <v>45635</v>
      </c>
      <c r="C2419" t="s">
        <v>10</v>
      </c>
      <c r="D2419">
        <v>699</v>
      </c>
      <c r="E2419">
        <v>16.7</v>
      </c>
      <c r="F2419">
        <v>8</v>
      </c>
      <c r="G2419">
        <v>3</v>
      </c>
      <c r="H2419">
        <v>15</v>
      </c>
      <c r="I2419">
        <v>46</v>
      </c>
      <c r="J2419" t="s">
        <v>11</v>
      </c>
    </row>
    <row r="2420" spans="1:10">
      <c r="A2420">
        <v>2419</v>
      </c>
      <c r="B2420" s="1">
        <v>45551</v>
      </c>
      <c r="C2420" t="s">
        <v>14</v>
      </c>
      <c r="D2420">
        <v>399</v>
      </c>
      <c r="E2420">
        <v>24.2</v>
      </c>
      <c r="F2420">
        <v>2</v>
      </c>
      <c r="G2420">
        <v>2</v>
      </c>
      <c r="H2420">
        <v>33</v>
      </c>
      <c r="I2420">
        <v>56</v>
      </c>
      <c r="J2420" t="s">
        <v>13</v>
      </c>
    </row>
    <row r="2421" spans="1:10">
      <c r="A2421">
        <v>2420</v>
      </c>
      <c r="B2421" s="1">
        <v>45485</v>
      </c>
      <c r="C2421" t="s">
        <v>10</v>
      </c>
      <c r="D2421">
        <v>699</v>
      </c>
      <c r="E2421">
        <v>15.9</v>
      </c>
      <c r="F2421">
        <v>1</v>
      </c>
      <c r="G2421">
        <v>2</v>
      </c>
      <c r="H2421">
        <v>36</v>
      </c>
      <c r="I2421">
        <v>22</v>
      </c>
      <c r="J2421" t="s">
        <v>11</v>
      </c>
    </row>
    <row r="2422" spans="1:10">
      <c r="A2422">
        <v>2421</v>
      </c>
      <c r="B2422" s="1">
        <v>45292</v>
      </c>
      <c r="C2422" t="s">
        <v>10</v>
      </c>
      <c r="D2422">
        <v>699</v>
      </c>
      <c r="E2422">
        <v>24.1</v>
      </c>
      <c r="F2422">
        <v>0</v>
      </c>
      <c r="G2422">
        <v>5</v>
      </c>
      <c r="H2422">
        <v>30</v>
      </c>
      <c r="I2422">
        <v>41</v>
      </c>
      <c r="J2422" t="s">
        <v>11</v>
      </c>
    </row>
    <row r="2423" spans="1:10">
      <c r="A2423">
        <v>2422</v>
      </c>
      <c r="B2423" s="1">
        <v>45479</v>
      </c>
      <c r="C2423" t="s">
        <v>12</v>
      </c>
      <c r="D2423">
        <v>199</v>
      </c>
      <c r="E2423">
        <v>22.4</v>
      </c>
      <c r="F2423">
        <v>6</v>
      </c>
      <c r="G2423">
        <v>3</v>
      </c>
      <c r="H2423">
        <v>16</v>
      </c>
      <c r="I2423">
        <v>24</v>
      </c>
      <c r="J2423" t="s">
        <v>11</v>
      </c>
    </row>
    <row r="2424" spans="1:10">
      <c r="A2424">
        <v>2423</v>
      </c>
      <c r="B2424" s="1">
        <v>45555</v>
      </c>
      <c r="C2424" t="s">
        <v>10</v>
      </c>
      <c r="D2424">
        <v>699</v>
      </c>
      <c r="E2424">
        <v>1.1000000000000001</v>
      </c>
      <c r="F2424">
        <v>7</v>
      </c>
      <c r="G2424">
        <v>2</v>
      </c>
      <c r="H2424">
        <v>12</v>
      </c>
      <c r="I2424">
        <v>24</v>
      </c>
      <c r="J2424" t="s">
        <v>11</v>
      </c>
    </row>
    <row r="2425" spans="1:10">
      <c r="A2425">
        <v>2424</v>
      </c>
      <c r="B2425" s="1">
        <v>45565</v>
      </c>
      <c r="C2425" t="s">
        <v>12</v>
      </c>
      <c r="D2425">
        <v>199</v>
      </c>
      <c r="E2425">
        <v>12.6</v>
      </c>
      <c r="F2425">
        <v>8</v>
      </c>
      <c r="G2425">
        <v>3</v>
      </c>
      <c r="H2425">
        <v>30</v>
      </c>
      <c r="I2425">
        <v>24</v>
      </c>
      <c r="J2425" t="s">
        <v>11</v>
      </c>
    </row>
    <row r="2426" spans="1:10">
      <c r="A2426">
        <v>2425</v>
      </c>
      <c r="B2426" s="1">
        <v>45127</v>
      </c>
      <c r="C2426" t="s">
        <v>10</v>
      </c>
      <c r="D2426">
        <v>699</v>
      </c>
      <c r="E2426">
        <v>12.9</v>
      </c>
      <c r="F2426">
        <v>2</v>
      </c>
      <c r="G2426">
        <v>1</v>
      </c>
      <c r="H2426">
        <v>28</v>
      </c>
      <c r="I2426">
        <v>20</v>
      </c>
      <c r="J2426" t="s">
        <v>13</v>
      </c>
    </row>
    <row r="2427" spans="1:10">
      <c r="A2427">
        <v>2426</v>
      </c>
      <c r="B2427" s="1">
        <v>45335</v>
      </c>
      <c r="C2427" t="s">
        <v>14</v>
      </c>
      <c r="D2427">
        <v>399</v>
      </c>
      <c r="E2427">
        <v>19.899999999999999</v>
      </c>
      <c r="F2427">
        <v>8</v>
      </c>
      <c r="G2427">
        <v>2</v>
      </c>
      <c r="H2427">
        <v>3</v>
      </c>
      <c r="I2427">
        <v>43</v>
      </c>
      <c r="J2427" t="s">
        <v>11</v>
      </c>
    </row>
    <row r="2428" spans="1:10">
      <c r="A2428">
        <v>2427</v>
      </c>
      <c r="B2428" s="1">
        <v>44957</v>
      </c>
      <c r="C2428" t="s">
        <v>10</v>
      </c>
      <c r="D2428">
        <v>699</v>
      </c>
      <c r="E2428">
        <v>17.2</v>
      </c>
      <c r="F2428">
        <v>3</v>
      </c>
      <c r="G2428">
        <v>2</v>
      </c>
      <c r="H2428">
        <v>12</v>
      </c>
      <c r="I2428">
        <v>3</v>
      </c>
      <c r="J2428" t="s">
        <v>13</v>
      </c>
    </row>
    <row r="2429" spans="1:10">
      <c r="A2429">
        <v>2428</v>
      </c>
      <c r="B2429" s="1">
        <v>45629</v>
      </c>
      <c r="C2429" t="s">
        <v>10</v>
      </c>
      <c r="D2429">
        <v>699</v>
      </c>
      <c r="E2429">
        <v>19</v>
      </c>
      <c r="F2429">
        <v>6</v>
      </c>
      <c r="G2429">
        <v>3</v>
      </c>
      <c r="H2429">
        <v>24</v>
      </c>
      <c r="I2429">
        <v>46</v>
      </c>
      <c r="J2429" t="s">
        <v>11</v>
      </c>
    </row>
    <row r="2430" spans="1:10">
      <c r="A2430">
        <v>2429</v>
      </c>
      <c r="B2430" s="1">
        <v>45107</v>
      </c>
      <c r="C2430" t="s">
        <v>14</v>
      </c>
      <c r="D2430">
        <v>399</v>
      </c>
      <c r="E2430">
        <v>1.3</v>
      </c>
      <c r="F2430">
        <v>1</v>
      </c>
      <c r="G2430">
        <v>1</v>
      </c>
      <c r="H2430">
        <v>3</v>
      </c>
      <c r="I2430">
        <v>17</v>
      </c>
      <c r="J2430" t="s">
        <v>13</v>
      </c>
    </row>
    <row r="2431" spans="1:10">
      <c r="A2431">
        <v>2430</v>
      </c>
      <c r="B2431" s="1">
        <v>45329</v>
      </c>
      <c r="C2431" t="s">
        <v>10</v>
      </c>
      <c r="D2431">
        <v>699</v>
      </c>
      <c r="E2431">
        <v>21.4</v>
      </c>
      <c r="F2431">
        <v>4</v>
      </c>
      <c r="G2431">
        <v>2</v>
      </c>
      <c r="H2431">
        <v>22</v>
      </c>
      <c r="I2431">
        <v>11</v>
      </c>
      <c r="J2431" t="s">
        <v>13</v>
      </c>
    </row>
    <row r="2432" spans="1:10">
      <c r="A2432">
        <v>2431</v>
      </c>
      <c r="B2432" s="1">
        <v>45179</v>
      </c>
      <c r="C2432" t="s">
        <v>14</v>
      </c>
      <c r="D2432">
        <v>399</v>
      </c>
      <c r="E2432">
        <v>5.3</v>
      </c>
      <c r="F2432">
        <v>5</v>
      </c>
      <c r="G2432">
        <v>4</v>
      </c>
      <c r="H2432">
        <v>26</v>
      </c>
      <c r="I2432">
        <v>18</v>
      </c>
      <c r="J2432" t="s">
        <v>11</v>
      </c>
    </row>
    <row r="2433" spans="1:10">
      <c r="A2433">
        <v>2432</v>
      </c>
      <c r="B2433" s="1">
        <v>45126</v>
      </c>
      <c r="C2433" t="s">
        <v>10</v>
      </c>
      <c r="D2433">
        <v>699</v>
      </c>
      <c r="E2433">
        <v>17.2</v>
      </c>
      <c r="F2433">
        <v>4</v>
      </c>
      <c r="G2433">
        <v>3</v>
      </c>
      <c r="H2433">
        <v>9</v>
      </c>
      <c r="I2433">
        <v>53</v>
      </c>
      <c r="J2433" t="s">
        <v>13</v>
      </c>
    </row>
    <row r="2434" spans="1:10">
      <c r="A2434">
        <v>2433</v>
      </c>
      <c r="B2434" s="1">
        <v>45262</v>
      </c>
      <c r="C2434" t="s">
        <v>10</v>
      </c>
      <c r="D2434">
        <v>699</v>
      </c>
      <c r="E2434">
        <v>8.8000000000000007</v>
      </c>
      <c r="F2434">
        <v>2</v>
      </c>
      <c r="G2434">
        <v>2</v>
      </c>
      <c r="H2434">
        <v>7</v>
      </c>
      <c r="I2434">
        <v>5</v>
      </c>
      <c r="J2434" t="s">
        <v>13</v>
      </c>
    </row>
    <row r="2435" spans="1:10">
      <c r="A2435">
        <v>2434</v>
      </c>
      <c r="B2435" s="1">
        <v>45325</v>
      </c>
      <c r="C2435" t="s">
        <v>12</v>
      </c>
      <c r="D2435">
        <v>199</v>
      </c>
      <c r="E2435">
        <v>19.2</v>
      </c>
      <c r="F2435">
        <v>7</v>
      </c>
      <c r="G2435">
        <v>1</v>
      </c>
      <c r="H2435">
        <v>35</v>
      </c>
      <c r="I2435">
        <v>58</v>
      </c>
      <c r="J2435" t="s">
        <v>13</v>
      </c>
    </row>
    <row r="2436" spans="1:10">
      <c r="A2436">
        <v>2435</v>
      </c>
      <c r="B2436" s="1">
        <v>45549</v>
      </c>
      <c r="C2436" t="s">
        <v>12</v>
      </c>
      <c r="D2436">
        <v>199</v>
      </c>
      <c r="E2436">
        <v>10.4</v>
      </c>
      <c r="F2436">
        <v>3</v>
      </c>
      <c r="G2436">
        <v>5</v>
      </c>
      <c r="H2436">
        <v>11</v>
      </c>
      <c r="I2436">
        <v>14</v>
      </c>
      <c r="J2436" t="s">
        <v>11</v>
      </c>
    </row>
    <row r="2437" spans="1:10">
      <c r="A2437">
        <v>2436</v>
      </c>
      <c r="B2437" s="1">
        <v>45305</v>
      </c>
      <c r="C2437" t="s">
        <v>10</v>
      </c>
      <c r="D2437">
        <v>699</v>
      </c>
      <c r="E2437">
        <v>3</v>
      </c>
      <c r="F2437">
        <v>8</v>
      </c>
      <c r="G2437">
        <v>0</v>
      </c>
      <c r="H2437">
        <v>24</v>
      </c>
      <c r="I2437">
        <v>35</v>
      </c>
      <c r="J2437" t="s">
        <v>11</v>
      </c>
    </row>
    <row r="2438" spans="1:10">
      <c r="A2438">
        <v>2437</v>
      </c>
      <c r="B2438" s="1">
        <v>45499</v>
      </c>
      <c r="C2438" t="s">
        <v>14</v>
      </c>
      <c r="D2438">
        <v>399</v>
      </c>
      <c r="E2438">
        <v>23.8</v>
      </c>
      <c r="F2438">
        <v>7</v>
      </c>
      <c r="G2438">
        <v>4</v>
      </c>
      <c r="H2438">
        <v>2</v>
      </c>
      <c r="I2438">
        <v>16</v>
      </c>
      <c r="J2438" t="s">
        <v>13</v>
      </c>
    </row>
    <row r="2439" spans="1:10">
      <c r="A2439">
        <v>2438</v>
      </c>
      <c r="B2439" s="1">
        <v>45156</v>
      </c>
      <c r="C2439" t="s">
        <v>14</v>
      </c>
      <c r="D2439">
        <v>399</v>
      </c>
      <c r="E2439">
        <v>15.4</v>
      </c>
      <c r="F2439">
        <v>7</v>
      </c>
      <c r="G2439">
        <v>5</v>
      </c>
      <c r="H2439">
        <v>2</v>
      </c>
      <c r="I2439">
        <v>18</v>
      </c>
      <c r="J2439" t="s">
        <v>13</v>
      </c>
    </row>
    <row r="2440" spans="1:10">
      <c r="A2440">
        <v>2439</v>
      </c>
      <c r="B2440" s="1">
        <v>45517</v>
      </c>
      <c r="C2440" t="s">
        <v>12</v>
      </c>
      <c r="D2440">
        <v>199</v>
      </c>
      <c r="E2440">
        <v>8</v>
      </c>
      <c r="F2440">
        <v>1</v>
      </c>
      <c r="G2440">
        <v>5</v>
      </c>
      <c r="H2440">
        <v>13</v>
      </c>
      <c r="I2440">
        <v>57</v>
      </c>
      <c r="J2440" t="s">
        <v>11</v>
      </c>
    </row>
    <row r="2441" spans="1:10">
      <c r="A2441">
        <v>2440</v>
      </c>
      <c r="B2441" s="1">
        <v>45648</v>
      </c>
      <c r="C2441" t="s">
        <v>12</v>
      </c>
      <c r="D2441">
        <v>199</v>
      </c>
      <c r="E2441">
        <v>22.9</v>
      </c>
      <c r="F2441">
        <v>7</v>
      </c>
      <c r="G2441">
        <v>1</v>
      </c>
      <c r="H2441">
        <v>8</v>
      </c>
      <c r="I2441">
        <v>3</v>
      </c>
      <c r="J2441" t="s">
        <v>11</v>
      </c>
    </row>
    <row r="2442" spans="1:10">
      <c r="A2442">
        <v>2441</v>
      </c>
      <c r="B2442" s="1">
        <v>45330</v>
      </c>
      <c r="C2442" t="s">
        <v>14</v>
      </c>
      <c r="D2442">
        <v>399</v>
      </c>
      <c r="E2442">
        <v>7.1</v>
      </c>
      <c r="F2442">
        <v>0</v>
      </c>
      <c r="G2442">
        <v>0</v>
      </c>
      <c r="H2442">
        <v>16</v>
      </c>
      <c r="I2442">
        <v>53</v>
      </c>
      <c r="J2442" t="s">
        <v>13</v>
      </c>
    </row>
    <row r="2443" spans="1:10">
      <c r="A2443">
        <v>2442</v>
      </c>
      <c r="B2443" s="1">
        <v>45134</v>
      </c>
      <c r="C2443" t="s">
        <v>14</v>
      </c>
      <c r="D2443">
        <v>399</v>
      </c>
      <c r="E2443">
        <v>8.5</v>
      </c>
      <c r="F2443">
        <v>7</v>
      </c>
      <c r="G2443">
        <v>0</v>
      </c>
      <c r="H2443">
        <v>6</v>
      </c>
      <c r="I2443">
        <v>20</v>
      </c>
      <c r="J2443" t="s">
        <v>13</v>
      </c>
    </row>
    <row r="2444" spans="1:10">
      <c r="A2444">
        <v>2443</v>
      </c>
      <c r="B2444" s="1">
        <v>45356</v>
      </c>
      <c r="C2444" t="s">
        <v>12</v>
      </c>
      <c r="D2444">
        <v>199</v>
      </c>
      <c r="E2444">
        <v>18.399999999999999</v>
      </c>
      <c r="F2444">
        <v>5</v>
      </c>
      <c r="G2444">
        <v>4</v>
      </c>
      <c r="H2444">
        <v>14</v>
      </c>
      <c r="I2444">
        <v>56</v>
      </c>
      <c r="J2444" t="s">
        <v>11</v>
      </c>
    </row>
    <row r="2445" spans="1:10">
      <c r="A2445">
        <v>2444</v>
      </c>
      <c r="B2445" s="1">
        <v>44943</v>
      </c>
      <c r="C2445" t="s">
        <v>14</v>
      </c>
      <c r="D2445">
        <v>399</v>
      </c>
      <c r="E2445">
        <v>2.9</v>
      </c>
      <c r="F2445">
        <v>6</v>
      </c>
      <c r="G2445">
        <v>3</v>
      </c>
      <c r="H2445">
        <v>34</v>
      </c>
      <c r="I2445">
        <v>54</v>
      </c>
      <c r="J2445" t="s">
        <v>11</v>
      </c>
    </row>
    <row r="2446" spans="1:10">
      <c r="A2446">
        <v>2445</v>
      </c>
      <c r="B2446" s="1">
        <v>45038</v>
      </c>
      <c r="C2446" t="s">
        <v>10</v>
      </c>
      <c r="D2446">
        <v>699</v>
      </c>
      <c r="E2446">
        <v>23.8</v>
      </c>
      <c r="F2446">
        <v>2</v>
      </c>
      <c r="G2446">
        <v>5</v>
      </c>
      <c r="H2446">
        <v>18</v>
      </c>
      <c r="I2446">
        <v>55</v>
      </c>
      <c r="J2446" t="s">
        <v>13</v>
      </c>
    </row>
    <row r="2447" spans="1:10">
      <c r="A2447">
        <v>2446</v>
      </c>
      <c r="B2447" s="1">
        <v>45468</v>
      </c>
      <c r="C2447" t="s">
        <v>14</v>
      </c>
      <c r="D2447">
        <v>399</v>
      </c>
      <c r="E2447">
        <v>1.4</v>
      </c>
      <c r="F2447">
        <v>5</v>
      </c>
      <c r="G2447">
        <v>1</v>
      </c>
      <c r="H2447">
        <v>6</v>
      </c>
      <c r="I2447">
        <v>29</v>
      </c>
      <c r="J2447" t="s">
        <v>11</v>
      </c>
    </row>
    <row r="2448" spans="1:10">
      <c r="A2448">
        <v>2447</v>
      </c>
      <c r="B2448" s="1">
        <v>45416</v>
      </c>
      <c r="C2448" t="s">
        <v>12</v>
      </c>
      <c r="D2448">
        <v>199</v>
      </c>
      <c r="E2448">
        <v>12.1</v>
      </c>
      <c r="F2448">
        <v>0</v>
      </c>
      <c r="G2448">
        <v>4</v>
      </c>
      <c r="H2448">
        <v>34</v>
      </c>
      <c r="I2448">
        <v>46</v>
      </c>
      <c r="J2448" t="s">
        <v>13</v>
      </c>
    </row>
    <row r="2449" spans="1:10">
      <c r="A2449">
        <v>2448</v>
      </c>
      <c r="B2449" s="1">
        <v>45283</v>
      </c>
      <c r="C2449" t="s">
        <v>12</v>
      </c>
      <c r="D2449">
        <v>199</v>
      </c>
      <c r="E2449">
        <v>9.3000000000000007</v>
      </c>
      <c r="F2449">
        <v>3</v>
      </c>
      <c r="G2449">
        <v>4</v>
      </c>
      <c r="H2449">
        <v>18</v>
      </c>
      <c r="I2449">
        <v>33</v>
      </c>
      <c r="J2449" t="s">
        <v>11</v>
      </c>
    </row>
    <row r="2450" spans="1:10">
      <c r="A2450">
        <v>2449</v>
      </c>
      <c r="B2450" s="1">
        <v>45365</v>
      </c>
      <c r="C2450" t="s">
        <v>14</v>
      </c>
      <c r="D2450">
        <v>399</v>
      </c>
      <c r="E2450">
        <v>22.3</v>
      </c>
      <c r="F2450">
        <v>5</v>
      </c>
      <c r="G2450">
        <v>4</v>
      </c>
      <c r="H2450">
        <v>11</v>
      </c>
      <c r="I2450">
        <v>51</v>
      </c>
      <c r="J2450" t="s">
        <v>13</v>
      </c>
    </row>
    <row r="2451" spans="1:10">
      <c r="A2451">
        <v>2450</v>
      </c>
      <c r="B2451" s="1">
        <v>45478</v>
      </c>
      <c r="C2451" t="s">
        <v>14</v>
      </c>
      <c r="D2451">
        <v>399</v>
      </c>
      <c r="E2451">
        <v>23.9</v>
      </c>
      <c r="F2451">
        <v>8</v>
      </c>
      <c r="G2451">
        <v>3</v>
      </c>
      <c r="H2451">
        <v>4</v>
      </c>
      <c r="I2451">
        <v>50</v>
      </c>
      <c r="J2451" t="s">
        <v>13</v>
      </c>
    </row>
    <row r="2452" spans="1:10">
      <c r="A2452">
        <v>2451</v>
      </c>
      <c r="B2452" s="1">
        <v>45449</v>
      </c>
      <c r="C2452" t="s">
        <v>14</v>
      </c>
      <c r="D2452">
        <v>399</v>
      </c>
      <c r="E2452">
        <v>7.8</v>
      </c>
      <c r="F2452">
        <v>2</v>
      </c>
      <c r="G2452">
        <v>1</v>
      </c>
      <c r="H2452">
        <v>18</v>
      </c>
      <c r="I2452">
        <v>31</v>
      </c>
      <c r="J2452" t="s">
        <v>13</v>
      </c>
    </row>
    <row r="2453" spans="1:10">
      <c r="A2453">
        <v>2452</v>
      </c>
      <c r="B2453" s="1">
        <v>45299</v>
      </c>
      <c r="C2453" t="s">
        <v>14</v>
      </c>
      <c r="D2453">
        <v>399</v>
      </c>
      <c r="E2453">
        <v>13.8</v>
      </c>
      <c r="F2453">
        <v>5</v>
      </c>
      <c r="G2453">
        <v>5</v>
      </c>
      <c r="H2453">
        <v>18</v>
      </c>
      <c r="I2453">
        <v>37</v>
      </c>
      <c r="J2453" t="s">
        <v>11</v>
      </c>
    </row>
    <row r="2454" spans="1:10">
      <c r="A2454">
        <v>2453</v>
      </c>
      <c r="B2454" s="1">
        <v>45011</v>
      </c>
      <c r="C2454" t="s">
        <v>14</v>
      </c>
      <c r="D2454">
        <v>399</v>
      </c>
      <c r="E2454">
        <v>4.9000000000000004</v>
      </c>
      <c r="F2454">
        <v>2</v>
      </c>
      <c r="G2454">
        <v>2</v>
      </c>
      <c r="H2454">
        <v>19</v>
      </c>
      <c r="I2454">
        <v>39</v>
      </c>
      <c r="J2454" t="s">
        <v>13</v>
      </c>
    </row>
    <row r="2455" spans="1:10">
      <c r="A2455">
        <v>2454</v>
      </c>
      <c r="B2455" s="1">
        <v>44967</v>
      </c>
      <c r="C2455" t="s">
        <v>10</v>
      </c>
      <c r="D2455">
        <v>699</v>
      </c>
      <c r="E2455">
        <v>24.6</v>
      </c>
      <c r="F2455">
        <v>0</v>
      </c>
      <c r="G2455">
        <v>1</v>
      </c>
      <c r="H2455">
        <v>28</v>
      </c>
      <c r="I2455">
        <v>59</v>
      </c>
      <c r="J2455" t="s">
        <v>13</v>
      </c>
    </row>
    <row r="2456" spans="1:10">
      <c r="A2456">
        <v>2455</v>
      </c>
      <c r="B2456" s="1">
        <v>45164</v>
      </c>
      <c r="C2456" t="s">
        <v>12</v>
      </c>
      <c r="D2456">
        <v>199</v>
      </c>
      <c r="E2456">
        <v>20.100000000000001</v>
      </c>
      <c r="F2456">
        <v>5</v>
      </c>
      <c r="G2456">
        <v>5</v>
      </c>
      <c r="H2456">
        <v>10</v>
      </c>
      <c r="I2456">
        <v>14</v>
      </c>
      <c r="J2456" t="s">
        <v>13</v>
      </c>
    </row>
    <row r="2457" spans="1:10">
      <c r="A2457">
        <v>2456</v>
      </c>
      <c r="B2457" s="1">
        <v>45140</v>
      </c>
      <c r="C2457" t="s">
        <v>12</v>
      </c>
      <c r="D2457">
        <v>199</v>
      </c>
      <c r="E2457">
        <v>3.7</v>
      </c>
      <c r="F2457">
        <v>1</v>
      </c>
      <c r="G2457">
        <v>2</v>
      </c>
      <c r="H2457">
        <v>16</v>
      </c>
      <c r="I2457">
        <v>55</v>
      </c>
      <c r="J2457" t="s">
        <v>11</v>
      </c>
    </row>
    <row r="2458" spans="1:10">
      <c r="A2458">
        <v>2457</v>
      </c>
      <c r="B2458" s="1">
        <v>45362</v>
      </c>
      <c r="C2458" t="s">
        <v>12</v>
      </c>
      <c r="D2458">
        <v>199</v>
      </c>
      <c r="E2458">
        <v>8.8000000000000007</v>
      </c>
      <c r="F2458">
        <v>0</v>
      </c>
      <c r="G2458">
        <v>4</v>
      </c>
      <c r="H2458">
        <v>21</v>
      </c>
      <c r="I2458">
        <v>13</v>
      </c>
      <c r="J2458" t="s">
        <v>13</v>
      </c>
    </row>
    <row r="2459" spans="1:10">
      <c r="A2459">
        <v>2458</v>
      </c>
      <c r="B2459" s="1">
        <v>45464</v>
      </c>
      <c r="C2459" t="s">
        <v>10</v>
      </c>
      <c r="D2459">
        <v>699</v>
      </c>
      <c r="E2459">
        <v>17.2</v>
      </c>
      <c r="F2459">
        <v>4</v>
      </c>
      <c r="G2459">
        <v>2</v>
      </c>
      <c r="H2459">
        <v>12</v>
      </c>
      <c r="I2459">
        <v>18</v>
      </c>
      <c r="J2459" t="s">
        <v>13</v>
      </c>
    </row>
    <row r="2460" spans="1:10">
      <c r="A2460">
        <v>2459</v>
      </c>
      <c r="B2460" s="1">
        <v>45633</v>
      </c>
      <c r="C2460" t="s">
        <v>10</v>
      </c>
      <c r="D2460">
        <v>699</v>
      </c>
      <c r="E2460">
        <v>10</v>
      </c>
      <c r="F2460">
        <v>7</v>
      </c>
      <c r="G2460">
        <v>1</v>
      </c>
      <c r="H2460">
        <v>25</v>
      </c>
      <c r="I2460">
        <v>31</v>
      </c>
      <c r="J2460" t="s">
        <v>13</v>
      </c>
    </row>
    <row r="2461" spans="1:10">
      <c r="A2461">
        <v>2460</v>
      </c>
      <c r="B2461" s="1">
        <v>45350</v>
      </c>
      <c r="C2461" t="s">
        <v>12</v>
      </c>
      <c r="D2461">
        <v>199</v>
      </c>
      <c r="E2461">
        <v>11.5</v>
      </c>
      <c r="F2461">
        <v>7</v>
      </c>
      <c r="G2461">
        <v>5</v>
      </c>
      <c r="H2461">
        <v>28</v>
      </c>
      <c r="I2461">
        <v>60</v>
      </c>
      <c r="J2461" t="s">
        <v>11</v>
      </c>
    </row>
    <row r="2462" spans="1:10">
      <c r="A2462">
        <v>2461</v>
      </c>
      <c r="B2462" s="1">
        <v>45304</v>
      </c>
      <c r="C2462" t="s">
        <v>12</v>
      </c>
      <c r="D2462">
        <v>199</v>
      </c>
      <c r="E2462">
        <v>3.7</v>
      </c>
      <c r="F2462">
        <v>8</v>
      </c>
      <c r="G2462">
        <v>5</v>
      </c>
      <c r="H2462">
        <v>1</v>
      </c>
      <c r="I2462">
        <v>45</v>
      </c>
      <c r="J2462" t="s">
        <v>11</v>
      </c>
    </row>
    <row r="2463" spans="1:10">
      <c r="A2463">
        <v>2462</v>
      </c>
      <c r="B2463" s="1">
        <v>45104</v>
      </c>
      <c r="C2463" t="s">
        <v>14</v>
      </c>
      <c r="D2463">
        <v>399</v>
      </c>
      <c r="E2463">
        <v>23.8</v>
      </c>
      <c r="F2463">
        <v>1</v>
      </c>
      <c r="G2463">
        <v>4</v>
      </c>
      <c r="H2463">
        <v>14</v>
      </c>
      <c r="I2463">
        <v>13</v>
      </c>
      <c r="J2463" t="s">
        <v>13</v>
      </c>
    </row>
    <row r="2464" spans="1:10">
      <c r="A2464">
        <v>2463</v>
      </c>
      <c r="B2464" s="1">
        <v>44991</v>
      </c>
      <c r="C2464" t="s">
        <v>10</v>
      </c>
      <c r="D2464">
        <v>699</v>
      </c>
      <c r="E2464">
        <v>20.3</v>
      </c>
      <c r="F2464">
        <v>1</v>
      </c>
      <c r="G2464">
        <v>5</v>
      </c>
      <c r="H2464">
        <v>35</v>
      </c>
      <c r="I2464">
        <v>8</v>
      </c>
      <c r="J2464" t="s">
        <v>11</v>
      </c>
    </row>
    <row r="2465" spans="1:10">
      <c r="A2465">
        <v>2464</v>
      </c>
      <c r="B2465" s="1">
        <v>44987</v>
      </c>
      <c r="C2465" t="s">
        <v>12</v>
      </c>
      <c r="D2465">
        <v>199</v>
      </c>
      <c r="E2465">
        <v>15.4</v>
      </c>
      <c r="F2465">
        <v>0</v>
      </c>
      <c r="G2465">
        <v>5</v>
      </c>
      <c r="H2465">
        <v>13</v>
      </c>
      <c r="I2465">
        <v>19</v>
      </c>
      <c r="J2465" t="s">
        <v>13</v>
      </c>
    </row>
    <row r="2466" spans="1:10">
      <c r="A2466">
        <v>2465</v>
      </c>
      <c r="B2466" s="1">
        <v>45090</v>
      </c>
      <c r="C2466" t="s">
        <v>14</v>
      </c>
      <c r="D2466">
        <v>399</v>
      </c>
      <c r="E2466">
        <v>22.2</v>
      </c>
      <c r="F2466">
        <v>8</v>
      </c>
      <c r="G2466">
        <v>1</v>
      </c>
      <c r="H2466">
        <v>1</v>
      </c>
      <c r="I2466">
        <v>26</v>
      </c>
      <c r="J2466" t="s">
        <v>11</v>
      </c>
    </row>
    <row r="2467" spans="1:10">
      <c r="A2467">
        <v>2466</v>
      </c>
      <c r="B2467" s="1">
        <v>45340</v>
      </c>
      <c r="C2467" t="s">
        <v>12</v>
      </c>
      <c r="D2467">
        <v>199</v>
      </c>
      <c r="E2467">
        <v>11.8</v>
      </c>
      <c r="F2467">
        <v>0</v>
      </c>
      <c r="G2467">
        <v>4</v>
      </c>
      <c r="H2467">
        <v>36</v>
      </c>
      <c r="I2467">
        <v>10</v>
      </c>
      <c r="J2467" t="s">
        <v>13</v>
      </c>
    </row>
    <row r="2468" spans="1:10">
      <c r="A2468">
        <v>2467</v>
      </c>
      <c r="B2468" s="1">
        <v>45402</v>
      </c>
      <c r="C2468" t="s">
        <v>10</v>
      </c>
      <c r="D2468">
        <v>699</v>
      </c>
      <c r="E2468">
        <v>16.8</v>
      </c>
      <c r="F2468">
        <v>2</v>
      </c>
      <c r="G2468">
        <v>1</v>
      </c>
      <c r="H2468">
        <v>6</v>
      </c>
      <c r="I2468">
        <v>57</v>
      </c>
      <c r="J2468" t="s">
        <v>13</v>
      </c>
    </row>
    <row r="2469" spans="1:10">
      <c r="A2469">
        <v>2468</v>
      </c>
      <c r="B2469" s="1">
        <v>45065</v>
      </c>
      <c r="C2469" t="s">
        <v>14</v>
      </c>
      <c r="D2469">
        <v>399</v>
      </c>
      <c r="E2469">
        <v>18.8</v>
      </c>
      <c r="F2469">
        <v>5</v>
      </c>
      <c r="G2469">
        <v>4</v>
      </c>
      <c r="H2469">
        <v>17</v>
      </c>
      <c r="I2469">
        <v>40</v>
      </c>
      <c r="J2469" t="s">
        <v>11</v>
      </c>
    </row>
    <row r="2470" spans="1:10">
      <c r="A2470">
        <v>2469</v>
      </c>
      <c r="B2470" s="1">
        <v>45450</v>
      </c>
      <c r="C2470" t="s">
        <v>14</v>
      </c>
      <c r="D2470">
        <v>399</v>
      </c>
      <c r="E2470">
        <v>21.6</v>
      </c>
      <c r="F2470">
        <v>0</v>
      </c>
      <c r="G2470">
        <v>2</v>
      </c>
      <c r="H2470">
        <v>10</v>
      </c>
      <c r="I2470">
        <v>9</v>
      </c>
      <c r="J2470" t="s">
        <v>13</v>
      </c>
    </row>
    <row r="2471" spans="1:10">
      <c r="A2471">
        <v>2470</v>
      </c>
      <c r="B2471" s="1">
        <v>44981</v>
      </c>
      <c r="C2471" t="s">
        <v>10</v>
      </c>
      <c r="D2471">
        <v>699</v>
      </c>
      <c r="E2471">
        <v>9.9</v>
      </c>
      <c r="F2471">
        <v>8</v>
      </c>
      <c r="G2471">
        <v>1</v>
      </c>
      <c r="H2471">
        <v>30</v>
      </c>
      <c r="I2471">
        <v>46</v>
      </c>
      <c r="J2471" t="s">
        <v>11</v>
      </c>
    </row>
    <row r="2472" spans="1:10">
      <c r="A2472">
        <v>2471</v>
      </c>
      <c r="B2472" s="1">
        <v>45395</v>
      </c>
      <c r="C2472" t="s">
        <v>10</v>
      </c>
      <c r="D2472">
        <v>699</v>
      </c>
      <c r="E2472">
        <v>18.100000000000001</v>
      </c>
      <c r="F2472">
        <v>1</v>
      </c>
      <c r="G2472">
        <v>5</v>
      </c>
      <c r="H2472">
        <v>12</v>
      </c>
      <c r="I2472">
        <v>30</v>
      </c>
      <c r="J2472" t="s">
        <v>11</v>
      </c>
    </row>
    <row r="2473" spans="1:10">
      <c r="A2473">
        <v>2472</v>
      </c>
      <c r="B2473" s="1">
        <v>45117</v>
      </c>
      <c r="C2473" t="s">
        <v>10</v>
      </c>
      <c r="D2473">
        <v>699</v>
      </c>
      <c r="E2473">
        <v>5.4</v>
      </c>
      <c r="F2473">
        <v>3</v>
      </c>
      <c r="G2473">
        <v>4</v>
      </c>
      <c r="H2473">
        <v>14</v>
      </c>
      <c r="I2473">
        <v>41</v>
      </c>
      <c r="J2473" t="s">
        <v>11</v>
      </c>
    </row>
    <row r="2474" spans="1:10">
      <c r="A2474">
        <v>2473</v>
      </c>
      <c r="B2474" s="1">
        <v>45146</v>
      </c>
      <c r="C2474" t="s">
        <v>12</v>
      </c>
      <c r="D2474">
        <v>199</v>
      </c>
      <c r="E2474">
        <v>5</v>
      </c>
      <c r="F2474">
        <v>2</v>
      </c>
      <c r="G2474">
        <v>4</v>
      </c>
      <c r="H2474">
        <v>21</v>
      </c>
      <c r="I2474">
        <v>36</v>
      </c>
      <c r="J2474" t="s">
        <v>13</v>
      </c>
    </row>
    <row r="2475" spans="1:10">
      <c r="A2475">
        <v>2474</v>
      </c>
      <c r="B2475" s="1">
        <v>45600</v>
      </c>
      <c r="C2475" t="s">
        <v>10</v>
      </c>
      <c r="D2475">
        <v>699</v>
      </c>
      <c r="E2475">
        <v>22.1</v>
      </c>
      <c r="F2475">
        <v>1</v>
      </c>
      <c r="G2475">
        <v>5</v>
      </c>
      <c r="H2475">
        <v>27</v>
      </c>
      <c r="I2475">
        <v>27</v>
      </c>
      <c r="J2475" t="s">
        <v>13</v>
      </c>
    </row>
    <row r="2476" spans="1:10">
      <c r="A2476">
        <v>2475</v>
      </c>
      <c r="B2476" s="1">
        <v>45097</v>
      </c>
      <c r="C2476" t="s">
        <v>10</v>
      </c>
      <c r="D2476">
        <v>699</v>
      </c>
      <c r="E2476">
        <v>16.2</v>
      </c>
      <c r="F2476">
        <v>3</v>
      </c>
      <c r="G2476">
        <v>4</v>
      </c>
      <c r="H2476">
        <v>5</v>
      </c>
      <c r="I2476">
        <v>35</v>
      </c>
      <c r="J2476" t="s">
        <v>11</v>
      </c>
    </row>
    <row r="2477" spans="1:10">
      <c r="A2477">
        <v>2476</v>
      </c>
      <c r="B2477" s="1">
        <v>45135</v>
      </c>
      <c r="C2477" t="s">
        <v>14</v>
      </c>
      <c r="D2477">
        <v>399</v>
      </c>
      <c r="E2477">
        <v>17.7</v>
      </c>
      <c r="F2477">
        <v>3</v>
      </c>
      <c r="G2477">
        <v>4</v>
      </c>
      <c r="H2477">
        <v>24</v>
      </c>
      <c r="I2477">
        <v>54</v>
      </c>
      <c r="J2477" t="s">
        <v>13</v>
      </c>
    </row>
    <row r="2478" spans="1:10">
      <c r="A2478">
        <v>2477</v>
      </c>
      <c r="B2478" s="1">
        <v>45587</v>
      </c>
      <c r="C2478" t="s">
        <v>14</v>
      </c>
      <c r="D2478">
        <v>399</v>
      </c>
      <c r="E2478">
        <v>23.5</v>
      </c>
      <c r="F2478">
        <v>4</v>
      </c>
      <c r="G2478">
        <v>3</v>
      </c>
      <c r="H2478">
        <v>36</v>
      </c>
      <c r="I2478">
        <v>7</v>
      </c>
      <c r="J2478" t="s">
        <v>11</v>
      </c>
    </row>
    <row r="2479" spans="1:10">
      <c r="A2479">
        <v>2478</v>
      </c>
      <c r="B2479" s="1">
        <v>45511</v>
      </c>
      <c r="C2479" t="s">
        <v>14</v>
      </c>
      <c r="D2479">
        <v>399</v>
      </c>
      <c r="E2479">
        <v>5.9</v>
      </c>
      <c r="F2479">
        <v>6</v>
      </c>
      <c r="G2479">
        <v>2</v>
      </c>
      <c r="H2479">
        <v>32</v>
      </c>
      <c r="I2479">
        <v>15</v>
      </c>
      <c r="J2479" t="s">
        <v>13</v>
      </c>
    </row>
    <row r="2480" spans="1:10">
      <c r="A2480">
        <v>2479</v>
      </c>
      <c r="B2480" s="1">
        <v>45111</v>
      </c>
      <c r="C2480" t="s">
        <v>14</v>
      </c>
      <c r="D2480">
        <v>399</v>
      </c>
      <c r="E2480">
        <v>21.7</v>
      </c>
      <c r="F2480">
        <v>7</v>
      </c>
      <c r="G2480">
        <v>4</v>
      </c>
      <c r="H2480">
        <v>17</v>
      </c>
      <c r="I2480">
        <v>45</v>
      </c>
      <c r="J2480" t="s">
        <v>11</v>
      </c>
    </row>
    <row r="2481" spans="1:10">
      <c r="A2481">
        <v>2480</v>
      </c>
      <c r="B2481" s="1">
        <v>45266</v>
      </c>
      <c r="C2481" t="s">
        <v>14</v>
      </c>
      <c r="D2481">
        <v>399</v>
      </c>
      <c r="E2481">
        <v>0.6</v>
      </c>
      <c r="F2481">
        <v>2</v>
      </c>
      <c r="G2481">
        <v>3</v>
      </c>
      <c r="H2481">
        <v>29</v>
      </c>
      <c r="I2481">
        <v>4</v>
      </c>
      <c r="J2481" t="s">
        <v>11</v>
      </c>
    </row>
    <row r="2482" spans="1:10">
      <c r="A2482">
        <v>2481</v>
      </c>
      <c r="B2482" s="1">
        <v>45651</v>
      </c>
      <c r="C2482" t="s">
        <v>12</v>
      </c>
      <c r="D2482">
        <v>199</v>
      </c>
      <c r="E2482">
        <v>19.100000000000001</v>
      </c>
      <c r="F2482">
        <v>7</v>
      </c>
      <c r="G2482">
        <v>5</v>
      </c>
      <c r="H2482">
        <v>30</v>
      </c>
      <c r="I2482">
        <v>7</v>
      </c>
      <c r="J2482" t="s">
        <v>11</v>
      </c>
    </row>
    <row r="2483" spans="1:10">
      <c r="A2483">
        <v>2482</v>
      </c>
      <c r="B2483" s="1">
        <v>44955</v>
      </c>
      <c r="C2483" t="s">
        <v>14</v>
      </c>
      <c r="D2483">
        <v>399</v>
      </c>
      <c r="E2483">
        <v>14.7</v>
      </c>
      <c r="F2483">
        <v>8</v>
      </c>
      <c r="G2483">
        <v>4</v>
      </c>
      <c r="H2483">
        <v>9</v>
      </c>
      <c r="I2483">
        <v>15</v>
      </c>
      <c r="J2483" t="s">
        <v>11</v>
      </c>
    </row>
    <row r="2484" spans="1:10">
      <c r="A2484">
        <v>2483</v>
      </c>
      <c r="B2484" s="1">
        <v>44982</v>
      </c>
      <c r="C2484" t="s">
        <v>10</v>
      </c>
      <c r="D2484">
        <v>699</v>
      </c>
      <c r="E2484">
        <v>3.8</v>
      </c>
      <c r="F2484">
        <v>5</v>
      </c>
      <c r="G2484">
        <v>3</v>
      </c>
      <c r="H2484">
        <v>7</v>
      </c>
      <c r="I2484">
        <v>46</v>
      </c>
      <c r="J2484" t="s">
        <v>11</v>
      </c>
    </row>
    <row r="2485" spans="1:10">
      <c r="A2485">
        <v>2484</v>
      </c>
      <c r="B2485" s="1">
        <v>45548</v>
      </c>
      <c r="C2485" t="s">
        <v>10</v>
      </c>
      <c r="D2485">
        <v>699</v>
      </c>
      <c r="E2485">
        <v>4.7</v>
      </c>
      <c r="F2485">
        <v>0</v>
      </c>
      <c r="G2485">
        <v>2</v>
      </c>
      <c r="H2485">
        <v>13</v>
      </c>
      <c r="I2485">
        <v>48</v>
      </c>
      <c r="J2485" t="s">
        <v>11</v>
      </c>
    </row>
    <row r="2486" spans="1:10">
      <c r="A2486">
        <v>2485</v>
      </c>
      <c r="B2486" s="1">
        <v>45142</v>
      </c>
      <c r="C2486" t="s">
        <v>10</v>
      </c>
      <c r="D2486">
        <v>699</v>
      </c>
      <c r="E2486">
        <v>13.2</v>
      </c>
      <c r="F2486">
        <v>8</v>
      </c>
      <c r="G2486">
        <v>4</v>
      </c>
      <c r="H2486">
        <v>30</v>
      </c>
      <c r="I2486">
        <v>28</v>
      </c>
      <c r="J2486" t="s">
        <v>11</v>
      </c>
    </row>
    <row r="2487" spans="1:10">
      <c r="A2487">
        <v>2486</v>
      </c>
      <c r="B2487" s="1">
        <v>45330</v>
      </c>
      <c r="C2487" t="s">
        <v>10</v>
      </c>
      <c r="D2487">
        <v>699</v>
      </c>
      <c r="E2487">
        <v>16.899999999999999</v>
      </c>
      <c r="F2487">
        <v>5</v>
      </c>
      <c r="G2487">
        <v>1</v>
      </c>
      <c r="H2487">
        <v>24</v>
      </c>
      <c r="I2487">
        <v>15</v>
      </c>
      <c r="J2487" t="s">
        <v>13</v>
      </c>
    </row>
    <row r="2488" spans="1:10">
      <c r="A2488">
        <v>2487</v>
      </c>
      <c r="B2488" s="1">
        <v>45587</v>
      </c>
      <c r="C2488" t="s">
        <v>12</v>
      </c>
      <c r="D2488">
        <v>199</v>
      </c>
      <c r="E2488">
        <v>5.4</v>
      </c>
      <c r="F2488">
        <v>4</v>
      </c>
      <c r="G2488">
        <v>2</v>
      </c>
      <c r="H2488">
        <v>3</v>
      </c>
      <c r="I2488">
        <v>15</v>
      </c>
      <c r="J2488" t="s">
        <v>13</v>
      </c>
    </row>
    <row r="2489" spans="1:10">
      <c r="A2489">
        <v>2488</v>
      </c>
      <c r="B2489" s="1">
        <v>45142</v>
      </c>
      <c r="C2489" t="s">
        <v>12</v>
      </c>
      <c r="D2489">
        <v>199</v>
      </c>
      <c r="E2489">
        <v>3.2</v>
      </c>
      <c r="F2489">
        <v>1</v>
      </c>
      <c r="G2489">
        <v>2</v>
      </c>
      <c r="H2489">
        <v>21</v>
      </c>
      <c r="I2489">
        <v>53</v>
      </c>
      <c r="J2489" t="s">
        <v>13</v>
      </c>
    </row>
    <row r="2490" spans="1:10">
      <c r="A2490">
        <v>2489</v>
      </c>
      <c r="B2490" s="1">
        <v>45527</v>
      </c>
      <c r="C2490" t="s">
        <v>10</v>
      </c>
      <c r="D2490">
        <v>699</v>
      </c>
      <c r="E2490">
        <v>1.1000000000000001</v>
      </c>
      <c r="F2490">
        <v>2</v>
      </c>
      <c r="G2490">
        <v>5</v>
      </c>
      <c r="H2490">
        <v>6</v>
      </c>
      <c r="I2490">
        <v>36</v>
      </c>
      <c r="J2490" t="s">
        <v>11</v>
      </c>
    </row>
    <row r="2491" spans="1:10">
      <c r="A2491">
        <v>2490</v>
      </c>
      <c r="B2491" s="1">
        <v>45596</v>
      </c>
      <c r="C2491" t="s">
        <v>10</v>
      </c>
      <c r="D2491">
        <v>699</v>
      </c>
      <c r="E2491">
        <v>16.8</v>
      </c>
      <c r="F2491">
        <v>1</v>
      </c>
      <c r="G2491">
        <v>2</v>
      </c>
      <c r="H2491">
        <v>23</v>
      </c>
      <c r="I2491">
        <v>12</v>
      </c>
      <c r="J2491" t="s">
        <v>13</v>
      </c>
    </row>
    <row r="2492" spans="1:10">
      <c r="A2492">
        <v>2491</v>
      </c>
      <c r="B2492" s="1">
        <v>45408</v>
      </c>
      <c r="C2492" t="s">
        <v>10</v>
      </c>
      <c r="D2492">
        <v>699</v>
      </c>
      <c r="E2492">
        <v>5.2</v>
      </c>
      <c r="F2492">
        <v>3</v>
      </c>
      <c r="G2492">
        <v>0</v>
      </c>
      <c r="H2492">
        <v>33</v>
      </c>
      <c r="I2492">
        <v>36</v>
      </c>
      <c r="J2492" t="s">
        <v>13</v>
      </c>
    </row>
    <row r="2493" spans="1:10">
      <c r="A2493">
        <v>2492</v>
      </c>
      <c r="B2493" s="1">
        <v>45075</v>
      </c>
      <c r="C2493" t="s">
        <v>12</v>
      </c>
      <c r="D2493">
        <v>199</v>
      </c>
      <c r="E2493">
        <v>17.3</v>
      </c>
      <c r="F2493">
        <v>7</v>
      </c>
      <c r="G2493">
        <v>0</v>
      </c>
      <c r="H2493">
        <v>14</v>
      </c>
      <c r="I2493">
        <v>38</v>
      </c>
      <c r="J2493" t="s">
        <v>13</v>
      </c>
    </row>
    <row r="2494" spans="1:10">
      <c r="A2494">
        <v>2493</v>
      </c>
      <c r="B2494" s="1">
        <v>45630</v>
      </c>
      <c r="C2494" t="s">
        <v>14</v>
      </c>
      <c r="D2494">
        <v>399</v>
      </c>
      <c r="E2494">
        <v>16</v>
      </c>
      <c r="F2494">
        <v>2</v>
      </c>
      <c r="G2494">
        <v>0</v>
      </c>
      <c r="H2494">
        <v>4</v>
      </c>
      <c r="I2494">
        <v>13</v>
      </c>
      <c r="J2494" t="s">
        <v>13</v>
      </c>
    </row>
    <row r="2495" spans="1:10">
      <c r="A2495">
        <v>2494</v>
      </c>
      <c r="B2495" s="1">
        <v>45616</v>
      </c>
      <c r="C2495" t="s">
        <v>10</v>
      </c>
      <c r="D2495">
        <v>699</v>
      </c>
      <c r="E2495">
        <v>10.5</v>
      </c>
      <c r="F2495">
        <v>2</v>
      </c>
      <c r="G2495">
        <v>0</v>
      </c>
      <c r="H2495">
        <v>30</v>
      </c>
      <c r="I2495">
        <v>7</v>
      </c>
      <c r="J2495" t="s">
        <v>13</v>
      </c>
    </row>
    <row r="2496" spans="1:10">
      <c r="A2496">
        <v>2495</v>
      </c>
      <c r="B2496" s="1">
        <v>44969</v>
      </c>
      <c r="C2496" t="s">
        <v>12</v>
      </c>
      <c r="D2496">
        <v>199</v>
      </c>
      <c r="E2496">
        <v>3.3</v>
      </c>
      <c r="F2496">
        <v>6</v>
      </c>
      <c r="G2496">
        <v>0</v>
      </c>
      <c r="H2496">
        <v>8</v>
      </c>
      <c r="I2496">
        <v>8</v>
      </c>
      <c r="J2496" t="s">
        <v>13</v>
      </c>
    </row>
    <row r="2497" spans="1:10">
      <c r="A2497">
        <v>2496</v>
      </c>
      <c r="B2497" s="1">
        <v>45375</v>
      </c>
      <c r="C2497" t="s">
        <v>12</v>
      </c>
      <c r="D2497">
        <v>199</v>
      </c>
      <c r="E2497">
        <v>11.4</v>
      </c>
      <c r="F2497">
        <v>5</v>
      </c>
      <c r="G2497">
        <v>5</v>
      </c>
      <c r="H2497">
        <v>3</v>
      </c>
      <c r="I2497">
        <v>47</v>
      </c>
      <c r="J2497" t="s">
        <v>13</v>
      </c>
    </row>
    <row r="2498" spans="1:10">
      <c r="A2498">
        <v>2497</v>
      </c>
      <c r="B2498" s="1">
        <v>45368</v>
      </c>
      <c r="C2498" t="s">
        <v>12</v>
      </c>
      <c r="D2498">
        <v>199</v>
      </c>
      <c r="E2498">
        <v>23.2</v>
      </c>
      <c r="F2498">
        <v>3</v>
      </c>
      <c r="G2498">
        <v>0</v>
      </c>
      <c r="H2498">
        <v>13</v>
      </c>
      <c r="I2498">
        <v>18</v>
      </c>
      <c r="J2498" t="s">
        <v>13</v>
      </c>
    </row>
    <row r="2499" spans="1:10">
      <c r="A2499">
        <v>2498</v>
      </c>
      <c r="B2499" s="1">
        <v>45608</v>
      </c>
      <c r="C2499" t="s">
        <v>14</v>
      </c>
      <c r="D2499">
        <v>399</v>
      </c>
      <c r="E2499">
        <v>5.6</v>
      </c>
      <c r="F2499">
        <v>0</v>
      </c>
      <c r="G2499">
        <v>5</v>
      </c>
      <c r="H2499">
        <v>22</v>
      </c>
      <c r="I2499">
        <v>11</v>
      </c>
      <c r="J2499" t="s">
        <v>13</v>
      </c>
    </row>
    <row r="2500" spans="1:10">
      <c r="A2500">
        <v>2499</v>
      </c>
      <c r="B2500" s="1">
        <v>44950</v>
      </c>
      <c r="C2500" t="s">
        <v>14</v>
      </c>
      <c r="D2500">
        <v>399</v>
      </c>
      <c r="E2500">
        <v>3</v>
      </c>
      <c r="F2500">
        <v>4</v>
      </c>
      <c r="G2500">
        <v>1</v>
      </c>
      <c r="H2500">
        <v>34</v>
      </c>
      <c r="I2500">
        <v>6</v>
      </c>
      <c r="J2500" t="s">
        <v>11</v>
      </c>
    </row>
    <row r="2501" spans="1:10">
      <c r="A2501">
        <v>2500</v>
      </c>
      <c r="B2501" s="1">
        <v>45607</v>
      </c>
      <c r="C2501" t="s">
        <v>10</v>
      </c>
      <c r="D2501">
        <v>699</v>
      </c>
      <c r="E2501">
        <v>15.8</v>
      </c>
      <c r="F2501">
        <v>2</v>
      </c>
      <c r="G2501">
        <v>2</v>
      </c>
      <c r="H2501">
        <v>26</v>
      </c>
      <c r="I2501">
        <v>55</v>
      </c>
      <c r="J2501" t="s">
        <v>11</v>
      </c>
    </row>
    <row r="2502" spans="1:10">
      <c r="A2502">
        <v>2501</v>
      </c>
      <c r="B2502" s="1">
        <v>45532</v>
      </c>
      <c r="C2502" t="s">
        <v>14</v>
      </c>
      <c r="D2502">
        <v>399</v>
      </c>
      <c r="E2502">
        <v>4.2</v>
      </c>
      <c r="F2502">
        <v>4</v>
      </c>
      <c r="G2502">
        <v>3</v>
      </c>
      <c r="H2502">
        <v>9</v>
      </c>
      <c r="I2502">
        <v>8</v>
      </c>
      <c r="J2502" t="s">
        <v>11</v>
      </c>
    </row>
    <row r="2503" spans="1:10">
      <c r="A2503">
        <v>2502</v>
      </c>
      <c r="B2503" s="1">
        <v>44994</v>
      </c>
      <c r="C2503" t="s">
        <v>12</v>
      </c>
      <c r="D2503">
        <v>199</v>
      </c>
      <c r="E2503">
        <v>24.9</v>
      </c>
      <c r="F2503">
        <v>5</v>
      </c>
      <c r="G2503">
        <v>5</v>
      </c>
      <c r="H2503">
        <v>24</v>
      </c>
      <c r="I2503">
        <v>24</v>
      </c>
      <c r="J2503" t="s">
        <v>13</v>
      </c>
    </row>
    <row r="2504" spans="1:10">
      <c r="A2504">
        <v>2503</v>
      </c>
      <c r="B2504" s="1">
        <v>45280</v>
      </c>
      <c r="C2504" t="s">
        <v>10</v>
      </c>
      <c r="D2504">
        <v>699</v>
      </c>
      <c r="E2504">
        <v>20.2</v>
      </c>
      <c r="F2504">
        <v>3</v>
      </c>
      <c r="G2504">
        <v>5</v>
      </c>
      <c r="H2504">
        <v>1</v>
      </c>
      <c r="I2504">
        <v>42</v>
      </c>
      <c r="J2504" t="s">
        <v>11</v>
      </c>
    </row>
    <row r="2505" spans="1:10">
      <c r="A2505">
        <v>2504</v>
      </c>
      <c r="B2505" s="1">
        <v>45209</v>
      </c>
      <c r="C2505" t="s">
        <v>12</v>
      </c>
      <c r="D2505">
        <v>199</v>
      </c>
      <c r="E2505">
        <v>20.7</v>
      </c>
      <c r="F2505">
        <v>1</v>
      </c>
      <c r="G2505">
        <v>1</v>
      </c>
      <c r="H2505">
        <v>32</v>
      </c>
      <c r="I2505">
        <v>29</v>
      </c>
      <c r="J2505" t="s">
        <v>11</v>
      </c>
    </row>
    <row r="2506" spans="1:10">
      <c r="A2506">
        <v>2505</v>
      </c>
      <c r="B2506" s="1">
        <v>45241</v>
      </c>
      <c r="C2506" t="s">
        <v>12</v>
      </c>
      <c r="D2506">
        <v>199</v>
      </c>
      <c r="E2506">
        <v>23.4</v>
      </c>
      <c r="F2506">
        <v>8</v>
      </c>
      <c r="G2506">
        <v>2</v>
      </c>
      <c r="H2506">
        <v>28</v>
      </c>
      <c r="I2506">
        <v>34</v>
      </c>
      <c r="J2506" t="s">
        <v>11</v>
      </c>
    </row>
    <row r="2507" spans="1:10">
      <c r="A2507">
        <v>2506</v>
      </c>
      <c r="B2507" s="1">
        <v>45086</v>
      </c>
      <c r="C2507" t="s">
        <v>12</v>
      </c>
      <c r="D2507">
        <v>199</v>
      </c>
      <c r="E2507">
        <v>21.2</v>
      </c>
      <c r="F2507">
        <v>4</v>
      </c>
      <c r="G2507">
        <v>0</v>
      </c>
      <c r="H2507">
        <v>14</v>
      </c>
      <c r="I2507">
        <v>56</v>
      </c>
      <c r="J2507" t="s">
        <v>13</v>
      </c>
    </row>
    <row r="2508" spans="1:10">
      <c r="A2508">
        <v>2507</v>
      </c>
      <c r="B2508" s="1">
        <v>45092</v>
      </c>
      <c r="C2508" t="s">
        <v>12</v>
      </c>
      <c r="D2508">
        <v>199</v>
      </c>
      <c r="E2508">
        <v>24.8</v>
      </c>
      <c r="F2508">
        <v>0</v>
      </c>
      <c r="G2508">
        <v>3</v>
      </c>
      <c r="H2508">
        <v>10</v>
      </c>
      <c r="I2508">
        <v>7</v>
      </c>
      <c r="J2508" t="s">
        <v>13</v>
      </c>
    </row>
    <row r="2509" spans="1:10">
      <c r="A2509">
        <v>2508</v>
      </c>
      <c r="B2509" s="1">
        <v>44989</v>
      </c>
      <c r="C2509" t="s">
        <v>14</v>
      </c>
      <c r="D2509">
        <v>399</v>
      </c>
      <c r="E2509">
        <v>14.2</v>
      </c>
      <c r="F2509">
        <v>4</v>
      </c>
      <c r="G2509">
        <v>0</v>
      </c>
      <c r="H2509">
        <v>15</v>
      </c>
      <c r="I2509">
        <v>10</v>
      </c>
      <c r="J2509" t="s">
        <v>13</v>
      </c>
    </row>
    <row r="2510" spans="1:10">
      <c r="A2510">
        <v>2509</v>
      </c>
      <c r="B2510" s="1">
        <v>45215</v>
      </c>
      <c r="C2510" t="s">
        <v>14</v>
      </c>
      <c r="D2510">
        <v>399</v>
      </c>
      <c r="E2510">
        <v>11.1</v>
      </c>
      <c r="F2510">
        <v>0</v>
      </c>
      <c r="G2510">
        <v>3</v>
      </c>
      <c r="H2510">
        <v>6</v>
      </c>
      <c r="I2510">
        <v>14</v>
      </c>
      <c r="J2510" t="s">
        <v>11</v>
      </c>
    </row>
    <row r="2511" spans="1:10">
      <c r="A2511">
        <v>2510</v>
      </c>
      <c r="B2511" s="1">
        <v>45573</v>
      </c>
      <c r="C2511" t="s">
        <v>10</v>
      </c>
      <c r="D2511">
        <v>699</v>
      </c>
      <c r="E2511">
        <v>8.9</v>
      </c>
      <c r="F2511">
        <v>4</v>
      </c>
      <c r="G2511">
        <v>1</v>
      </c>
      <c r="H2511">
        <v>7</v>
      </c>
      <c r="I2511">
        <v>52</v>
      </c>
      <c r="J2511" t="s">
        <v>13</v>
      </c>
    </row>
    <row r="2512" spans="1:10">
      <c r="A2512">
        <v>2511</v>
      </c>
      <c r="B2512" s="1">
        <v>44944</v>
      </c>
      <c r="C2512" t="s">
        <v>10</v>
      </c>
      <c r="D2512">
        <v>699</v>
      </c>
      <c r="E2512">
        <v>5.9</v>
      </c>
      <c r="F2512">
        <v>4</v>
      </c>
      <c r="G2512">
        <v>0</v>
      </c>
      <c r="H2512">
        <v>1</v>
      </c>
      <c r="I2512">
        <v>15</v>
      </c>
      <c r="J2512" t="s">
        <v>11</v>
      </c>
    </row>
    <row r="2513" spans="1:10">
      <c r="A2513">
        <v>2512</v>
      </c>
      <c r="B2513" s="1">
        <v>45582</v>
      </c>
      <c r="C2513" t="s">
        <v>10</v>
      </c>
      <c r="D2513">
        <v>699</v>
      </c>
      <c r="E2513">
        <v>22.7</v>
      </c>
      <c r="F2513">
        <v>6</v>
      </c>
      <c r="G2513">
        <v>3</v>
      </c>
      <c r="H2513">
        <v>24</v>
      </c>
      <c r="I2513">
        <v>36</v>
      </c>
      <c r="J2513" t="s">
        <v>13</v>
      </c>
    </row>
    <row r="2514" spans="1:10">
      <c r="A2514">
        <v>2513</v>
      </c>
      <c r="B2514" s="1">
        <v>45531</v>
      </c>
      <c r="C2514" t="s">
        <v>14</v>
      </c>
      <c r="D2514">
        <v>399</v>
      </c>
      <c r="E2514">
        <v>10.9</v>
      </c>
      <c r="F2514">
        <v>4</v>
      </c>
      <c r="G2514">
        <v>4</v>
      </c>
      <c r="H2514">
        <v>24</v>
      </c>
      <c r="I2514">
        <v>4</v>
      </c>
      <c r="J2514" t="s">
        <v>11</v>
      </c>
    </row>
    <row r="2515" spans="1:10">
      <c r="A2515">
        <v>2514</v>
      </c>
      <c r="B2515" s="1">
        <v>45418</v>
      </c>
      <c r="C2515" t="s">
        <v>10</v>
      </c>
      <c r="D2515">
        <v>699</v>
      </c>
      <c r="E2515">
        <v>9.6</v>
      </c>
      <c r="F2515">
        <v>6</v>
      </c>
      <c r="G2515">
        <v>1</v>
      </c>
      <c r="H2515">
        <v>23</v>
      </c>
      <c r="I2515">
        <v>60</v>
      </c>
      <c r="J2515" t="s">
        <v>11</v>
      </c>
    </row>
    <row r="2516" spans="1:10">
      <c r="A2516">
        <v>2515</v>
      </c>
      <c r="B2516" s="1">
        <v>44972</v>
      </c>
      <c r="C2516" t="s">
        <v>12</v>
      </c>
      <c r="D2516">
        <v>199</v>
      </c>
      <c r="E2516">
        <v>21</v>
      </c>
      <c r="F2516">
        <v>4</v>
      </c>
      <c r="G2516">
        <v>3</v>
      </c>
      <c r="H2516">
        <v>9</v>
      </c>
      <c r="I2516">
        <v>27</v>
      </c>
      <c r="J2516" t="s">
        <v>11</v>
      </c>
    </row>
    <row r="2517" spans="1:10">
      <c r="A2517">
        <v>2516</v>
      </c>
      <c r="B2517" s="1">
        <v>45349</v>
      </c>
      <c r="C2517" t="s">
        <v>10</v>
      </c>
      <c r="D2517">
        <v>699</v>
      </c>
      <c r="E2517">
        <v>19.3</v>
      </c>
      <c r="F2517">
        <v>8</v>
      </c>
      <c r="G2517">
        <v>0</v>
      </c>
      <c r="H2517">
        <v>4</v>
      </c>
      <c r="I2517">
        <v>2</v>
      </c>
      <c r="J2517" t="s">
        <v>11</v>
      </c>
    </row>
    <row r="2518" spans="1:10">
      <c r="A2518">
        <v>2517</v>
      </c>
      <c r="B2518" s="1">
        <v>45427</v>
      </c>
      <c r="C2518" t="s">
        <v>10</v>
      </c>
      <c r="D2518">
        <v>699</v>
      </c>
      <c r="E2518">
        <v>3</v>
      </c>
      <c r="F2518">
        <v>6</v>
      </c>
      <c r="G2518">
        <v>2</v>
      </c>
      <c r="H2518">
        <v>15</v>
      </c>
      <c r="I2518">
        <v>48</v>
      </c>
      <c r="J2518" t="s">
        <v>11</v>
      </c>
    </row>
    <row r="2519" spans="1:10">
      <c r="A2519">
        <v>2518</v>
      </c>
      <c r="B2519" s="1">
        <v>45613</v>
      </c>
      <c r="C2519" t="s">
        <v>12</v>
      </c>
      <c r="D2519">
        <v>199</v>
      </c>
      <c r="E2519">
        <v>13.1</v>
      </c>
      <c r="F2519">
        <v>8</v>
      </c>
      <c r="G2519">
        <v>0</v>
      </c>
      <c r="H2519">
        <v>28</v>
      </c>
      <c r="I2519">
        <v>33</v>
      </c>
      <c r="J2519" t="s">
        <v>11</v>
      </c>
    </row>
    <row r="2520" spans="1:10">
      <c r="A2520">
        <v>2519</v>
      </c>
      <c r="B2520" s="1">
        <v>45648</v>
      </c>
      <c r="C2520" t="s">
        <v>14</v>
      </c>
      <c r="D2520">
        <v>399</v>
      </c>
      <c r="E2520">
        <v>3.1</v>
      </c>
      <c r="F2520">
        <v>0</v>
      </c>
      <c r="G2520">
        <v>5</v>
      </c>
      <c r="H2520">
        <v>29</v>
      </c>
      <c r="I2520">
        <v>6</v>
      </c>
      <c r="J2520" t="s">
        <v>13</v>
      </c>
    </row>
    <row r="2521" spans="1:10">
      <c r="A2521">
        <v>2520</v>
      </c>
      <c r="B2521" s="1">
        <v>45179</v>
      </c>
      <c r="C2521" t="s">
        <v>12</v>
      </c>
      <c r="D2521">
        <v>199</v>
      </c>
      <c r="E2521">
        <v>2.6</v>
      </c>
      <c r="F2521">
        <v>8</v>
      </c>
      <c r="G2521">
        <v>0</v>
      </c>
      <c r="H2521">
        <v>30</v>
      </c>
      <c r="I2521">
        <v>26</v>
      </c>
      <c r="J2521" t="s">
        <v>11</v>
      </c>
    </row>
    <row r="2522" spans="1:10">
      <c r="A2522">
        <v>2521</v>
      </c>
      <c r="B2522" s="1">
        <v>45221</v>
      </c>
      <c r="C2522" t="s">
        <v>12</v>
      </c>
      <c r="D2522">
        <v>199</v>
      </c>
      <c r="E2522">
        <v>18</v>
      </c>
      <c r="F2522">
        <v>5</v>
      </c>
      <c r="G2522">
        <v>0</v>
      </c>
      <c r="H2522">
        <v>30</v>
      </c>
      <c r="I2522">
        <v>3</v>
      </c>
      <c r="J2522" t="s">
        <v>13</v>
      </c>
    </row>
    <row r="2523" spans="1:10">
      <c r="A2523">
        <v>2522</v>
      </c>
      <c r="B2523" s="1">
        <v>45106</v>
      </c>
      <c r="C2523" t="s">
        <v>14</v>
      </c>
      <c r="D2523">
        <v>399</v>
      </c>
      <c r="E2523">
        <v>23.9</v>
      </c>
      <c r="F2523">
        <v>7</v>
      </c>
      <c r="G2523">
        <v>2</v>
      </c>
      <c r="H2523">
        <v>34</v>
      </c>
      <c r="I2523">
        <v>12</v>
      </c>
      <c r="J2523" t="s">
        <v>13</v>
      </c>
    </row>
    <row r="2524" spans="1:10">
      <c r="A2524">
        <v>2523</v>
      </c>
      <c r="B2524" s="1">
        <v>45467</v>
      </c>
      <c r="C2524" t="s">
        <v>12</v>
      </c>
      <c r="D2524">
        <v>199</v>
      </c>
      <c r="E2524">
        <v>1.1000000000000001</v>
      </c>
      <c r="F2524">
        <v>6</v>
      </c>
      <c r="G2524">
        <v>1</v>
      </c>
      <c r="H2524">
        <v>13</v>
      </c>
      <c r="I2524">
        <v>22</v>
      </c>
      <c r="J2524" t="s">
        <v>11</v>
      </c>
    </row>
    <row r="2525" spans="1:10">
      <c r="A2525">
        <v>2524</v>
      </c>
      <c r="B2525" s="1">
        <v>45136</v>
      </c>
      <c r="C2525" t="s">
        <v>10</v>
      </c>
      <c r="D2525">
        <v>699</v>
      </c>
      <c r="E2525">
        <v>11.4</v>
      </c>
      <c r="F2525">
        <v>6</v>
      </c>
      <c r="G2525">
        <v>4</v>
      </c>
      <c r="H2525">
        <v>23</v>
      </c>
      <c r="I2525">
        <v>16</v>
      </c>
      <c r="J2525" t="s">
        <v>11</v>
      </c>
    </row>
    <row r="2526" spans="1:10">
      <c r="A2526">
        <v>2525</v>
      </c>
      <c r="B2526" s="1">
        <v>45132</v>
      </c>
      <c r="C2526" t="s">
        <v>12</v>
      </c>
      <c r="D2526">
        <v>199</v>
      </c>
      <c r="E2526">
        <v>0.6</v>
      </c>
      <c r="F2526">
        <v>3</v>
      </c>
      <c r="G2526">
        <v>5</v>
      </c>
      <c r="H2526">
        <v>36</v>
      </c>
      <c r="I2526">
        <v>51</v>
      </c>
      <c r="J2526" t="s">
        <v>13</v>
      </c>
    </row>
    <row r="2527" spans="1:10">
      <c r="A2527">
        <v>2526</v>
      </c>
      <c r="B2527" s="1">
        <v>45330</v>
      </c>
      <c r="C2527" t="s">
        <v>10</v>
      </c>
      <c r="D2527">
        <v>699</v>
      </c>
      <c r="E2527">
        <v>4.3</v>
      </c>
      <c r="F2527">
        <v>7</v>
      </c>
      <c r="G2527">
        <v>2</v>
      </c>
      <c r="H2527">
        <v>26</v>
      </c>
      <c r="I2527">
        <v>53</v>
      </c>
      <c r="J2527" t="s">
        <v>11</v>
      </c>
    </row>
    <row r="2528" spans="1:10">
      <c r="A2528">
        <v>2527</v>
      </c>
      <c r="B2528" s="1">
        <v>45643</v>
      </c>
      <c r="C2528" t="s">
        <v>14</v>
      </c>
      <c r="D2528">
        <v>399</v>
      </c>
      <c r="E2528">
        <v>2.4</v>
      </c>
      <c r="F2528">
        <v>1</v>
      </c>
      <c r="G2528">
        <v>4</v>
      </c>
      <c r="H2528">
        <v>10</v>
      </c>
      <c r="I2528">
        <v>15</v>
      </c>
      <c r="J2528" t="s">
        <v>13</v>
      </c>
    </row>
    <row r="2529" spans="1:10">
      <c r="A2529">
        <v>2528</v>
      </c>
      <c r="B2529" s="1">
        <v>45245</v>
      </c>
      <c r="C2529" t="s">
        <v>14</v>
      </c>
      <c r="D2529">
        <v>399</v>
      </c>
      <c r="E2529">
        <v>1.3</v>
      </c>
      <c r="F2529">
        <v>4</v>
      </c>
      <c r="G2529">
        <v>3</v>
      </c>
      <c r="H2529">
        <v>2</v>
      </c>
      <c r="I2529">
        <v>26</v>
      </c>
      <c r="J2529" t="s">
        <v>11</v>
      </c>
    </row>
    <row r="2530" spans="1:10">
      <c r="A2530">
        <v>2529</v>
      </c>
      <c r="B2530" s="1">
        <v>45609</v>
      </c>
      <c r="C2530" t="s">
        <v>14</v>
      </c>
      <c r="D2530">
        <v>399</v>
      </c>
      <c r="E2530">
        <v>19</v>
      </c>
      <c r="F2530">
        <v>1</v>
      </c>
      <c r="G2530">
        <v>0</v>
      </c>
      <c r="H2530">
        <v>2</v>
      </c>
      <c r="I2530">
        <v>28</v>
      </c>
      <c r="J2530" t="s">
        <v>13</v>
      </c>
    </row>
    <row r="2531" spans="1:10">
      <c r="A2531">
        <v>2530</v>
      </c>
      <c r="B2531" s="1">
        <v>45526</v>
      </c>
      <c r="C2531" t="s">
        <v>14</v>
      </c>
      <c r="D2531">
        <v>399</v>
      </c>
      <c r="E2531">
        <v>22.9</v>
      </c>
      <c r="F2531">
        <v>0</v>
      </c>
      <c r="G2531">
        <v>0</v>
      </c>
      <c r="H2531">
        <v>8</v>
      </c>
      <c r="I2531">
        <v>47</v>
      </c>
      <c r="J2531" t="s">
        <v>13</v>
      </c>
    </row>
    <row r="2532" spans="1:10">
      <c r="A2532">
        <v>2531</v>
      </c>
      <c r="B2532" s="1">
        <v>45643</v>
      </c>
      <c r="C2532" t="s">
        <v>12</v>
      </c>
      <c r="D2532">
        <v>199</v>
      </c>
      <c r="E2532">
        <v>19.3</v>
      </c>
      <c r="F2532">
        <v>8</v>
      </c>
      <c r="G2532">
        <v>0</v>
      </c>
      <c r="H2532">
        <v>35</v>
      </c>
      <c r="I2532">
        <v>52</v>
      </c>
      <c r="J2532" t="s">
        <v>13</v>
      </c>
    </row>
    <row r="2533" spans="1:10">
      <c r="A2533">
        <v>2532</v>
      </c>
      <c r="B2533" s="1">
        <v>44994</v>
      </c>
      <c r="C2533" t="s">
        <v>10</v>
      </c>
      <c r="D2533">
        <v>699</v>
      </c>
      <c r="E2533">
        <v>14.6</v>
      </c>
      <c r="F2533">
        <v>5</v>
      </c>
      <c r="G2533">
        <v>1</v>
      </c>
      <c r="H2533">
        <v>18</v>
      </c>
      <c r="I2533">
        <v>42</v>
      </c>
      <c r="J2533" t="s">
        <v>13</v>
      </c>
    </row>
    <row r="2534" spans="1:10">
      <c r="A2534">
        <v>2533</v>
      </c>
      <c r="B2534" s="1">
        <v>45589</v>
      </c>
      <c r="C2534" t="s">
        <v>14</v>
      </c>
      <c r="D2534">
        <v>399</v>
      </c>
      <c r="E2534">
        <v>1.5</v>
      </c>
      <c r="F2534">
        <v>8</v>
      </c>
      <c r="G2534">
        <v>0</v>
      </c>
      <c r="H2534">
        <v>12</v>
      </c>
      <c r="I2534">
        <v>51</v>
      </c>
      <c r="J2534" t="s">
        <v>11</v>
      </c>
    </row>
    <row r="2535" spans="1:10">
      <c r="A2535">
        <v>2534</v>
      </c>
      <c r="B2535" s="1">
        <v>45581</v>
      </c>
      <c r="C2535" t="s">
        <v>10</v>
      </c>
      <c r="D2535">
        <v>699</v>
      </c>
      <c r="E2535">
        <v>23.3</v>
      </c>
      <c r="F2535">
        <v>6</v>
      </c>
      <c r="G2535">
        <v>4</v>
      </c>
      <c r="H2535">
        <v>32</v>
      </c>
      <c r="I2535">
        <v>33</v>
      </c>
      <c r="J2535" t="s">
        <v>13</v>
      </c>
    </row>
    <row r="2536" spans="1:10">
      <c r="A2536">
        <v>2535</v>
      </c>
      <c r="B2536" s="1">
        <v>45318</v>
      </c>
      <c r="C2536" t="s">
        <v>12</v>
      </c>
      <c r="D2536">
        <v>199</v>
      </c>
      <c r="E2536">
        <v>5.4</v>
      </c>
      <c r="F2536">
        <v>7</v>
      </c>
      <c r="G2536">
        <v>5</v>
      </c>
      <c r="H2536">
        <v>5</v>
      </c>
      <c r="I2536">
        <v>7</v>
      </c>
      <c r="J2536" t="s">
        <v>13</v>
      </c>
    </row>
    <row r="2537" spans="1:10">
      <c r="A2537">
        <v>2536</v>
      </c>
      <c r="B2537" s="1">
        <v>45028</v>
      </c>
      <c r="C2537" t="s">
        <v>10</v>
      </c>
      <c r="D2537">
        <v>699</v>
      </c>
      <c r="E2537">
        <v>18.899999999999999</v>
      </c>
      <c r="F2537">
        <v>1</v>
      </c>
      <c r="G2537">
        <v>3</v>
      </c>
      <c r="H2537">
        <v>36</v>
      </c>
      <c r="I2537">
        <v>58</v>
      </c>
      <c r="J2537" t="s">
        <v>11</v>
      </c>
    </row>
    <row r="2538" spans="1:10">
      <c r="A2538">
        <v>2537</v>
      </c>
      <c r="B2538" s="1">
        <v>45181</v>
      </c>
      <c r="C2538" t="s">
        <v>12</v>
      </c>
      <c r="D2538">
        <v>199</v>
      </c>
      <c r="E2538">
        <v>12.4</v>
      </c>
      <c r="F2538">
        <v>0</v>
      </c>
      <c r="G2538">
        <v>3</v>
      </c>
      <c r="H2538">
        <v>14</v>
      </c>
      <c r="I2538">
        <v>30</v>
      </c>
      <c r="J2538" t="s">
        <v>11</v>
      </c>
    </row>
    <row r="2539" spans="1:10">
      <c r="A2539">
        <v>2538</v>
      </c>
      <c r="B2539" s="1">
        <v>45454</v>
      </c>
      <c r="C2539" t="s">
        <v>12</v>
      </c>
      <c r="D2539">
        <v>199</v>
      </c>
      <c r="E2539">
        <v>19.2</v>
      </c>
      <c r="F2539">
        <v>6</v>
      </c>
      <c r="G2539">
        <v>1</v>
      </c>
      <c r="H2539">
        <v>12</v>
      </c>
      <c r="I2539">
        <v>13</v>
      </c>
      <c r="J2539" t="s">
        <v>13</v>
      </c>
    </row>
    <row r="2540" spans="1:10">
      <c r="A2540">
        <v>2539</v>
      </c>
      <c r="B2540" s="1">
        <v>44995</v>
      </c>
      <c r="C2540" t="s">
        <v>10</v>
      </c>
      <c r="D2540">
        <v>699</v>
      </c>
      <c r="E2540">
        <v>14.8</v>
      </c>
      <c r="F2540">
        <v>1</v>
      </c>
      <c r="G2540">
        <v>4</v>
      </c>
      <c r="H2540">
        <v>19</v>
      </c>
      <c r="I2540">
        <v>28</v>
      </c>
      <c r="J2540" t="s">
        <v>13</v>
      </c>
    </row>
    <row r="2541" spans="1:10">
      <c r="A2541">
        <v>2540</v>
      </c>
      <c r="B2541" s="1">
        <v>45405</v>
      </c>
      <c r="C2541" t="s">
        <v>10</v>
      </c>
      <c r="D2541">
        <v>699</v>
      </c>
      <c r="E2541">
        <v>4.5</v>
      </c>
      <c r="F2541">
        <v>6</v>
      </c>
      <c r="G2541">
        <v>5</v>
      </c>
      <c r="H2541">
        <v>17</v>
      </c>
      <c r="I2541">
        <v>8</v>
      </c>
      <c r="J2541" t="s">
        <v>11</v>
      </c>
    </row>
    <row r="2542" spans="1:10">
      <c r="A2542">
        <v>2541</v>
      </c>
      <c r="B2542" s="1">
        <v>44983</v>
      </c>
      <c r="C2542" t="s">
        <v>12</v>
      </c>
      <c r="D2542">
        <v>199</v>
      </c>
      <c r="E2542">
        <v>11.8</v>
      </c>
      <c r="F2542">
        <v>8</v>
      </c>
      <c r="G2542">
        <v>1</v>
      </c>
      <c r="H2542">
        <v>33</v>
      </c>
      <c r="I2542">
        <v>6</v>
      </c>
      <c r="J2542" t="s">
        <v>11</v>
      </c>
    </row>
    <row r="2543" spans="1:10">
      <c r="A2543">
        <v>2542</v>
      </c>
      <c r="B2543" s="1">
        <v>45485</v>
      </c>
      <c r="C2543" t="s">
        <v>12</v>
      </c>
      <c r="D2543">
        <v>199</v>
      </c>
      <c r="E2543">
        <v>16</v>
      </c>
      <c r="F2543">
        <v>4</v>
      </c>
      <c r="G2543">
        <v>0</v>
      </c>
      <c r="H2543">
        <v>2</v>
      </c>
      <c r="I2543">
        <v>54</v>
      </c>
      <c r="J2543" t="s">
        <v>13</v>
      </c>
    </row>
    <row r="2544" spans="1:10">
      <c r="A2544">
        <v>2543</v>
      </c>
      <c r="B2544" s="1">
        <v>45525</v>
      </c>
      <c r="C2544" t="s">
        <v>12</v>
      </c>
      <c r="D2544">
        <v>199</v>
      </c>
      <c r="E2544">
        <v>9.5</v>
      </c>
      <c r="F2544">
        <v>8</v>
      </c>
      <c r="G2544">
        <v>4</v>
      </c>
      <c r="H2544">
        <v>16</v>
      </c>
      <c r="I2544">
        <v>32</v>
      </c>
      <c r="J2544" t="s">
        <v>13</v>
      </c>
    </row>
    <row r="2545" spans="1:10">
      <c r="A2545">
        <v>2544</v>
      </c>
      <c r="B2545" s="1">
        <v>45477</v>
      </c>
      <c r="C2545" t="s">
        <v>14</v>
      </c>
      <c r="D2545">
        <v>399</v>
      </c>
      <c r="E2545">
        <v>22.5</v>
      </c>
      <c r="F2545">
        <v>1</v>
      </c>
      <c r="G2545">
        <v>3</v>
      </c>
      <c r="H2545">
        <v>10</v>
      </c>
      <c r="I2545">
        <v>1</v>
      </c>
      <c r="J2545" t="s">
        <v>13</v>
      </c>
    </row>
    <row r="2546" spans="1:10">
      <c r="A2546">
        <v>2545</v>
      </c>
      <c r="B2546" s="1">
        <v>44999</v>
      </c>
      <c r="C2546" t="s">
        <v>10</v>
      </c>
      <c r="D2546">
        <v>699</v>
      </c>
      <c r="E2546">
        <v>23.2</v>
      </c>
      <c r="F2546">
        <v>8</v>
      </c>
      <c r="G2546">
        <v>0</v>
      </c>
      <c r="H2546">
        <v>19</v>
      </c>
      <c r="I2546">
        <v>52</v>
      </c>
      <c r="J2546" t="s">
        <v>13</v>
      </c>
    </row>
    <row r="2547" spans="1:10">
      <c r="A2547">
        <v>2546</v>
      </c>
      <c r="B2547" s="1">
        <v>45050</v>
      </c>
      <c r="C2547" t="s">
        <v>10</v>
      </c>
      <c r="D2547">
        <v>699</v>
      </c>
      <c r="E2547">
        <v>22.4</v>
      </c>
      <c r="F2547">
        <v>4</v>
      </c>
      <c r="G2547">
        <v>4</v>
      </c>
      <c r="H2547">
        <v>26</v>
      </c>
      <c r="I2547">
        <v>8</v>
      </c>
      <c r="J2547" t="s">
        <v>11</v>
      </c>
    </row>
    <row r="2548" spans="1:10">
      <c r="A2548">
        <v>2547</v>
      </c>
      <c r="B2548" s="1">
        <v>45309</v>
      </c>
      <c r="C2548" t="s">
        <v>14</v>
      </c>
      <c r="D2548">
        <v>399</v>
      </c>
      <c r="E2548">
        <v>13.3</v>
      </c>
      <c r="F2548">
        <v>3</v>
      </c>
      <c r="G2548">
        <v>4</v>
      </c>
      <c r="H2548">
        <v>23</v>
      </c>
      <c r="I2548">
        <v>28</v>
      </c>
      <c r="J2548" t="s">
        <v>13</v>
      </c>
    </row>
    <row r="2549" spans="1:10">
      <c r="A2549">
        <v>2548</v>
      </c>
      <c r="B2549" s="1">
        <v>45355</v>
      </c>
      <c r="C2549" t="s">
        <v>14</v>
      </c>
      <c r="D2549">
        <v>399</v>
      </c>
      <c r="E2549">
        <v>13.7</v>
      </c>
      <c r="F2549">
        <v>0</v>
      </c>
      <c r="G2549">
        <v>0</v>
      </c>
      <c r="H2549">
        <v>1</v>
      </c>
      <c r="I2549">
        <v>16</v>
      </c>
      <c r="J2549" t="s">
        <v>13</v>
      </c>
    </row>
    <row r="2550" spans="1:10">
      <c r="A2550">
        <v>2549</v>
      </c>
      <c r="B2550" s="1">
        <v>45503</v>
      </c>
      <c r="C2550" t="s">
        <v>14</v>
      </c>
      <c r="D2550">
        <v>399</v>
      </c>
      <c r="E2550">
        <v>12.1</v>
      </c>
      <c r="F2550">
        <v>1</v>
      </c>
      <c r="G2550">
        <v>1</v>
      </c>
      <c r="H2550">
        <v>21</v>
      </c>
      <c r="I2550">
        <v>53</v>
      </c>
      <c r="J2550" t="s">
        <v>11</v>
      </c>
    </row>
    <row r="2551" spans="1:10">
      <c r="A2551">
        <v>2550</v>
      </c>
      <c r="B2551" s="1">
        <v>45088</v>
      </c>
      <c r="C2551" t="s">
        <v>12</v>
      </c>
      <c r="D2551">
        <v>199</v>
      </c>
      <c r="E2551">
        <v>15.1</v>
      </c>
      <c r="F2551">
        <v>1</v>
      </c>
      <c r="G2551">
        <v>5</v>
      </c>
      <c r="H2551">
        <v>20</v>
      </c>
      <c r="I2551">
        <v>42</v>
      </c>
      <c r="J2551" t="s">
        <v>11</v>
      </c>
    </row>
    <row r="2552" spans="1:10">
      <c r="A2552">
        <v>2551</v>
      </c>
      <c r="B2552" s="1">
        <v>45500</v>
      </c>
      <c r="C2552" t="s">
        <v>10</v>
      </c>
      <c r="D2552">
        <v>699</v>
      </c>
      <c r="E2552">
        <v>17</v>
      </c>
      <c r="F2552">
        <v>4</v>
      </c>
      <c r="G2552">
        <v>1</v>
      </c>
      <c r="H2552">
        <v>32</v>
      </c>
      <c r="I2552">
        <v>38</v>
      </c>
      <c r="J2552" t="s">
        <v>13</v>
      </c>
    </row>
    <row r="2553" spans="1:10">
      <c r="A2553">
        <v>2552</v>
      </c>
      <c r="B2553" s="1">
        <v>45415</v>
      </c>
      <c r="C2553" t="s">
        <v>10</v>
      </c>
      <c r="D2553">
        <v>699</v>
      </c>
      <c r="E2553">
        <v>11.9</v>
      </c>
      <c r="F2553">
        <v>6</v>
      </c>
      <c r="G2553">
        <v>4</v>
      </c>
      <c r="H2553">
        <v>10</v>
      </c>
      <c r="I2553">
        <v>60</v>
      </c>
      <c r="J2553" t="s">
        <v>13</v>
      </c>
    </row>
    <row r="2554" spans="1:10">
      <c r="A2554">
        <v>2553</v>
      </c>
      <c r="B2554" s="1">
        <v>45017</v>
      </c>
      <c r="C2554" t="s">
        <v>10</v>
      </c>
      <c r="D2554">
        <v>699</v>
      </c>
      <c r="E2554">
        <v>7</v>
      </c>
      <c r="F2554">
        <v>5</v>
      </c>
      <c r="G2554">
        <v>1</v>
      </c>
      <c r="H2554">
        <v>4</v>
      </c>
      <c r="I2554">
        <v>45</v>
      </c>
      <c r="J2554" t="s">
        <v>11</v>
      </c>
    </row>
    <row r="2555" spans="1:10">
      <c r="A2555">
        <v>2554</v>
      </c>
      <c r="B2555" s="1">
        <v>45584</v>
      </c>
      <c r="C2555" t="s">
        <v>10</v>
      </c>
      <c r="D2555">
        <v>699</v>
      </c>
      <c r="E2555">
        <v>3.3</v>
      </c>
      <c r="F2555">
        <v>6</v>
      </c>
      <c r="G2555">
        <v>0</v>
      </c>
      <c r="H2555">
        <v>28</v>
      </c>
      <c r="I2555">
        <v>31</v>
      </c>
      <c r="J2555" t="s">
        <v>13</v>
      </c>
    </row>
    <row r="2556" spans="1:10">
      <c r="A2556">
        <v>2555</v>
      </c>
      <c r="B2556" s="1">
        <v>45313</v>
      </c>
      <c r="C2556" t="s">
        <v>12</v>
      </c>
      <c r="D2556">
        <v>199</v>
      </c>
      <c r="E2556">
        <v>12.4</v>
      </c>
      <c r="F2556">
        <v>8</v>
      </c>
      <c r="G2556">
        <v>4</v>
      </c>
      <c r="H2556">
        <v>12</v>
      </c>
      <c r="I2556">
        <v>14</v>
      </c>
      <c r="J2556" t="s">
        <v>11</v>
      </c>
    </row>
    <row r="2557" spans="1:10">
      <c r="A2557">
        <v>2556</v>
      </c>
      <c r="B2557" s="1">
        <v>45601</v>
      </c>
      <c r="C2557" t="s">
        <v>14</v>
      </c>
      <c r="D2557">
        <v>399</v>
      </c>
      <c r="E2557">
        <v>19.600000000000001</v>
      </c>
      <c r="F2557">
        <v>7</v>
      </c>
      <c r="G2557">
        <v>4</v>
      </c>
      <c r="H2557">
        <v>7</v>
      </c>
      <c r="I2557">
        <v>51</v>
      </c>
      <c r="J2557" t="s">
        <v>13</v>
      </c>
    </row>
    <row r="2558" spans="1:10">
      <c r="A2558">
        <v>2557</v>
      </c>
      <c r="B2558" s="1">
        <v>45582</v>
      </c>
      <c r="C2558" t="s">
        <v>10</v>
      </c>
      <c r="D2558">
        <v>699</v>
      </c>
      <c r="E2558">
        <v>5</v>
      </c>
      <c r="F2558">
        <v>0</v>
      </c>
      <c r="G2558">
        <v>4</v>
      </c>
      <c r="H2558">
        <v>26</v>
      </c>
      <c r="I2558">
        <v>59</v>
      </c>
      <c r="J2558" t="s">
        <v>11</v>
      </c>
    </row>
    <row r="2559" spans="1:10">
      <c r="A2559">
        <v>2558</v>
      </c>
      <c r="B2559" s="1">
        <v>45366</v>
      </c>
      <c r="C2559" t="s">
        <v>14</v>
      </c>
      <c r="D2559">
        <v>399</v>
      </c>
      <c r="E2559">
        <v>9.9</v>
      </c>
      <c r="F2559">
        <v>3</v>
      </c>
      <c r="G2559">
        <v>5</v>
      </c>
      <c r="H2559">
        <v>25</v>
      </c>
      <c r="I2559">
        <v>16</v>
      </c>
      <c r="J2559" t="s">
        <v>13</v>
      </c>
    </row>
    <row r="2560" spans="1:10">
      <c r="A2560">
        <v>2559</v>
      </c>
      <c r="B2560" s="1">
        <v>45083</v>
      </c>
      <c r="C2560" t="s">
        <v>12</v>
      </c>
      <c r="D2560">
        <v>199</v>
      </c>
      <c r="E2560">
        <v>11.6</v>
      </c>
      <c r="F2560">
        <v>4</v>
      </c>
      <c r="G2560">
        <v>1</v>
      </c>
      <c r="H2560">
        <v>18</v>
      </c>
      <c r="I2560">
        <v>4</v>
      </c>
      <c r="J2560" t="s">
        <v>13</v>
      </c>
    </row>
    <row r="2561" spans="1:10">
      <c r="A2561">
        <v>2560</v>
      </c>
      <c r="B2561" s="1">
        <v>45175</v>
      </c>
      <c r="C2561" t="s">
        <v>10</v>
      </c>
      <c r="D2561">
        <v>699</v>
      </c>
      <c r="E2561">
        <v>3</v>
      </c>
      <c r="F2561">
        <v>2</v>
      </c>
      <c r="G2561">
        <v>1</v>
      </c>
      <c r="H2561">
        <v>22</v>
      </c>
      <c r="I2561">
        <v>59</v>
      </c>
      <c r="J2561" t="s">
        <v>11</v>
      </c>
    </row>
    <row r="2562" spans="1:10">
      <c r="A2562">
        <v>2561</v>
      </c>
      <c r="B2562" s="1">
        <v>45514</v>
      </c>
      <c r="C2562" t="s">
        <v>10</v>
      </c>
      <c r="D2562">
        <v>699</v>
      </c>
      <c r="E2562">
        <v>7.2</v>
      </c>
      <c r="F2562">
        <v>8</v>
      </c>
      <c r="G2562">
        <v>1</v>
      </c>
      <c r="H2562">
        <v>27</v>
      </c>
      <c r="I2562">
        <v>0</v>
      </c>
      <c r="J2562" t="s">
        <v>13</v>
      </c>
    </row>
    <row r="2563" spans="1:10">
      <c r="A2563">
        <v>2562</v>
      </c>
      <c r="B2563" s="1">
        <v>44969</v>
      </c>
      <c r="C2563" t="s">
        <v>12</v>
      </c>
      <c r="D2563">
        <v>199</v>
      </c>
      <c r="E2563">
        <v>13.6</v>
      </c>
      <c r="F2563">
        <v>8</v>
      </c>
      <c r="G2563">
        <v>5</v>
      </c>
      <c r="H2563">
        <v>18</v>
      </c>
      <c r="I2563">
        <v>32</v>
      </c>
      <c r="J2563" t="s">
        <v>11</v>
      </c>
    </row>
    <row r="2564" spans="1:10">
      <c r="A2564">
        <v>2563</v>
      </c>
      <c r="B2564" s="1">
        <v>45466</v>
      </c>
      <c r="C2564" t="s">
        <v>14</v>
      </c>
      <c r="D2564">
        <v>399</v>
      </c>
      <c r="E2564">
        <v>24.6</v>
      </c>
      <c r="F2564">
        <v>6</v>
      </c>
      <c r="G2564">
        <v>3</v>
      </c>
      <c r="H2564">
        <v>9</v>
      </c>
      <c r="I2564">
        <v>9</v>
      </c>
      <c r="J2564" t="s">
        <v>13</v>
      </c>
    </row>
    <row r="2565" spans="1:10">
      <c r="A2565">
        <v>2564</v>
      </c>
      <c r="B2565" s="1">
        <v>45042</v>
      </c>
      <c r="C2565" t="s">
        <v>14</v>
      </c>
      <c r="D2565">
        <v>399</v>
      </c>
      <c r="E2565">
        <v>10.9</v>
      </c>
      <c r="F2565">
        <v>1</v>
      </c>
      <c r="G2565">
        <v>0</v>
      </c>
      <c r="H2565">
        <v>5</v>
      </c>
      <c r="I2565">
        <v>19</v>
      </c>
      <c r="J2565" t="s">
        <v>11</v>
      </c>
    </row>
    <row r="2566" spans="1:10">
      <c r="A2566">
        <v>2565</v>
      </c>
      <c r="B2566" s="1">
        <v>45165</v>
      </c>
      <c r="C2566" t="s">
        <v>10</v>
      </c>
      <c r="D2566">
        <v>699</v>
      </c>
      <c r="E2566">
        <v>9.3000000000000007</v>
      </c>
      <c r="F2566">
        <v>2</v>
      </c>
      <c r="G2566">
        <v>1</v>
      </c>
      <c r="H2566">
        <v>16</v>
      </c>
      <c r="I2566">
        <v>45</v>
      </c>
      <c r="J2566" t="s">
        <v>13</v>
      </c>
    </row>
    <row r="2567" spans="1:10">
      <c r="A2567">
        <v>2566</v>
      </c>
      <c r="B2567" s="1">
        <v>44971</v>
      </c>
      <c r="C2567" t="s">
        <v>12</v>
      </c>
      <c r="D2567">
        <v>199</v>
      </c>
      <c r="E2567">
        <v>18.100000000000001</v>
      </c>
      <c r="F2567">
        <v>0</v>
      </c>
      <c r="G2567">
        <v>2</v>
      </c>
      <c r="H2567">
        <v>31</v>
      </c>
      <c r="I2567">
        <v>11</v>
      </c>
      <c r="J2567" t="s">
        <v>13</v>
      </c>
    </row>
    <row r="2568" spans="1:10">
      <c r="A2568">
        <v>2567</v>
      </c>
      <c r="B2568" s="1">
        <v>45644</v>
      </c>
      <c r="C2568" t="s">
        <v>14</v>
      </c>
      <c r="D2568">
        <v>399</v>
      </c>
      <c r="E2568">
        <v>14.1</v>
      </c>
      <c r="F2568">
        <v>1</v>
      </c>
      <c r="G2568">
        <v>3</v>
      </c>
      <c r="H2568">
        <v>21</v>
      </c>
      <c r="I2568">
        <v>21</v>
      </c>
      <c r="J2568" t="s">
        <v>13</v>
      </c>
    </row>
    <row r="2569" spans="1:10">
      <c r="A2569">
        <v>2568</v>
      </c>
      <c r="B2569" s="1">
        <v>45054</v>
      </c>
      <c r="C2569" t="s">
        <v>12</v>
      </c>
      <c r="D2569">
        <v>199</v>
      </c>
      <c r="E2569">
        <v>9.3000000000000007</v>
      </c>
      <c r="F2569">
        <v>4</v>
      </c>
      <c r="G2569">
        <v>2</v>
      </c>
      <c r="H2569">
        <v>11</v>
      </c>
      <c r="I2569">
        <v>31</v>
      </c>
      <c r="J2569" t="s">
        <v>11</v>
      </c>
    </row>
    <row r="2570" spans="1:10">
      <c r="A2570">
        <v>2569</v>
      </c>
      <c r="B2570" s="1">
        <v>44955</v>
      </c>
      <c r="C2570" t="s">
        <v>10</v>
      </c>
      <c r="D2570">
        <v>699</v>
      </c>
      <c r="E2570">
        <v>11</v>
      </c>
      <c r="F2570">
        <v>0</v>
      </c>
      <c r="G2570">
        <v>1</v>
      </c>
      <c r="H2570">
        <v>7</v>
      </c>
      <c r="I2570">
        <v>44</v>
      </c>
      <c r="J2570" t="s">
        <v>11</v>
      </c>
    </row>
    <row r="2571" spans="1:10">
      <c r="A2571">
        <v>2570</v>
      </c>
      <c r="B2571" s="1">
        <v>44993</v>
      </c>
      <c r="C2571" t="s">
        <v>10</v>
      </c>
      <c r="D2571">
        <v>699</v>
      </c>
      <c r="E2571">
        <v>10.4</v>
      </c>
      <c r="F2571">
        <v>1</v>
      </c>
      <c r="G2571">
        <v>3</v>
      </c>
      <c r="H2571">
        <v>27</v>
      </c>
      <c r="I2571">
        <v>48</v>
      </c>
      <c r="J2571" t="s">
        <v>13</v>
      </c>
    </row>
    <row r="2572" spans="1:10">
      <c r="A2572">
        <v>2571</v>
      </c>
      <c r="B2572" s="1">
        <v>44969</v>
      </c>
      <c r="C2572" t="s">
        <v>10</v>
      </c>
      <c r="D2572">
        <v>699</v>
      </c>
      <c r="E2572">
        <v>17.7</v>
      </c>
      <c r="F2572">
        <v>8</v>
      </c>
      <c r="G2572">
        <v>4</v>
      </c>
      <c r="H2572">
        <v>9</v>
      </c>
      <c r="I2572">
        <v>48</v>
      </c>
      <c r="J2572" t="s">
        <v>11</v>
      </c>
    </row>
    <row r="2573" spans="1:10">
      <c r="A2573">
        <v>2572</v>
      </c>
      <c r="B2573" s="1">
        <v>45075</v>
      </c>
      <c r="C2573" t="s">
        <v>10</v>
      </c>
      <c r="D2573">
        <v>699</v>
      </c>
      <c r="E2573">
        <v>23.9</v>
      </c>
      <c r="F2573">
        <v>0</v>
      </c>
      <c r="G2573">
        <v>3</v>
      </c>
      <c r="H2573">
        <v>35</v>
      </c>
      <c r="I2573">
        <v>29</v>
      </c>
      <c r="J2573" t="s">
        <v>13</v>
      </c>
    </row>
    <row r="2574" spans="1:10">
      <c r="A2574">
        <v>2573</v>
      </c>
      <c r="B2574" s="1">
        <v>45034</v>
      </c>
      <c r="C2574" t="s">
        <v>12</v>
      </c>
      <c r="D2574">
        <v>199</v>
      </c>
      <c r="E2574">
        <v>2.5</v>
      </c>
      <c r="F2574">
        <v>4</v>
      </c>
      <c r="G2574">
        <v>3</v>
      </c>
      <c r="H2574">
        <v>18</v>
      </c>
      <c r="I2574">
        <v>33</v>
      </c>
      <c r="J2574" t="s">
        <v>11</v>
      </c>
    </row>
    <row r="2575" spans="1:10">
      <c r="A2575">
        <v>2574</v>
      </c>
      <c r="B2575" s="1">
        <v>45486</v>
      </c>
      <c r="C2575" t="s">
        <v>12</v>
      </c>
      <c r="D2575">
        <v>199</v>
      </c>
      <c r="E2575">
        <v>15.8</v>
      </c>
      <c r="F2575">
        <v>6</v>
      </c>
      <c r="G2575">
        <v>5</v>
      </c>
      <c r="H2575">
        <v>21</v>
      </c>
      <c r="I2575">
        <v>24</v>
      </c>
      <c r="J2575" t="s">
        <v>13</v>
      </c>
    </row>
    <row r="2576" spans="1:10">
      <c r="A2576">
        <v>2575</v>
      </c>
      <c r="B2576" s="1">
        <v>45560</v>
      </c>
      <c r="C2576" t="s">
        <v>14</v>
      </c>
      <c r="D2576">
        <v>399</v>
      </c>
      <c r="E2576">
        <v>15.6</v>
      </c>
      <c r="F2576">
        <v>3</v>
      </c>
      <c r="G2576">
        <v>5</v>
      </c>
      <c r="H2576">
        <v>35</v>
      </c>
      <c r="I2576">
        <v>37</v>
      </c>
      <c r="J2576" t="s">
        <v>11</v>
      </c>
    </row>
    <row r="2577" spans="1:10">
      <c r="A2577">
        <v>2576</v>
      </c>
      <c r="B2577" s="1">
        <v>45019</v>
      </c>
      <c r="C2577" t="s">
        <v>10</v>
      </c>
      <c r="D2577">
        <v>699</v>
      </c>
      <c r="E2577">
        <v>8.1</v>
      </c>
      <c r="F2577">
        <v>8</v>
      </c>
      <c r="G2577">
        <v>3</v>
      </c>
      <c r="H2577">
        <v>29</v>
      </c>
      <c r="I2577">
        <v>36</v>
      </c>
      <c r="J2577" t="s">
        <v>11</v>
      </c>
    </row>
    <row r="2578" spans="1:10">
      <c r="A2578">
        <v>2577</v>
      </c>
      <c r="B2578" s="1">
        <v>45555</v>
      </c>
      <c r="C2578" t="s">
        <v>14</v>
      </c>
      <c r="D2578">
        <v>399</v>
      </c>
      <c r="E2578">
        <v>14.9</v>
      </c>
      <c r="F2578">
        <v>5</v>
      </c>
      <c r="G2578">
        <v>5</v>
      </c>
      <c r="H2578">
        <v>22</v>
      </c>
      <c r="I2578">
        <v>3</v>
      </c>
      <c r="J2578" t="s">
        <v>11</v>
      </c>
    </row>
    <row r="2579" spans="1:10">
      <c r="A2579">
        <v>2578</v>
      </c>
      <c r="B2579" s="1">
        <v>45317</v>
      </c>
      <c r="C2579" t="s">
        <v>12</v>
      </c>
      <c r="D2579">
        <v>199</v>
      </c>
      <c r="E2579">
        <v>1.9</v>
      </c>
      <c r="F2579">
        <v>7</v>
      </c>
      <c r="G2579">
        <v>2</v>
      </c>
      <c r="H2579">
        <v>12</v>
      </c>
      <c r="I2579">
        <v>15</v>
      </c>
      <c r="J2579" t="s">
        <v>11</v>
      </c>
    </row>
    <row r="2580" spans="1:10">
      <c r="A2580">
        <v>2579</v>
      </c>
      <c r="B2580" s="1">
        <v>44990</v>
      </c>
      <c r="C2580" t="s">
        <v>10</v>
      </c>
      <c r="D2580">
        <v>699</v>
      </c>
      <c r="E2580">
        <v>9.1</v>
      </c>
      <c r="F2580">
        <v>1</v>
      </c>
      <c r="G2580">
        <v>3</v>
      </c>
      <c r="H2580">
        <v>3</v>
      </c>
      <c r="I2580">
        <v>5</v>
      </c>
      <c r="J2580" t="s">
        <v>13</v>
      </c>
    </row>
    <row r="2581" spans="1:10">
      <c r="A2581">
        <v>2580</v>
      </c>
      <c r="B2581" s="1">
        <v>45181</v>
      </c>
      <c r="C2581" t="s">
        <v>12</v>
      </c>
      <c r="D2581">
        <v>199</v>
      </c>
      <c r="E2581">
        <v>18.899999999999999</v>
      </c>
      <c r="F2581">
        <v>8</v>
      </c>
      <c r="G2581">
        <v>3</v>
      </c>
      <c r="H2581">
        <v>35</v>
      </c>
      <c r="I2581">
        <v>13</v>
      </c>
      <c r="J2581" t="s">
        <v>11</v>
      </c>
    </row>
    <row r="2582" spans="1:10">
      <c r="A2582">
        <v>2581</v>
      </c>
      <c r="B2582" s="1">
        <v>45315</v>
      </c>
      <c r="C2582" t="s">
        <v>14</v>
      </c>
      <c r="D2582">
        <v>399</v>
      </c>
      <c r="E2582">
        <v>3</v>
      </c>
      <c r="F2582">
        <v>4</v>
      </c>
      <c r="G2582">
        <v>2</v>
      </c>
      <c r="H2582">
        <v>9</v>
      </c>
      <c r="I2582">
        <v>23</v>
      </c>
      <c r="J2582" t="s">
        <v>11</v>
      </c>
    </row>
    <row r="2583" spans="1:10">
      <c r="A2583">
        <v>2582</v>
      </c>
      <c r="B2583" s="1">
        <v>45521</v>
      </c>
      <c r="C2583" t="s">
        <v>14</v>
      </c>
      <c r="D2583">
        <v>399</v>
      </c>
      <c r="E2583">
        <v>1.7</v>
      </c>
      <c r="F2583">
        <v>4</v>
      </c>
      <c r="G2583">
        <v>1</v>
      </c>
      <c r="H2583">
        <v>1</v>
      </c>
      <c r="I2583">
        <v>19</v>
      </c>
      <c r="J2583" t="s">
        <v>13</v>
      </c>
    </row>
    <row r="2584" spans="1:10">
      <c r="A2584">
        <v>2583</v>
      </c>
      <c r="B2584" s="1">
        <v>45497</v>
      </c>
      <c r="C2584" t="s">
        <v>14</v>
      </c>
      <c r="D2584">
        <v>399</v>
      </c>
      <c r="E2584">
        <v>1.7</v>
      </c>
      <c r="F2584">
        <v>6</v>
      </c>
      <c r="G2584">
        <v>3</v>
      </c>
      <c r="H2584">
        <v>12</v>
      </c>
      <c r="I2584">
        <v>43</v>
      </c>
      <c r="J2584" t="s">
        <v>11</v>
      </c>
    </row>
    <row r="2585" spans="1:10">
      <c r="A2585">
        <v>2584</v>
      </c>
      <c r="B2585" s="1">
        <v>45195</v>
      </c>
      <c r="C2585" t="s">
        <v>10</v>
      </c>
      <c r="D2585">
        <v>699</v>
      </c>
      <c r="E2585">
        <v>11.1</v>
      </c>
      <c r="F2585">
        <v>6</v>
      </c>
      <c r="G2585">
        <v>0</v>
      </c>
      <c r="H2585">
        <v>28</v>
      </c>
      <c r="I2585">
        <v>20</v>
      </c>
      <c r="J2585" t="s">
        <v>13</v>
      </c>
    </row>
    <row r="2586" spans="1:10">
      <c r="A2586">
        <v>2585</v>
      </c>
      <c r="B2586" s="1">
        <v>45428</v>
      </c>
      <c r="C2586" t="s">
        <v>12</v>
      </c>
      <c r="D2586">
        <v>199</v>
      </c>
      <c r="E2586">
        <v>20.6</v>
      </c>
      <c r="F2586">
        <v>4</v>
      </c>
      <c r="G2586">
        <v>2</v>
      </c>
      <c r="H2586">
        <v>1</v>
      </c>
      <c r="I2586">
        <v>27</v>
      </c>
      <c r="J2586" t="s">
        <v>13</v>
      </c>
    </row>
    <row r="2587" spans="1:10">
      <c r="A2587">
        <v>2586</v>
      </c>
      <c r="B2587" s="1">
        <v>45242</v>
      </c>
      <c r="C2587" t="s">
        <v>14</v>
      </c>
      <c r="D2587">
        <v>399</v>
      </c>
      <c r="E2587">
        <v>13.7</v>
      </c>
      <c r="F2587">
        <v>0</v>
      </c>
      <c r="G2587">
        <v>4</v>
      </c>
      <c r="H2587">
        <v>22</v>
      </c>
      <c r="I2587">
        <v>28</v>
      </c>
      <c r="J2587" t="s">
        <v>13</v>
      </c>
    </row>
    <row r="2588" spans="1:10">
      <c r="A2588">
        <v>2587</v>
      </c>
      <c r="B2588" s="1">
        <v>45175</v>
      </c>
      <c r="C2588" t="s">
        <v>14</v>
      </c>
      <c r="D2588">
        <v>399</v>
      </c>
      <c r="E2588">
        <v>5.2</v>
      </c>
      <c r="F2588">
        <v>8</v>
      </c>
      <c r="G2588">
        <v>4</v>
      </c>
      <c r="H2588">
        <v>15</v>
      </c>
      <c r="I2588">
        <v>1</v>
      </c>
      <c r="J2588" t="s">
        <v>11</v>
      </c>
    </row>
    <row r="2589" spans="1:10">
      <c r="A2589">
        <v>2588</v>
      </c>
      <c r="B2589" s="1">
        <v>45355</v>
      </c>
      <c r="C2589" t="s">
        <v>14</v>
      </c>
      <c r="D2589">
        <v>399</v>
      </c>
      <c r="E2589">
        <v>20.100000000000001</v>
      </c>
      <c r="F2589">
        <v>6</v>
      </c>
      <c r="G2589">
        <v>1</v>
      </c>
      <c r="H2589">
        <v>17</v>
      </c>
      <c r="I2589">
        <v>54</v>
      </c>
      <c r="J2589" t="s">
        <v>13</v>
      </c>
    </row>
    <row r="2590" spans="1:10">
      <c r="A2590">
        <v>2589</v>
      </c>
      <c r="B2590" s="1">
        <v>45282</v>
      </c>
      <c r="C2590" t="s">
        <v>14</v>
      </c>
      <c r="D2590">
        <v>399</v>
      </c>
      <c r="E2590">
        <v>1.8</v>
      </c>
      <c r="F2590">
        <v>6</v>
      </c>
      <c r="G2590">
        <v>5</v>
      </c>
      <c r="H2590">
        <v>19</v>
      </c>
      <c r="I2590">
        <v>21</v>
      </c>
      <c r="J2590" t="s">
        <v>11</v>
      </c>
    </row>
    <row r="2591" spans="1:10">
      <c r="A2591">
        <v>2590</v>
      </c>
      <c r="B2591" s="1">
        <v>45106</v>
      </c>
      <c r="C2591" t="s">
        <v>12</v>
      </c>
      <c r="D2591">
        <v>199</v>
      </c>
      <c r="E2591">
        <v>0.7</v>
      </c>
      <c r="F2591">
        <v>6</v>
      </c>
      <c r="G2591">
        <v>1</v>
      </c>
      <c r="H2591">
        <v>4</v>
      </c>
      <c r="I2591">
        <v>54</v>
      </c>
      <c r="J2591" t="s">
        <v>11</v>
      </c>
    </row>
    <row r="2592" spans="1:10">
      <c r="A2592">
        <v>2591</v>
      </c>
      <c r="B2592" s="1">
        <v>45599</v>
      </c>
      <c r="C2592" t="s">
        <v>12</v>
      </c>
      <c r="D2592">
        <v>199</v>
      </c>
      <c r="E2592">
        <v>4.9000000000000004</v>
      </c>
      <c r="F2592">
        <v>7</v>
      </c>
      <c r="G2592">
        <v>3</v>
      </c>
      <c r="H2592">
        <v>19</v>
      </c>
      <c r="I2592">
        <v>56</v>
      </c>
      <c r="J2592" t="s">
        <v>11</v>
      </c>
    </row>
    <row r="2593" spans="1:10">
      <c r="A2593">
        <v>2592</v>
      </c>
      <c r="B2593" s="1">
        <v>45033</v>
      </c>
      <c r="C2593" t="s">
        <v>14</v>
      </c>
      <c r="D2593">
        <v>399</v>
      </c>
      <c r="E2593">
        <v>10.3</v>
      </c>
      <c r="F2593">
        <v>5</v>
      </c>
      <c r="G2593">
        <v>4</v>
      </c>
      <c r="H2593">
        <v>20</v>
      </c>
      <c r="I2593">
        <v>4</v>
      </c>
      <c r="J2593" t="s">
        <v>11</v>
      </c>
    </row>
    <row r="2594" spans="1:10">
      <c r="A2594">
        <v>2593</v>
      </c>
      <c r="B2594" s="1">
        <v>45442</v>
      </c>
      <c r="C2594" t="s">
        <v>12</v>
      </c>
      <c r="D2594">
        <v>199</v>
      </c>
      <c r="E2594">
        <v>7.4</v>
      </c>
      <c r="F2594">
        <v>1</v>
      </c>
      <c r="G2594">
        <v>0</v>
      </c>
      <c r="H2594">
        <v>12</v>
      </c>
      <c r="I2594">
        <v>23</v>
      </c>
      <c r="J2594" t="s">
        <v>13</v>
      </c>
    </row>
    <row r="2595" spans="1:10">
      <c r="A2595">
        <v>2594</v>
      </c>
      <c r="B2595" s="1">
        <v>45476</v>
      </c>
      <c r="C2595" t="s">
        <v>14</v>
      </c>
      <c r="D2595">
        <v>399</v>
      </c>
      <c r="E2595">
        <v>20</v>
      </c>
      <c r="F2595">
        <v>6</v>
      </c>
      <c r="G2595">
        <v>0</v>
      </c>
      <c r="H2595">
        <v>35</v>
      </c>
      <c r="I2595">
        <v>0</v>
      </c>
      <c r="J2595" t="s">
        <v>13</v>
      </c>
    </row>
    <row r="2596" spans="1:10">
      <c r="A2596">
        <v>2595</v>
      </c>
      <c r="B2596" s="1">
        <v>45499</v>
      </c>
      <c r="C2596" t="s">
        <v>12</v>
      </c>
      <c r="D2596">
        <v>199</v>
      </c>
      <c r="E2596">
        <v>12.1</v>
      </c>
      <c r="F2596">
        <v>8</v>
      </c>
      <c r="G2596">
        <v>3</v>
      </c>
      <c r="H2596">
        <v>7</v>
      </c>
      <c r="I2596">
        <v>30</v>
      </c>
      <c r="J2596" t="s">
        <v>11</v>
      </c>
    </row>
    <row r="2597" spans="1:10">
      <c r="A2597">
        <v>2596</v>
      </c>
      <c r="B2597" s="1">
        <v>45293</v>
      </c>
      <c r="C2597" t="s">
        <v>12</v>
      </c>
      <c r="D2597">
        <v>199</v>
      </c>
      <c r="E2597">
        <v>21.9</v>
      </c>
      <c r="F2597">
        <v>2</v>
      </c>
      <c r="G2597">
        <v>4</v>
      </c>
      <c r="H2597">
        <v>13</v>
      </c>
      <c r="I2597">
        <v>38</v>
      </c>
      <c r="J2597" t="s">
        <v>13</v>
      </c>
    </row>
    <row r="2598" spans="1:10">
      <c r="A2598">
        <v>2597</v>
      </c>
      <c r="B2598" s="1">
        <v>45345</v>
      </c>
      <c r="C2598" t="s">
        <v>14</v>
      </c>
      <c r="D2598">
        <v>399</v>
      </c>
      <c r="E2598">
        <v>23.3</v>
      </c>
      <c r="F2598">
        <v>4</v>
      </c>
      <c r="G2598">
        <v>3</v>
      </c>
      <c r="H2598">
        <v>1</v>
      </c>
      <c r="I2598">
        <v>8</v>
      </c>
      <c r="J2598" t="s">
        <v>13</v>
      </c>
    </row>
    <row r="2599" spans="1:10">
      <c r="A2599">
        <v>2598</v>
      </c>
      <c r="B2599" s="1">
        <v>45095</v>
      </c>
      <c r="C2599" t="s">
        <v>14</v>
      </c>
      <c r="D2599">
        <v>399</v>
      </c>
      <c r="E2599">
        <v>16.100000000000001</v>
      </c>
      <c r="F2599">
        <v>6</v>
      </c>
      <c r="G2599">
        <v>0</v>
      </c>
      <c r="H2599">
        <v>11</v>
      </c>
      <c r="I2599">
        <v>9</v>
      </c>
      <c r="J2599" t="s">
        <v>13</v>
      </c>
    </row>
    <row r="2600" spans="1:10">
      <c r="A2600">
        <v>2599</v>
      </c>
      <c r="B2600" s="1">
        <v>45277</v>
      </c>
      <c r="C2600" t="s">
        <v>12</v>
      </c>
      <c r="D2600">
        <v>199</v>
      </c>
      <c r="E2600">
        <v>13.5</v>
      </c>
      <c r="F2600">
        <v>3</v>
      </c>
      <c r="G2600">
        <v>5</v>
      </c>
      <c r="H2600">
        <v>14</v>
      </c>
      <c r="I2600">
        <v>48</v>
      </c>
      <c r="J2600" t="s">
        <v>13</v>
      </c>
    </row>
    <row r="2601" spans="1:10">
      <c r="A2601">
        <v>2600</v>
      </c>
      <c r="B2601" s="1">
        <v>45285</v>
      </c>
      <c r="C2601" t="s">
        <v>12</v>
      </c>
      <c r="D2601">
        <v>199</v>
      </c>
      <c r="E2601">
        <v>9</v>
      </c>
      <c r="F2601">
        <v>6</v>
      </c>
      <c r="G2601">
        <v>4</v>
      </c>
      <c r="H2601">
        <v>28</v>
      </c>
      <c r="I2601">
        <v>3</v>
      </c>
      <c r="J2601" t="s">
        <v>11</v>
      </c>
    </row>
    <row r="2602" spans="1:10">
      <c r="A2602">
        <v>2601</v>
      </c>
      <c r="B2602" s="1">
        <v>45053</v>
      </c>
      <c r="C2602" t="s">
        <v>10</v>
      </c>
      <c r="D2602">
        <v>699</v>
      </c>
      <c r="E2602">
        <v>9.5</v>
      </c>
      <c r="F2602">
        <v>4</v>
      </c>
      <c r="G2602">
        <v>4</v>
      </c>
      <c r="H2602">
        <v>11</v>
      </c>
      <c r="I2602">
        <v>11</v>
      </c>
      <c r="J2602" t="s">
        <v>11</v>
      </c>
    </row>
    <row r="2603" spans="1:10">
      <c r="A2603">
        <v>2602</v>
      </c>
      <c r="B2603" s="1">
        <v>45297</v>
      </c>
      <c r="C2603" t="s">
        <v>10</v>
      </c>
      <c r="D2603">
        <v>699</v>
      </c>
      <c r="E2603">
        <v>17.5</v>
      </c>
      <c r="F2603">
        <v>3</v>
      </c>
      <c r="G2603">
        <v>4</v>
      </c>
      <c r="H2603">
        <v>36</v>
      </c>
      <c r="I2603">
        <v>20</v>
      </c>
      <c r="J2603" t="s">
        <v>13</v>
      </c>
    </row>
    <row r="2604" spans="1:10">
      <c r="A2604">
        <v>2603</v>
      </c>
      <c r="B2604" s="1">
        <v>45219</v>
      </c>
      <c r="C2604" t="s">
        <v>14</v>
      </c>
      <c r="D2604">
        <v>399</v>
      </c>
      <c r="E2604">
        <v>1.3</v>
      </c>
      <c r="F2604">
        <v>6</v>
      </c>
      <c r="G2604">
        <v>2</v>
      </c>
      <c r="H2604">
        <v>4</v>
      </c>
      <c r="I2604">
        <v>19</v>
      </c>
      <c r="J2604" t="s">
        <v>11</v>
      </c>
    </row>
    <row r="2605" spans="1:10">
      <c r="A2605">
        <v>2604</v>
      </c>
      <c r="B2605" s="1">
        <v>45041</v>
      </c>
      <c r="C2605" t="s">
        <v>10</v>
      </c>
      <c r="D2605">
        <v>699</v>
      </c>
      <c r="E2605">
        <v>8.8000000000000007</v>
      </c>
      <c r="F2605">
        <v>2</v>
      </c>
      <c r="G2605">
        <v>1</v>
      </c>
      <c r="H2605">
        <v>30</v>
      </c>
      <c r="I2605">
        <v>54</v>
      </c>
      <c r="J2605" t="s">
        <v>13</v>
      </c>
    </row>
    <row r="2606" spans="1:10">
      <c r="A2606">
        <v>2605</v>
      </c>
      <c r="B2606" s="1">
        <v>45430</v>
      </c>
      <c r="C2606" t="s">
        <v>12</v>
      </c>
      <c r="D2606">
        <v>199</v>
      </c>
      <c r="E2606">
        <v>4.3</v>
      </c>
      <c r="F2606">
        <v>7</v>
      </c>
      <c r="G2606">
        <v>2</v>
      </c>
      <c r="H2606">
        <v>13</v>
      </c>
      <c r="I2606">
        <v>49</v>
      </c>
      <c r="J2606" t="s">
        <v>11</v>
      </c>
    </row>
    <row r="2607" spans="1:10">
      <c r="A2607">
        <v>2606</v>
      </c>
      <c r="B2607" s="1">
        <v>45587</v>
      </c>
      <c r="C2607" t="s">
        <v>10</v>
      </c>
      <c r="D2607">
        <v>699</v>
      </c>
      <c r="E2607">
        <v>11.5</v>
      </c>
      <c r="F2607">
        <v>6</v>
      </c>
      <c r="G2607">
        <v>1</v>
      </c>
      <c r="H2607">
        <v>6</v>
      </c>
      <c r="I2607">
        <v>15</v>
      </c>
      <c r="J2607" t="s">
        <v>13</v>
      </c>
    </row>
    <row r="2608" spans="1:10">
      <c r="A2608">
        <v>2607</v>
      </c>
      <c r="B2608" s="1">
        <v>45478</v>
      </c>
      <c r="C2608" t="s">
        <v>10</v>
      </c>
      <c r="D2608">
        <v>699</v>
      </c>
      <c r="E2608">
        <v>12.5</v>
      </c>
      <c r="F2608">
        <v>0</v>
      </c>
      <c r="G2608">
        <v>1</v>
      </c>
      <c r="H2608">
        <v>11</v>
      </c>
      <c r="I2608">
        <v>55</v>
      </c>
      <c r="J2608" t="s">
        <v>13</v>
      </c>
    </row>
    <row r="2609" spans="1:10">
      <c r="A2609">
        <v>2608</v>
      </c>
      <c r="B2609" s="1">
        <v>45482</v>
      </c>
      <c r="C2609" t="s">
        <v>14</v>
      </c>
      <c r="D2609">
        <v>399</v>
      </c>
      <c r="E2609">
        <v>20.6</v>
      </c>
      <c r="F2609">
        <v>7</v>
      </c>
      <c r="G2609">
        <v>2</v>
      </c>
      <c r="H2609">
        <v>11</v>
      </c>
      <c r="I2609">
        <v>45</v>
      </c>
      <c r="J2609" t="s">
        <v>11</v>
      </c>
    </row>
    <row r="2610" spans="1:10">
      <c r="A2610">
        <v>2609</v>
      </c>
      <c r="B2610" s="1">
        <v>45263</v>
      </c>
      <c r="C2610" t="s">
        <v>12</v>
      </c>
      <c r="D2610">
        <v>199</v>
      </c>
      <c r="E2610">
        <v>15.4</v>
      </c>
      <c r="F2610">
        <v>6</v>
      </c>
      <c r="G2610">
        <v>1</v>
      </c>
      <c r="H2610">
        <v>5</v>
      </c>
      <c r="I2610">
        <v>52</v>
      </c>
      <c r="J2610" t="s">
        <v>11</v>
      </c>
    </row>
    <row r="2611" spans="1:10">
      <c r="A2611">
        <v>2610</v>
      </c>
      <c r="B2611" s="1">
        <v>45075</v>
      </c>
      <c r="C2611" t="s">
        <v>10</v>
      </c>
      <c r="D2611">
        <v>699</v>
      </c>
      <c r="E2611">
        <v>1.3</v>
      </c>
      <c r="F2611">
        <v>3</v>
      </c>
      <c r="G2611">
        <v>2</v>
      </c>
      <c r="H2611">
        <v>13</v>
      </c>
      <c r="I2611">
        <v>46</v>
      </c>
      <c r="J2611" t="s">
        <v>11</v>
      </c>
    </row>
    <row r="2612" spans="1:10">
      <c r="A2612">
        <v>2611</v>
      </c>
      <c r="B2612" s="1">
        <v>45643</v>
      </c>
      <c r="C2612" t="s">
        <v>14</v>
      </c>
      <c r="D2612">
        <v>399</v>
      </c>
      <c r="E2612">
        <v>8.6</v>
      </c>
      <c r="F2612">
        <v>3</v>
      </c>
      <c r="G2612">
        <v>2</v>
      </c>
      <c r="H2612">
        <v>15</v>
      </c>
      <c r="I2612">
        <v>0</v>
      </c>
      <c r="J2612" t="s">
        <v>11</v>
      </c>
    </row>
    <row r="2613" spans="1:10">
      <c r="A2613">
        <v>2612</v>
      </c>
      <c r="B2613" s="1">
        <v>45453</v>
      </c>
      <c r="C2613" t="s">
        <v>10</v>
      </c>
      <c r="D2613">
        <v>699</v>
      </c>
      <c r="E2613">
        <v>13.1</v>
      </c>
      <c r="F2613">
        <v>6</v>
      </c>
      <c r="G2613">
        <v>3</v>
      </c>
      <c r="H2613">
        <v>7</v>
      </c>
      <c r="I2613">
        <v>30</v>
      </c>
      <c r="J2613" t="s">
        <v>11</v>
      </c>
    </row>
    <row r="2614" spans="1:10">
      <c r="A2614">
        <v>2613</v>
      </c>
      <c r="B2614" s="1">
        <v>45613</v>
      </c>
      <c r="C2614" t="s">
        <v>12</v>
      </c>
      <c r="D2614">
        <v>199</v>
      </c>
      <c r="E2614">
        <v>9</v>
      </c>
      <c r="F2614">
        <v>2</v>
      </c>
      <c r="G2614">
        <v>2</v>
      </c>
      <c r="H2614">
        <v>28</v>
      </c>
      <c r="I2614">
        <v>16</v>
      </c>
      <c r="J2614" t="s">
        <v>11</v>
      </c>
    </row>
    <row r="2615" spans="1:10">
      <c r="A2615">
        <v>2614</v>
      </c>
      <c r="B2615" s="1">
        <v>45297</v>
      </c>
      <c r="C2615" t="s">
        <v>14</v>
      </c>
      <c r="D2615">
        <v>399</v>
      </c>
      <c r="E2615">
        <v>6.9</v>
      </c>
      <c r="F2615">
        <v>0</v>
      </c>
      <c r="G2615">
        <v>4</v>
      </c>
      <c r="H2615">
        <v>17</v>
      </c>
      <c r="I2615">
        <v>13</v>
      </c>
      <c r="J2615" t="s">
        <v>13</v>
      </c>
    </row>
    <row r="2616" spans="1:10">
      <c r="A2616">
        <v>2615</v>
      </c>
      <c r="B2616" s="1">
        <v>45036</v>
      </c>
      <c r="C2616" t="s">
        <v>10</v>
      </c>
      <c r="D2616">
        <v>699</v>
      </c>
      <c r="E2616">
        <v>12.1</v>
      </c>
      <c r="F2616">
        <v>3</v>
      </c>
      <c r="G2616">
        <v>3</v>
      </c>
      <c r="H2616">
        <v>5</v>
      </c>
      <c r="I2616">
        <v>45</v>
      </c>
      <c r="J2616" t="s">
        <v>13</v>
      </c>
    </row>
    <row r="2617" spans="1:10">
      <c r="A2617">
        <v>2616</v>
      </c>
      <c r="B2617" s="1">
        <v>45441</v>
      </c>
      <c r="C2617" t="s">
        <v>12</v>
      </c>
      <c r="D2617">
        <v>199</v>
      </c>
      <c r="E2617">
        <v>6.4</v>
      </c>
      <c r="F2617">
        <v>1</v>
      </c>
      <c r="G2617">
        <v>1</v>
      </c>
      <c r="H2617">
        <v>21</v>
      </c>
      <c r="I2617">
        <v>34</v>
      </c>
      <c r="J2617" t="s">
        <v>13</v>
      </c>
    </row>
    <row r="2618" spans="1:10">
      <c r="A2618">
        <v>2617</v>
      </c>
      <c r="B2618" s="1">
        <v>45527</v>
      </c>
      <c r="C2618" t="s">
        <v>10</v>
      </c>
      <c r="D2618">
        <v>699</v>
      </c>
      <c r="E2618">
        <v>21.9</v>
      </c>
      <c r="F2618">
        <v>6</v>
      </c>
      <c r="G2618">
        <v>4</v>
      </c>
      <c r="H2618">
        <v>17</v>
      </c>
      <c r="I2618">
        <v>36</v>
      </c>
      <c r="J2618" t="s">
        <v>11</v>
      </c>
    </row>
    <row r="2619" spans="1:10">
      <c r="A2619">
        <v>2618</v>
      </c>
      <c r="B2619" s="1">
        <v>45646</v>
      </c>
      <c r="C2619" t="s">
        <v>10</v>
      </c>
      <c r="D2619">
        <v>699</v>
      </c>
      <c r="E2619">
        <v>19.5</v>
      </c>
      <c r="F2619">
        <v>0</v>
      </c>
      <c r="G2619">
        <v>2</v>
      </c>
      <c r="H2619">
        <v>33</v>
      </c>
      <c r="I2619">
        <v>20</v>
      </c>
      <c r="J2619" t="s">
        <v>13</v>
      </c>
    </row>
    <row r="2620" spans="1:10">
      <c r="A2620">
        <v>2619</v>
      </c>
      <c r="B2620" s="1">
        <v>45165</v>
      </c>
      <c r="C2620" t="s">
        <v>12</v>
      </c>
      <c r="D2620">
        <v>199</v>
      </c>
      <c r="E2620">
        <v>3.1</v>
      </c>
      <c r="F2620">
        <v>7</v>
      </c>
      <c r="G2620">
        <v>5</v>
      </c>
      <c r="H2620">
        <v>31</v>
      </c>
      <c r="I2620">
        <v>8</v>
      </c>
      <c r="J2620" t="s">
        <v>11</v>
      </c>
    </row>
    <row r="2621" spans="1:10">
      <c r="A2621">
        <v>2620</v>
      </c>
      <c r="B2621" s="1">
        <v>45106</v>
      </c>
      <c r="C2621" t="s">
        <v>12</v>
      </c>
      <c r="D2621">
        <v>199</v>
      </c>
      <c r="E2621">
        <v>21.6</v>
      </c>
      <c r="F2621">
        <v>8</v>
      </c>
      <c r="G2621">
        <v>5</v>
      </c>
      <c r="H2621">
        <v>6</v>
      </c>
      <c r="I2621">
        <v>24</v>
      </c>
      <c r="J2621" t="s">
        <v>11</v>
      </c>
    </row>
    <row r="2622" spans="1:10">
      <c r="A2622">
        <v>2621</v>
      </c>
      <c r="B2622" s="1">
        <v>45093</v>
      </c>
      <c r="C2622" t="s">
        <v>14</v>
      </c>
      <c r="D2622">
        <v>399</v>
      </c>
      <c r="E2622">
        <v>22.7</v>
      </c>
      <c r="F2622">
        <v>8</v>
      </c>
      <c r="G2622">
        <v>5</v>
      </c>
      <c r="H2622">
        <v>9</v>
      </c>
      <c r="I2622">
        <v>14</v>
      </c>
      <c r="J2622" t="s">
        <v>13</v>
      </c>
    </row>
    <row r="2623" spans="1:10">
      <c r="A2623">
        <v>2622</v>
      </c>
      <c r="B2623" s="1">
        <v>45602</v>
      </c>
      <c r="C2623" t="s">
        <v>10</v>
      </c>
      <c r="D2623">
        <v>699</v>
      </c>
      <c r="E2623">
        <v>6.3</v>
      </c>
      <c r="F2623">
        <v>1</v>
      </c>
      <c r="G2623">
        <v>1</v>
      </c>
      <c r="H2623">
        <v>16</v>
      </c>
      <c r="I2623">
        <v>7</v>
      </c>
      <c r="J2623" t="s">
        <v>13</v>
      </c>
    </row>
    <row r="2624" spans="1:10">
      <c r="A2624">
        <v>2623</v>
      </c>
      <c r="B2624" s="1">
        <v>45456</v>
      </c>
      <c r="C2624" t="s">
        <v>10</v>
      </c>
      <c r="D2624">
        <v>699</v>
      </c>
      <c r="E2624">
        <v>1.2</v>
      </c>
      <c r="F2624">
        <v>2</v>
      </c>
      <c r="G2624">
        <v>4</v>
      </c>
      <c r="H2624">
        <v>32</v>
      </c>
      <c r="I2624">
        <v>13</v>
      </c>
      <c r="J2624" t="s">
        <v>13</v>
      </c>
    </row>
    <row r="2625" spans="1:10">
      <c r="A2625">
        <v>2624</v>
      </c>
      <c r="B2625" s="1">
        <v>44972</v>
      </c>
      <c r="C2625" t="s">
        <v>10</v>
      </c>
      <c r="D2625">
        <v>699</v>
      </c>
      <c r="E2625">
        <v>17.899999999999999</v>
      </c>
      <c r="F2625">
        <v>8</v>
      </c>
      <c r="G2625">
        <v>1</v>
      </c>
      <c r="H2625">
        <v>4</v>
      </c>
      <c r="I2625">
        <v>10</v>
      </c>
      <c r="J2625" t="s">
        <v>11</v>
      </c>
    </row>
    <row r="2626" spans="1:10">
      <c r="A2626">
        <v>2625</v>
      </c>
      <c r="B2626" s="1">
        <v>45461</v>
      </c>
      <c r="C2626" t="s">
        <v>12</v>
      </c>
      <c r="D2626">
        <v>199</v>
      </c>
      <c r="E2626">
        <v>5</v>
      </c>
      <c r="F2626">
        <v>2</v>
      </c>
      <c r="G2626">
        <v>0</v>
      </c>
      <c r="H2626">
        <v>1</v>
      </c>
      <c r="I2626">
        <v>1</v>
      </c>
      <c r="J2626" t="s">
        <v>11</v>
      </c>
    </row>
    <row r="2627" spans="1:10">
      <c r="A2627">
        <v>2626</v>
      </c>
      <c r="B2627" s="1">
        <v>45573</v>
      </c>
      <c r="C2627" t="s">
        <v>14</v>
      </c>
      <c r="D2627">
        <v>399</v>
      </c>
      <c r="E2627">
        <v>11.1</v>
      </c>
      <c r="F2627">
        <v>1</v>
      </c>
      <c r="G2627">
        <v>0</v>
      </c>
      <c r="H2627">
        <v>30</v>
      </c>
      <c r="I2627">
        <v>58</v>
      </c>
      <c r="J2627" t="s">
        <v>11</v>
      </c>
    </row>
    <row r="2628" spans="1:10">
      <c r="A2628">
        <v>2627</v>
      </c>
      <c r="B2628" s="1">
        <v>45487</v>
      </c>
      <c r="C2628" t="s">
        <v>10</v>
      </c>
      <c r="D2628">
        <v>699</v>
      </c>
      <c r="E2628">
        <v>23</v>
      </c>
      <c r="F2628">
        <v>7</v>
      </c>
      <c r="G2628">
        <v>5</v>
      </c>
      <c r="H2628">
        <v>36</v>
      </c>
      <c r="I2628">
        <v>24</v>
      </c>
      <c r="J2628" t="s">
        <v>11</v>
      </c>
    </row>
    <row r="2629" spans="1:10">
      <c r="A2629">
        <v>2628</v>
      </c>
      <c r="B2629" s="1">
        <v>45167</v>
      </c>
      <c r="C2629" t="s">
        <v>12</v>
      </c>
      <c r="D2629">
        <v>199</v>
      </c>
      <c r="E2629">
        <v>5.0999999999999996</v>
      </c>
      <c r="F2629">
        <v>6</v>
      </c>
      <c r="G2629">
        <v>0</v>
      </c>
      <c r="H2629">
        <v>19</v>
      </c>
      <c r="I2629">
        <v>18</v>
      </c>
      <c r="J2629" t="s">
        <v>11</v>
      </c>
    </row>
    <row r="2630" spans="1:10">
      <c r="A2630">
        <v>2629</v>
      </c>
      <c r="B2630" s="1">
        <v>45449</v>
      </c>
      <c r="C2630" t="s">
        <v>10</v>
      </c>
      <c r="D2630">
        <v>699</v>
      </c>
      <c r="E2630">
        <v>23.2</v>
      </c>
      <c r="F2630">
        <v>3</v>
      </c>
      <c r="G2630">
        <v>5</v>
      </c>
      <c r="H2630">
        <v>19</v>
      </c>
      <c r="I2630">
        <v>60</v>
      </c>
      <c r="J2630" t="s">
        <v>11</v>
      </c>
    </row>
    <row r="2631" spans="1:10">
      <c r="A2631">
        <v>2630</v>
      </c>
      <c r="B2631" s="1">
        <v>45243</v>
      </c>
      <c r="C2631" t="s">
        <v>12</v>
      </c>
      <c r="D2631">
        <v>199</v>
      </c>
      <c r="E2631">
        <v>7.3</v>
      </c>
      <c r="F2631">
        <v>8</v>
      </c>
      <c r="G2631">
        <v>5</v>
      </c>
      <c r="H2631">
        <v>31</v>
      </c>
      <c r="I2631">
        <v>8</v>
      </c>
      <c r="J2631" t="s">
        <v>11</v>
      </c>
    </row>
    <row r="2632" spans="1:10">
      <c r="A2632">
        <v>2631</v>
      </c>
      <c r="B2632" s="1">
        <v>44944</v>
      </c>
      <c r="C2632" t="s">
        <v>14</v>
      </c>
      <c r="D2632">
        <v>399</v>
      </c>
      <c r="E2632">
        <v>20.9</v>
      </c>
      <c r="F2632">
        <v>1</v>
      </c>
      <c r="G2632">
        <v>0</v>
      </c>
      <c r="H2632">
        <v>21</v>
      </c>
      <c r="I2632">
        <v>0</v>
      </c>
      <c r="J2632" t="s">
        <v>13</v>
      </c>
    </row>
    <row r="2633" spans="1:10">
      <c r="A2633">
        <v>2632</v>
      </c>
      <c r="B2633" s="1">
        <v>45264</v>
      </c>
      <c r="C2633" t="s">
        <v>14</v>
      </c>
      <c r="D2633">
        <v>399</v>
      </c>
      <c r="E2633">
        <v>22.9</v>
      </c>
      <c r="F2633">
        <v>0</v>
      </c>
      <c r="G2633">
        <v>2</v>
      </c>
      <c r="H2633">
        <v>26</v>
      </c>
      <c r="I2633">
        <v>52</v>
      </c>
      <c r="J2633" t="s">
        <v>13</v>
      </c>
    </row>
    <row r="2634" spans="1:10">
      <c r="A2634">
        <v>2633</v>
      </c>
      <c r="B2634" s="1">
        <v>44974</v>
      </c>
      <c r="C2634" t="s">
        <v>10</v>
      </c>
      <c r="D2634">
        <v>699</v>
      </c>
      <c r="E2634">
        <v>11.2</v>
      </c>
      <c r="F2634">
        <v>1</v>
      </c>
      <c r="G2634">
        <v>2</v>
      </c>
      <c r="H2634">
        <v>25</v>
      </c>
      <c r="I2634">
        <v>1</v>
      </c>
      <c r="J2634" t="s">
        <v>13</v>
      </c>
    </row>
    <row r="2635" spans="1:10">
      <c r="A2635">
        <v>2634</v>
      </c>
      <c r="B2635" s="1">
        <v>44940</v>
      </c>
      <c r="C2635" t="s">
        <v>14</v>
      </c>
      <c r="D2635">
        <v>399</v>
      </c>
      <c r="E2635">
        <v>24.3</v>
      </c>
      <c r="F2635">
        <v>6</v>
      </c>
      <c r="G2635">
        <v>3</v>
      </c>
      <c r="H2635">
        <v>28</v>
      </c>
      <c r="I2635">
        <v>17</v>
      </c>
      <c r="J2635" t="s">
        <v>11</v>
      </c>
    </row>
    <row r="2636" spans="1:10">
      <c r="A2636">
        <v>2635</v>
      </c>
      <c r="B2636" s="1">
        <v>45157</v>
      </c>
      <c r="C2636" t="s">
        <v>10</v>
      </c>
      <c r="D2636">
        <v>699</v>
      </c>
      <c r="E2636">
        <v>22.9</v>
      </c>
      <c r="F2636">
        <v>4</v>
      </c>
      <c r="G2636">
        <v>0</v>
      </c>
      <c r="H2636">
        <v>26</v>
      </c>
      <c r="I2636">
        <v>45</v>
      </c>
      <c r="J2636" t="s">
        <v>11</v>
      </c>
    </row>
    <row r="2637" spans="1:10">
      <c r="A2637">
        <v>2636</v>
      </c>
      <c r="B2637" s="1">
        <v>45532</v>
      </c>
      <c r="C2637" t="s">
        <v>14</v>
      </c>
      <c r="D2637">
        <v>399</v>
      </c>
      <c r="E2637">
        <v>20.3</v>
      </c>
      <c r="F2637">
        <v>8</v>
      </c>
      <c r="G2637">
        <v>2</v>
      </c>
      <c r="H2637">
        <v>1</v>
      </c>
      <c r="I2637">
        <v>6</v>
      </c>
      <c r="J2637" t="s">
        <v>11</v>
      </c>
    </row>
    <row r="2638" spans="1:10">
      <c r="A2638">
        <v>2637</v>
      </c>
      <c r="B2638" s="1">
        <v>45126</v>
      </c>
      <c r="C2638" t="s">
        <v>14</v>
      </c>
      <c r="D2638">
        <v>399</v>
      </c>
      <c r="E2638">
        <v>1.5</v>
      </c>
      <c r="F2638">
        <v>0</v>
      </c>
      <c r="G2638">
        <v>2</v>
      </c>
      <c r="H2638">
        <v>31</v>
      </c>
      <c r="I2638">
        <v>49</v>
      </c>
      <c r="J2638" t="s">
        <v>11</v>
      </c>
    </row>
    <row r="2639" spans="1:10">
      <c r="A2639">
        <v>2638</v>
      </c>
      <c r="B2639" s="1">
        <v>45508</v>
      </c>
      <c r="C2639" t="s">
        <v>14</v>
      </c>
      <c r="D2639">
        <v>399</v>
      </c>
      <c r="E2639">
        <v>13.9</v>
      </c>
      <c r="F2639">
        <v>4</v>
      </c>
      <c r="G2639">
        <v>4</v>
      </c>
      <c r="H2639">
        <v>27</v>
      </c>
      <c r="I2639">
        <v>9</v>
      </c>
      <c r="J2639" t="s">
        <v>11</v>
      </c>
    </row>
    <row r="2640" spans="1:10">
      <c r="A2640">
        <v>2639</v>
      </c>
      <c r="B2640" s="1">
        <v>45370</v>
      </c>
      <c r="C2640" t="s">
        <v>10</v>
      </c>
      <c r="D2640">
        <v>699</v>
      </c>
      <c r="E2640">
        <v>4.4000000000000004</v>
      </c>
      <c r="F2640">
        <v>7</v>
      </c>
      <c r="G2640">
        <v>0</v>
      </c>
      <c r="H2640">
        <v>26</v>
      </c>
      <c r="I2640">
        <v>33</v>
      </c>
      <c r="J2640" t="s">
        <v>11</v>
      </c>
    </row>
    <row r="2641" spans="1:10">
      <c r="A2641">
        <v>2640</v>
      </c>
      <c r="B2641" s="1">
        <v>45603</v>
      </c>
      <c r="C2641" t="s">
        <v>10</v>
      </c>
      <c r="D2641">
        <v>699</v>
      </c>
      <c r="E2641">
        <v>13.2</v>
      </c>
      <c r="F2641">
        <v>1</v>
      </c>
      <c r="G2641">
        <v>3</v>
      </c>
      <c r="H2641">
        <v>36</v>
      </c>
      <c r="I2641">
        <v>33</v>
      </c>
      <c r="J2641" t="s">
        <v>13</v>
      </c>
    </row>
    <row r="2642" spans="1:10">
      <c r="A2642">
        <v>2641</v>
      </c>
      <c r="B2642" s="1">
        <v>45532</v>
      </c>
      <c r="C2642" t="s">
        <v>10</v>
      </c>
      <c r="D2642">
        <v>699</v>
      </c>
      <c r="E2642">
        <v>19.600000000000001</v>
      </c>
      <c r="F2642">
        <v>1</v>
      </c>
      <c r="G2642">
        <v>2</v>
      </c>
      <c r="H2642">
        <v>32</v>
      </c>
      <c r="I2642">
        <v>1</v>
      </c>
      <c r="J2642" t="s">
        <v>13</v>
      </c>
    </row>
    <row r="2643" spans="1:10">
      <c r="A2643">
        <v>2642</v>
      </c>
      <c r="B2643" s="1">
        <v>44950</v>
      </c>
      <c r="C2643" t="s">
        <v>14</v>
      </c>
      <c r="D2643">
        <v>399</v>
      </c>
      <c r="E2643">
        <v>9.4</v>
      </c>
      <c r="F2643">
        <v>1</v>
      </c>
      <c r="G2643">
        <v>4</v>
      </c>
      <c r="H2643">
        <v>12</v>
      </c>
      <c r="I2643">
        <v>29</v>
      </c>
      <c r="J2643" t="s">
        <v>13</v>
      </c>
    </row>
    <row r="2644" spans="1:10">
      <c r="A2644">
        <v>2643</v>
      </c>
      <c r="B2644" s="1">
        <v>45294</v>
      </c>
      <c r="C2644" t="s">
        <v>10</v>
      </c>
      <c r="D2644">
        <v>699</v>
      </c>
      <c r="E2644">
        <v>3.6</v>
      </c>
      <c r="F2644">
        <v>1</v>
      </c>
      <c r="G2644">
        <v>1</v>
      </c>
      <c r="H2644">
        <v>16</v>
      </c>
      <c r="I2644">
        <v>27</v>
      </c>
      <c r="J2644" t="s">
        <v>13</v>
      </c>
    </row>
    <row r="2645" spans="1:10">
      <c r="A2645">
        <v>2644</v>
      </c>
      <c r="B2645" s="1">
        <v>45007</v>
      </c>
      <c r="C2645" t="s">
        <v>14</v>
      </c>
      <c r="D2645">
        <v>399</v>
      </c>
      <c r="E2645">
        <v>14.6</v>
      </c>
      <c r="F2645">
        <v>2</v>
      </c>
      <c r="G2645">
        <v>3</v>
      </c>
      <c r="H2645">
        <v>34</v>
      </c>
      <c r="I2645">
        <v>0</v>
      </c>
      <c r="J2645" t="s">
        <v>11</v>
      </c>
    </row>
    <row r="2646" spans="1:10">
      <c r="A2646">
        <v>2645</v>
      </c>
      <c r="B2646" s="1">
        <v>45399</v>
      </c>
      <c r="C2646" t="s">
        <v>10</v>
      </c>
      <c r="D2646">
        <v>699</v>
      </c>
      <c r="E2646">
        <v>19.100000000000001</v>
      </c>
      <c r="F2646">
        <v>5</v>
      </c>
      <c r="G2646">
        <v>1</v>
      </c>
      <c r="H2646">
        <v>1</v>
      </c>
      <c r="I2646">
        <v>60</v>
      </c>
      <c r="J2646" t="s">
        <v>11</v>
      </c>
    </row>
    <row r="2647" spans="1:10">
      <c r="A2647">
        <v>2646</v>
      </c>
      <c r="B2647" s="1">
        <v>45650</v>
      </c>
      <c r="C2647" t="s">
        <v>14</v>
      </c>
      <c r="D2647">
        <v>399</v>
      </c>
      <c r="E2647">
        <v>13</v>
      </c>
      <c r="F2647">
        <v>1</v>
      </c>
      <c r="G2647">
        <v>3</v>
      </c>
      <c r="H2647">
        <v>22</v>
      </c>
      <c r="I2647">
        <v>31</v>
      </c>
      <c r="J2647" t="s">
        <v>11</v>
      </c>
    </row>
    <row r="2648" spans="1:10">
      <c r="A2648">
        <v>2647</v>
      </c>
      <c r="B2648" s="1">
        <v>45025</v>
      </c>
      <c r="C2648" t="s">
        <v>12</v>
      </c>
      <c r="D2648">
        <v>199</v>
      </c>
      <c r="E2648">
        <v>12.5</v>
      </c>
      <c r="F2648">
        <v>6</v>
      </c>
      <c r="G2648">
        <v>4</v>
      </c>
      <c r="H2648">
        <v>9</v>
      </c>
      <c r="I2648">
        <v>11</v>
      </c>
      <c r="J2648" t="s">
        <v>13</v>
      </c>
    </row>
    <row r="2649" spans="1:10">
      <c r="A2649">
        <v>2648</v>
      </c>
      <c r="B2649" s="1">
        <v>45068</v>
      </c>
      <c r="C2649" t="s">
        <v>10</v>
      </c>
      <c r="D2649">
        <v>699</v>
      </c>
      <c r="E2649">
        <v>4</v>
      </c>
      <c r="F2649">
        <v>1</v>
      </c>
      <c r="G2649">
        <v>4</v>
      </c>
      <c r="H2649">
        <v>36</v>
      </c>
      <c r="I2649">
        <v>45</v>
      </c>
      <c r="J2649" t="s">
        <v>11</v>
      </c>
    </row>
    <row r="2650" spans="1:10">
      <c r="A2650">
        <v>2649</v>
      </c>
      <c r="B2650" s="1">
        <v>45451</v>
      </c>
      <c r="C2650" t="s">
        <v>14</v>
      </c>
      <c r="D2650">
        <v>399</v>
      </c>
      <c r="E2650">
        <v>4.8</v>
      </c>
      <c r="F2650">
        <v>2</v>
      </c>
      <c r="G2650">
        <v>4</v>
      </c>
      <c r="H2650">
        <v>18</v>
      </c>
      <c r="I2650">
        <v>60</v>
      </c>
      <c r="J2650" t="s">
        <v>11</v>
      </c>
    </row>
    <row r="2651" spans="1:10">
      <c r="A2651">
        <v>2650</v>
      </c>
      <c r="B2651" s="1">
        <v>45062</v>
      </c>
      <c r="C2651" t="s">
        <v>10</v>
      </c>
      <c r="D2651">
        <v>699</v>
      </c>
      <c r="E2651">
        <v>11.5</v>
      </c>
      <c r="F2651">
        <v>4</v>
      </c>
      <c r="G2651">
        <v>5</v>
      </c>
      <c r="H2651">
        <v>5</v>
      </c>
      <c r="I2651">
        <v>46</v>
      </c>
      <c r="J2651" t="s">
        <v>11</v>
      </c>
    </row>
    <row r="2652" spans="1:10">
      <c r="A2652">
        <v>2651</v>
      </c>
      <c r="B2652" s="1">
        <v>44973</v>
      </c>
      <c r="C2652" t="s">
        <v>12</v>
      </c>
      <c r="D2652">
        <v>199</v>
      </c>
      <c r="E2652">
        <v>9</v>
      </c>
      <c r="F2652">
        <v>4</v>
      </c>
      <c r="G2652">
        <v>2</v>
      </c>
      <c r="H2652">
        <v>36</v>
      </c>
      <c r="I2652">
        <v>31</v>
      </c>
      <c r="J2652" t="s">
        <v>13</v>
      </c>
    </row>
    <row r="2653" spans="1:10">
      <c r="A2653">
        <v>2652</v>
      </c>
      <c r="B2653" s="1">
        <v>45056</v>
      </c>
      <c r="C2653" t="s">
        <v>14</v>
      </c>
      <c r="D2653">
        <v>399</v>
      </c>
      <c r="E2653">
        <v>19.600000000000001</v>
      </c>
      <c r="F2653">
        <v>2</v>
      </c>
      <c r="G2653">
        <v>0</v>
      </c>
      <c r="H2653">
        <v>28</v>
      </c>
      <c r="I2653">
        <v>54</v>
      </c>
      <c r="J2653" t="s">
        <v>13</v>
      </c>
    </row>
    <row r="2654" spans="1:10">
      <c r="A2654">
        <v>2653</v>
      </c>
      <c r="B2654" s="1">
        <v>45335</v>
      </c>
      <c r="C2654" t="s">
        <v>14</v>
      </c>
      <c r="D2654">
        <v>399</v>
      </c>
      <c r="E2654">
        <v>20.8</v>
      </c>
      <c r="F2654">
        <v>0</v>
      </c>
      <c r="G2654">
        <v>5</v>
      </c>
      <c r="H2654">
        <v>32</v>
      </c>
      <c r="I2654">
        <v>3</v>
      </c>
      <c r="J2654" t="s">
        <v>11</v>
      </c>
    </row>
    <row r="2655" spans="1:10">
      <c r="A2655">
        <v>2654</v>
      </c>
      <c r="B2655" s="1">
        <v>45066</v>
      </c>
      <c r="C2655" t="s">
        <v>12</v>
      </c>
      <c r="D2655">
        <v>199</v>
      </c>
      <c r="E2655">
        <v>10.5</v>
      </c>
      <c r="F2655">
        <v>0</v>
      </c>
      <c r="G2655">
        <v>3</v>
      </c>
      <c r="H2655">
        <v>22</v>
      </c>
      <c r="I2655">
        <v>10</v>
      </c>
      <c r="J2655" t="s">
        <v>11</v>
      </c>
    </row>
    <row r="2656" spans="1:10">
      <c r="A2656">
        <v>2655</v>
      </c>
      <c r="B2656" s="1">
        <v>45262</v>
      </c>
      <c r="C2656" t="s">
        <v>14</v>
      </c>
      <c r="D2656">
        <v>399</v>
      </c>
      <c r="E2656">
        <v>24.8</v>
      </c>
      <c r="F2656">
        <v>8</v>
      </c>
      <c r="G2656">
        <v>1</v>
      </c>
      <c r="H2656">
        <v>31</v>
      </c>
      <c r="I2656">
        <v>58</v>
      </c>
      <c r="J2656" t="s">
        <v>13</v>
      </c>
    </row>
    <row r="2657" spans="1:10">
      <c r="A2657">
        <v>2656</v>
      </c>
      <c r="B2657" s="1">
        <v>45456</v>
      </c>
      <c r="C2657" t="s">
        <v>10</v>
      </c>
      <c r="D2657">
        <v>699</v>
      </c>
      <c r="E2657">
        <v>0.6</v>
      </c>
      <c r="F2657">
        <v>1</v>
      </c>
      <c r="G2657">
        <v>3</v>
      </c>
      <c r="H2657">
        <v>18</v>
      </c>
      <c r="I2657">
        <v>33</v>
      </c>
      <c r="J2657" t="s">
        <v>11</v>
      </c>
    </row>
    <row r="2658" spans="1:10">
      <c r="A2658">
        <v>2657</v>
      </c>
      <c r="B2658" s="1">
        <v>45356</v>
      </c>
      <c r="C2658" t="s">
        <v>12</v>
      </c>
      <c r="D2658">
        <v>199</v>
      </c>
      <c r="E2658">
        <v>17.399999999999999</v>
      </c>
      <c r="F2658">
        <v>7</v>
      </c>
      <c r="G2658">
        <v>1</v>
      </c>
      <c r="H2658">
        <v>11</v>
      </c>
      <c r="I2658">
        <v>5</v>
      </c>
      <c r="J2658" t="s">
        <v>11</v>
      </c>
    </row>
    <row r="2659" spans="1:10">
      <c r="A2659">
        <v>2658</v>
      </c>
      <c r="B2659" s="1">
        <v>44987</v>
      </c>
      <c r="C2659" t="s">
        <v>12</v>
      </c>
      <c r="D2659">
        <v>199</v>
      </c>
      <c r="E2659">
        <v>23.6</v>
      </c>
      <c r="F2659">
        <v>8</v>
      </c>
      <c r="G2659">
        <v>2</v>
      </c>
      <c r="H2659">
        <v>25</v>
      </c>
      <c r="I2659">
        <v>0</v>
      </c>
      <c r="J2659" t="s">
        <v>11</v>
      </c>
    </row>
    <row r="2660" spans="1:10">
      <c r="A2660">
        <v>2659</v>
      </c>
      <c r="B2660" s="1">
        <v>44928</v>
      </c>
      <c r="C2660" t="s">
        <v>14</v>
      </c>
      <c r="D2660">
        <v>399</v>
      </c>
      <c r="E2660">
        <v>16.2</v>
      </c>
      <c r="F2660">
        <v>0</v>
      </c>
      <c r="G2660">
        <v>0</v>
      </c>
      <c r="H2660">
        <v>36</v>
      </c>
      <c r="I2660">
        <v>7</v>
      </c>
      <c r="J2660" t="s">
        <v>13</v>
      </c>
    </row>
    <row r="2661" spans="1:10">
      <c r="A2661">
        <v>2660</v>
      </c>
      <c r="B2661" s="1">
        <v>45364</v>
      </c>
      <c r="C2661" t="s">
        <v>10</v>
      </c>
      <c r="D2661">
        <v>699</v>
      </c>
      <c r="E2661">
        <v>21.2</v>
      </c>
      <c r="F2661">
        <v>1</v>
      </c>
      <c r="G2661">
        <v>5</v>
      </c>
      <c r="H2661">
        <v>12</v>
      </c>
      <c r="I2661">
        <v>5</v>
      </c>
      <c r="J2661" t="s">
        <v>11</v>
      </c>
    </row>
    <row r="2662" spans="1:10">
      <c r="A2662">
        <v>2661</v>
      </c>
      <c r="B2662" s="1">
        <v>45066</v>
      </c>
      <c r="C2662" t="s">
        <v>12</v>
      </c>
      <c r="D2662">
        <v>199</v>
      </c>
      <c r="E2662">
        <v>18.7</v>
      </c>
      <c r="F2662">
        <v>3</v>
      </c>
      <c r="G2662">
        <v>3</v>
      </c>
      <c r="H2662">
        <v>3</v>
      </c>
      <c r="I2662">
        <v>3</v>
      </c>
      <c r="J2662" t="s">
        <v>13</v>
      </c>
    </row>
    <row r="2663" spans="1:10">
      <c r="A2663">
        <v>2662</v>
      </c>
      <c r="B2663" s="1">
        <v>44942</v>
      </c>
      <c r="C2663" t="s">
        <v>12</v>
      </c>
      <c r="D2663">
        <v>199</v>
      </c>
      <c r="E2663">
        <v>1.3</v>
      </c>
      <c r="F2663">
        <v>1</v>
      </c>
      <c r="G2663">
        <v>3</v>
      </c>
      <c r="H2663">
        <v>3</v>
      </c>
      <c r="I2663">
        <v>37</v>
      </c>
      <c r="J2663" t="s">
        <v>11</v>
      </c>
    </row>
    <row r="2664" spans="1:10">
      <c r="A2664">
        <v>2663</v>
      </c>
      <c r="B2664" s="1">
        <v>45502</v>
      </c>
      <c r="C2664" t="s">
        <v>12</v>
      </c>
      <c r="D2664">
        <v>199</v>
      </c>
      <c r="E2664">
        <v>6.8</v>
      </c>
      <c r="F2664">
        <v>1</v>
      </c>
      <c r="G2664">
        <v>4</v>
      </c>
      <c r="H2664">
        <v>31</v>
      </c>
      <c r="I2664">
        <v>36</v>
      </c>
      <c r="J2664" t="s">
        <v>13</v>
      </c>
    </row>
    <row r="2665" spans="1:10">
      <c r="A2665">
        <v>2664</v>
      </c>
      <c r="B2665" s="1">
        <v>45461</v>
      </c>
      <c r="C2665" t="s">
        <v>10</v>
      </c>
      <c r="D2665">
        <v>699</v>
      </c>
      <c r="E2665">
        <v>17.600000000000001</v>
      </c>
      <c r="F2665">
        <v>3</v>
      </c>
      <c r="G2665">
        <v>5</v>
      </c>
      <c r="H2665">
        <v>21</v>
      </c>
      <c r="I2665">
        <v>9</v>
      </c>
      <c r="J2665" t="s">
        <v>13</v>
      </c>
    </row>
    <row r="2666" spans="1:10">
      <c r="A2666">
        <v>2665</v>
      </c>
      <c r="B2666" s="1">
        <v>45190</v>
      </c>
      <c r="C2666" t="s">
        <v>14</v>
      </c>
      <c r="D2666">
        <v>399</v>
      </c>
      <c r="E2666">
        <v>15</v>
      </c>
      <c r="F2666">
        <v>3</v>
      </c>
      <c r="G2666">
        <v>3</v>
      </c>
      <c r="H2666">
        <v>27</v>
      </c>
      <c r="I2666">
        <v>22</v>
      </c>
      <c r="J2666" t="s">
        <v>11</v>
      </c>
    </row>
    <row r="2667" spans="1:10">
      <c r="A2667">
        <v>2666</v>
      </c>
      <c r="B2667" s="1">
        <v>45454</v>
      </c>
      <c r="C2667" t="s">
        <v>14</v>
      </c>
      <c r="D2667">
        <v>399</v>
      </c>
      <c r="E2667">
        <v>19.3</v>
      </c>
      <c r="F2667">
        <v>6</v>
      </c>
      <c r="G2667">
        <v>5</v>
      </c>
      <c r="H2667">
        <v>31</v>
      </c>
      <c r="I2667">
        <v>5</v>
      </c>
      <c r="J2667" t="s">
        <v>13</v>
      </c>
    </row>
    <row r="2668" spans="1:10">
      <c r="A2668">
        <v>2667</v>
      </c>
      <c r="B2668" s="1">
        <v>44999</v>
      </c>
      <c r="C2668" t="s">
        <v>12</v>
      </c>
      <c r="D2668">
        <v>199</v>
      </c>
      <c r="E2668">
        <v>5.5</v>
      </c>
      <c r="F2668">
        <v>4</v>
      </c>
      <c r="G2668">
        <v>4</v>
      </c>
      <c r="H2668">
        <v>31</v>
      </c>
      <c r="I2668">
        <v>5</v>
      </c>
      <c r="J2668" t="s">
        <v>11</v>
      </c>
    </row>
    <row r="2669" spans="1:10">
      <c r="A2669">
        <v>2668</v>
      </c>
      <c r="B2669" s="1">
        <v>45552</v>
      </c>
      <c r="C2669" t="s">
        <v>12</v>
      </c>
      <c r="D2669">
        <v>199</v>
      </c>
      <c r="E2669">
        <v>8.6</v>
      </c>
      <c r="F2669">
        <v>2</v>
      </c>
      <c r="G2669">
        <v>2</v>
      </c>
      <c r="H2669">
        <v>17</v>
      </c>
      <c r="I2669">
        <v>49</v>
      </c>
      <c r="J2669" t="s">
        <v>11</v>
      </c>
    </row>
    <row r="2670" spans="1:10">
      <c r="A2670">
        <v>2669</v>
      </c>
      <c r="B2670" s="1">
        <v>45295</v>
      </c>
      <c r="C2670" t="s">
        <v>14</v>
      </c>
      <c r="D2670">
        <v>399</v>
      </c>
      <c r="E2670">
        <v>17.3</v>
      </c>
      <c r="F2670">
        <v>1</v>
      </c>
      <c r="G2670">
        <v>3</v>
      </c>
      <c r="H2670">
        <v>15</v>
      </c>
      <c r="I2670">
        <v>57</v>
      </c>
      <c r="J2670" t="s">
        <v>11</v>
      </c>
    </row>
    <row r="2671" spans="1:10">
      <c r="A2671">
        <v>2670</v>
      </c>
      <c r="B2671" s="1">
        <v>45357</v>
      </c>
      <c r="C2671" t="s">
        <v>14</v>
      </c>
      <c r="D2671">
        <v>399</v>
      </c>
      <c r="E2671">
        <v>13.3</v>
      </c>
      <c r="F2671">
        <v>3</v>
      </c>
      <c r="G2671">
        <v>2</v>
      </c>
      <c r="H2671">
        <v>17</v>
      </c>
      <c r="I2671">
        <v>55</v>
      </c>
      <c r="J2671" t="s">
        <v>13</v>
      </c>
    </row>
    <row r="2672" spans="1:10">
      <c r="A2672">
        <v>2671</v>
      </c>
      <c r="B2672" s="1">
        <v>45366</v>
      </c>
      <c r="C2672" t="s">
        <v>10</v>
      </c>
      <c r="D2672">
        <v>699</v>
      </c>
      <c r="E2672">
        <v>10.4</v>
      </c>
      <c r="F2672">
        <v>4</v>
      </c>
      <c r="G2672">
        <v>4</v>
      </c>
      <c r="H2672">
        <v>4</v>
      </c>
      <c r="I2672">
        <v>27</v>
      </c>
      <c r="J2672" t="s">
        <v>11</v>
      </c>
    </row>
    <row r="2673" spans="1:10">
      <c r="A2673">
        <v>2672</v>
      </c>
      <c r="B2673" s="1">
        <v>45481</v>
      </c>
      <c r="C2673" t="s">
        <v>14</v>
      </c>
      <c r="D2673">
        <v>399</v>
      </c>
      <c r="E2673">
        <v>14.9</v>
      </c>
      <c r="F2673">
        <v>3</v>
      </c>
      <c r="G2673">
        <v>5</v>
      </c>
      <c r="H2673">
        <v>13</v>
      </c>
      <c r="I2673">
        <v>16</v>
      </c>
      <c r="J2673" t="s">
        <v>13</v>
      </c>
    </row>
    <row r="2674" spans="1:10">
      <c r="A2674">
        <v>2673</v>
      </c>
      <c r="B2674" s="1">
        <v>45572</v>
      </c>
      <c r="C2674" t="s">
        <v>10</v>
      </c>
      <c r="D2674">
        <v>699</v>
      </c>
      <c r="E2674">
        <v>13.9</v>
      </c>
      <c r="F2674">
        <v>2</v>
      </c>
      <c r="G2674">
        <v>2</v>
      </c>
      <c r="H2674">
        <v>13</v>
      </c>
      <c r="I2674">
        <v>51</v>
      </c>
      <c r="J2674" t="s">
        <v>11</v>
      </c>
    </row>
    <row r="2675" spans="1:10">
      <c r="A2675">
        <v>2674</v>
      </c>
      <c r="B2675" s="1">
        <v>45383</v>
      </c>
      <c r="C2675" t="s">
        <v>14</v>
      </c>
      <c r="D2675">
        <v>399</v>
      </c>
      <c r="E2675">
        <v>22.9</v>
      </c>
      <c r="F2675">
        <v>8</v>
      </c>
      <c r="G2675">
        <v>0</v>
      </c>
      <c r="H2675">
        <v>26</v>
      </c>
      <c r="I2675">
        <v>21</v>
      </c>
      <c r="J2675" t="s">
        <v>11</v>
      </c>
    </row>
    <row r="2676" spans="1:10">
      <c r="A2676">
        <v>2675</v>
      </c>
      <c r="B2676" s="1">
        <v>45287</v>
      </c>
      <c r="C2676" t="s">
        <v>14</v>
      </c>
      <c r="D2676">
        <v>399</v>
      </c>
      <c r="E2676">
        <v>17.8</v>
      </c>
      <c r="F2676">
        <v>6</v>
      </c>
      <c r="G2676">
        <v>2</v>
      </c>
      <c r="H2676">
        <v>18</v>
      </c>
      <c r="I2676">
        <v>28</v>
      </c>
      <c r="J2676" t="s">
        <v>11</v>
      </c>
    </row>
    <row r="2677" spans="1:10">
      <c r="A2677">
        <v>2676</v>
      </c>
      <c r="B2677" s="1">
        <v>44936</v>
      </c>
      <c r="C2677" t="s">
        <v>12</v>
      </c>
      <c r="D2677">
        <v>199</v>
      </c>
      <c r="E2677">
        <v>24</v>
      </c>
      <c r="F2677">
        <v>2</v>
      </c>
      <c r="G2677">
        <v>1</v>
      </c>
      <c r="H2677">
        <v>24</v>
      </c>
      <c r="I2677">
        <v>36</v>
      </c>
      <c r="J2677" t="s">
        <v>11</v>
      </c>
    </row>
    <row r="2678" spans="1:10">
      <c r="A2678">
        <v>2677</v>
      </c>
      <c r="B2678" s="1">
        <v>45571</v>
      </c>
      <c r="C2678" t="s">
        <v>10</v>
      </c>
      <c r="D2678">
        <v>699</v>
      </c>
      <c r="E2678">
        <v>13.8</v>
      </c>
      <c r="F2678">
        <v>5</v>
      </c>
      <c r="G2678">
        <v>2</v>
      </c>
      <c r="H2678">
        <v>3</v>
      </c>
      <c r="I2678">
        <v>6</v>
      </c>
      <c r="J2678" t="s">
        <v>11</v>
      </c>
    </row>
    <row r="2679" spans="1:10">
      <c r="A2679">
        <v>2678</v>
      </c>
      <c r="B2679" s="1">
        <v>45029</v>
      </c>
      <c r="C2679" t="s">
        <v>10</v>
      </c>
      <c r="D2679">
        <v>699</v>
      </c>
      <c r="E2679">
        <v>18.399999999999999</v>
      </c>
      <c r="F2679">
        <v>1</v>
      </c>
      <c r="G2679">
        <v>1</v>
      </c>
      <c r="H2679">
        <v>20</v>
      </c>
      <c r="I2679">
        <v>6</v>
      </c>
      <c r="J2679" t="s">
        <v>13</v>
      </c>
    </row>
    <row r="2680" spans="1:10">
      <c r="A2680">
        <v>2679</v>
      </c>
      <c r="B2680" s="1">
        <v>45263</v>
      </c>
      <c r="C2680" t="s">
        <v>14</v>
      </c>
      <c r="D2680">
        <v>399</v>
      </c>
      <c r="E2680">
        <v>23.6</v>
      </c>
      <c r="F2680">
        <v>1</v>
      </c>
      <c r="G2680">
        <v>4</v>
      </c>
      <c r="H2680">
        <v>33</v>
      </c>
      <c r="I2680">
        <v>43</v>
      </c>
      <c r="J2680" t="s">
        <v>11</v>
      </c>
    </row>
    <row r="2681" spans="1:10">
      <c r="A2681">
        <v>2680</v>
      </c>
      <c r="B2681" s="1">
        <v>45576</v>
      </c>
      <c r="C2681" t="s">
        <v>14</v>
      </c>
      <c r="D2681">
        <v>399</v>
      </c>
      <c r="E2681">
        <v>17.2</v>
      </c>
      <c r="F2681">
        <v>0</v>
      </c>
      <c r="G2681">
        <v>5</v>
      </c>
      <c r="H2681">
        <v>29</v>
      </c>
      <c r="I2681">
        <v>44</v>
      </c>
      <c r="J2681" t="s">
        <v>11</v>
      </c>
    </row>
    <row r="2682" spans="1:10">
      <c r="A2682">
        <v>2681</v>
      </c>
      <c r="B2682" s="1">
        <v>45201</v>
      </c>
      <c r="C2682" t="s">
        <v>12</v>
      </c>
      <c r="D2682">
        <v>199</v>
      </c>
      <c r="E2682">
        <v>18.100000000000001</v>
      </c>
      <c r="F2682">
        <v>5</v>
      </c>
      <c r="G2682">
        <v>1</v>
      </c>
      <c r="H2682">
        <v>26</v>
      </c>
      <c r="I2682">
        <v>20</v>
      </c>
      <c r="J2682" t="s">
        <v>13</v>
      </c>
    </row>
    <row r="2683" spans="1:10">
      <c r="A2683">
        <v>2682</v>
      </c>
      <c r="B2683" s="1">
        <v>45375</v>
      </c>
      <c r="C2683" t="s">
        <v>10</v>
      </c>
      <c r="D2683">
        <v>699</v>
      </c>
      <c r="E2683">
        <v>17.2</v>
      </c>
      <c r="F2683">
        <v>0</v>
      </c>
      <c r="G2683">
        <v>0</v>
      </c>
      <c r="H2683">
        <v>6</v>
      </c>
      <c r="I2683">
        <v>42</v>
      </c>
      <c r="J2683" t="s">
        <v>11</v>
      </c>
    </row>
    <row r="2684" spans="1:10">
      <c r="A2684">
        <v>2683</v>
      </c>
      <c r="B2684" s="1">
        <v>45643</v>
      </c>
      <c r="C2684" t="s">
        <v>14</v>
      </c>
      <c r="D2684">
        <v>399</v>
      </c>
      <c r="E2684">
        <v>21.9</v>
      </c>
      <c r="F2684">
        <v>0</v>
      </c>
      <c r="G2684">
        <v>0</v>
      </c>
      <c r="H2684">
        <v>23</v>
      </c>
      <c r="I2684">
        <v>10</v>
      </c>
      <c r="J2684" t="s">
        <v>13</v>
      </c>
    </row>
    <row r="2685" spans="1:10">
      <c r="A2685">
        <v>2684</v>
      </c>
      <c r="B2685" s="1">
        <v>45114</v>
      </c>
      <c r="C2685" t="s">
        <v>12</v>
      </c>
      <c r="D2685">
        <v>199</v>
      </c>
      <c r="E2685">
        <v>8.3000000000000007</v>
      </c>
      <c r="F2685">
        <v>5</v>
      </c>
      <c r="G2685">
        <v>1</v>
      </c>
      <c r="H2685">
        <v>6</v>
      </c>
      <c r="I2685">
        <v>55</v>
      </c>
      <c r="J2685" t="s">
        <v>13</v>
      </c>
    </row>
    <row r="2686" spans="1:10">
      <c r="A2686">
        <v>2685</v>
      </c>
      <c r="B2686" s="1">
        <v>45431</v>
      </c>
      <c r="C2686" t="s">
        <v>14</v>
      </c>
      <c r="D2686">
        <v>399</v>
      </c>
      <c r="E2686">
        <v>11.3</v>
      </c>
      <c r="F2686">
        <v>5</v>
      </c>
      <c r="G2686">
        <v>0</v>
      </c>
      <c r="H2686">
        <v>17</v>
      </c>
      <c r="I2686">
        <v>28</v>
      </c>
      <c r="J2686" t="s">
        <v>11</v>
      </c>
    </row>
    <row r="2687" spans="1:10">
      <c r="A2687">
        <v>2686</v>
      </c>
      <c r="B2687" s="1">
        <v>45289</v>
      </c>
      <c r="C2687" t="s">
        <v>12</v>
      </c>
      <c r="D2687">
        <v>199</v>
      </c>
      <c r="E2687">
        <v>17.8</v>
      </c>
      <c r="F2687">
        <v>2</v>
      </c>
      <c r="G2687">
        <v>3</v>
      </c>
      <c r="H2687">
        <v>29</v>
      </c>
      <c r="I2687">
        <v>38</v>
      </c>
      <c r="J2687" t="s">
        <v>11</v>
      </c>
    </row>
    <row r="2688" spans="1:10">
      <c r="A2688">
        <v>2687</v>
      </c>
      <c r="B2688" s="1">
        <v>44976</v>
      </c>
      <c r="C2688" t="s">
        <v>10</v>
      </c>
      <c r="D2688">
        <v>699</v>
      </c>
      <c r="E2688">
        <v>16.3</v>
      </c>
      <c r="F2688">
        <v>3</v>
      </c>
      <c r="G2688">
        <v>5</v>
      </c>
      <c r="H2688">
        <v>24</v>
      </c>
      <c r="I2688">
        <v>48</v>
      </c>
      <c r="J2688" t="s">
        <v>13</v>
      </c>
    </row>
    <row r="2689" spans="1:10">
      <c r="A2689">
        <v>2688</v>
      </c>
      <c r="B2689" s="1">
        <v>45135</v>
      </c>
      <c r="C2689" t="s">
        <v>12</v>
      </c>
      <c r="D2689">
        <v>199</v>
      </c>
      <c r="E2689">
        <v>7.6</v>
      </c>
      <c r="F2689">
        <v>3</v>
      </c>
      <c r="G2689">
        <v>2</v>
      </c>
      <c r="H2689">
        <v>26</v>
      </c>
      <c r="I2689">
        <v>49</v>
      </c>
      <c r="J2689" t="s">
        <v>13</v>
      </c>
    </row>
    <row r="2690" spans="1:10">
      <c r="A2690">
        <v>2689</v>
      </c>
      <c r="B2690" s="1">
        <v>45146</v>
      </c>
      <c r="C2690" t="s">
        <v>10</v>
      </c>
      <c r="D2690">
        <v>699</v>
      </c>
      <c r="E2690">
        <v>0.6</v>
      </c>
      <c r="F2690">
        <v>5</v>
      </c>
      <c r="G2690">
        <v>1</v>
      </c>
      <c r="H2690">
        <v>8</v>
      </c>
      <c r="I2690">
        <v>60</v>
      </c>
      <c r="J2690" t="s">
        <v>11</v>
      </c>
    </row>
    <row r="2691" spans="1:10">
      <c r="A2691">
        <v>2690</v>
      </c>
      <c r="B2691" s="1">
        <v>45568</v>
      </c>
      <c r="C2691" t="s">
        <v>14</v>
      </c>
      <c r="D2691">
        <v>399</v>
      </c>
      <c r="E2691">
        <v>12.9</v>
      </c>
      <c r="F2691">
        <v>4</v>
      </c>
      <c r="G2691">
        <v>0</v>
      </c>
      <c r="H2691">
        <v>3</v>
      </c>
      <c r="I2691">
        <v>4</v>
      </c>
      <c r="J2691" t="s">
        <v>13</v>
      </c>
    </row>
    <row r="2692" spans="1:10">
      <c r="A2692">
        <v>2691</v>
      </c>
      <c r="B2692" s="1">
        <v>45485</v>
      </c>
      <c r="C2692" t="s">
        <v>10</v>
      </c>
      <c r="D2692">
        <v>699</v>
      </c>
      <c r="E2692">
        <v>23.9</v>
      </c>
      <c r="F2692">
        <v>5</v>
      </c>
      <c r="G2692">
        <v>4</v>
      </c>
      <c r="H2692">
        <v>7</v>
      </c>
      <c r="I2692">
        <v>39</v>
      </c>
      <c r="J2692" t="s">
        <v>13</v>
      </c>
    </row>
    <row r="2693" spans="1:10">
      <c r="A2693">
        <v>2692</v>
      </c>
      <c r="B2693" s="1">
        <v>45077</v>
      </c>
      <c r="C2693" t="s">
        <v>14</v>
      </c>
      <c r="D2693">
        <v>399</v>
      </c>
      <c r="E2693">
        <v>19.100000000000001</v>
      </c>
      <c r="F2693">
        <v>3</v>
      </c>
      <c r="G2693">
        <v>2</v>
      </c>
      <c r="H2693">
        <v>23</v>
      </c>
      <c r="I2693">
        <v>43</v>
      </c>
      <c r="J2693" t="s">
        <v>11</v>
      </c>
    </row>
    <row r="2694" spans="1:10">
      <c r="A2694">
        <v>2693</v>
      </c>
      <c r="B2694" s="1">
        <v>45510</v>
      </c>
      <c r="C2694" t="s">
        <v>12</v>
      </c>
      <c r="D2694">
        <v>199</v>
      </c>
      <c r="E2694">
        <v>10</v>
      </c>
      <c r="F2694">
        <v>0</v>
      </c>
      <c r="G2694">
        <v>0</v>
      </c>
      <c r="H2694">
        <v>24</v>
      </c>
      <c r="I2694">
        <v>26</v>
      </c>
      <c r="J2694" t="s">
        <v>13</v>
      </c>
    </row>
    <row r="2695" spans="1:10">
      <c r="A2695">
        <v>2694</v>
      </c>
      <c r="B2695" s="1">
        <v>45487</v>
      </c>
      <c r="C2695" t="s">
        <v>10</v>
      </c>
      <c r="D2695">
        <v>699</v>
      </c>
      <c r="E2695">
        <v>16.3</v>
      </c>
      <c r="F2695">
        <v>6</v>
      </c>
      <c r="G2695">
        <v>4</v>
      </c>
      <c r="H2695">
        <v>1</v>
      </c>
      <c r="I2695">
        <v>27</v>
      </c>
      <c r="J2695" t="s">
        <v>13</v>
      </c>
    </row>
    <row r="2696" spans="1:10">
      <c r="A2696">
        <v>2695</v>
      </c>
      <c r="B2696" s="1">
        <v>45639</v>
      </c>
      <c r="C2696" t="s">
        <v>12</v>
      </c>
      <c r="D2696">
        <v>199</v>
      </c>
      <c r="E2696">
        <v>13.9</v>
      </c>
      <c r="F2696">
        <v>7</v>
      </c>
      <c r="G2696">
        <v>3</v>
      </c>
      <c r="H2696">
        <v>5</v>
      </c>
      <c r="I2696">
        <v>16</v>
      </c>
      <c r="J2696" t="s">
        <v>11</v>
      </c>
    </row>
    <row r="2697" spans="1:10">
      <c r="A2697">
        <v>2696</v>
      </c>
      <c r="B2697" s="1">
        <v>45605</v>
      </c>
      <c r="C2697" t="s">
        <v>12</v>
      </c>
      <c r="D2697">
        <v>199</v>
      </c>
      <c r="E2697">
        <v>12.8</v>
      </c>
      <c r="F2697">
        <v>2</v>
      </c>
      <c r="G2697">
        <v>5</v>
      </c>
      <c r="H2697">
        <v>31</v>
      </c>
      <c r="I2697">
        <v>56</v>
      </c>
      <c r="J2697" t="s">
        <v>13</v>
      </c>
    </row>
    <row r="2698" spans="1:10">
      <c r="A2698">
        <v>2697</v>
      </c>
      <c r="B2698" s="1">
        <v>45429</v>
      </c>
      <c r="C2698" t="s">
        <v>12</v>
      </c>
      <c r="D2698">
        <v>199</v>
      </c>
      <c r="E2698">
        <v>8</v>
      </c>
      <c r="F2698">
        <v>5</v>
      </c>
      <c r="G2698">
        <v>1</v>
      </c>
      <c r="H2698">
        <v>19</v>
      </c>
      <c r="I2698">
        <v>1</v>
      </c>
      <c r="J2698" t="s">
        <v>11</v>
      </c>
    </row>
    <row r="2699" spans="1:10">
      <c r="A2699">
        <v>2698</v>
      </c>
      <c r="B2699" s="1">
        <v>45091</v>
      </c>
      <c r="C2699" t="s">
        <v>14</v>
      </c>
      <c r="D2699">
        <v>399</v>
      </c>
      <c r="E2699">
        <v>19.100000000000001</v>
      </c>
      <c r="F2699">
        <v>2</v>
      </c>
      <c r="G2699">
        <v>2</v>
      </c>
      <c r="H2699">
        <v>25</v>
      </c>
      <c r="I2699">
        <v>20</v>
      </c>
      <c r="J2699" t="s">
        <v>11</v>
      </c>
    </row>
    <row r="2700" spans="1:10">
      <c r="A2700">
        <v>2699</v>
      </c>
      <c r="B2700" s="1">
        <v>45247</v>
      </c>
      <c r="C2700" t="s">
        <v>10</v>
      </c>
      <c r="D2700">
        <v>699</v>
      </c>
      <c r="E2700">
        <v>20.8</v>
      </c>
      <c r="F2700">
        <v>1</v>
      </c>
      <c r="G2700">
        <v>3</v>
      </c>
      <c r="H2700">
        <v>23</v>
      </c>
      <c r="I2700">
        <v>13</v>
      </c>
      <c r="J2700" t="s">
        <v>13</v>
      </c>
    </row>
    <row r="2701" spans="1:10">
      <c r="A2701">
        <v>2700</v>
      </c>
      <c r="B2701" s="1">
        <v>45187</v>
      </c>
      <c r="C2701" t="s">
        <v>14</v>
      </c>
      <c r="D2701">
        <v>399</v>
      </c>
      <c r="E2701">
        <v>22.5</v>
      </c>
      <c r="F2701">
        <v>2</v>
      </c>
      <c r="G2701">
        <v>2</v>
      </c>
      <c r="H2701">
        <v>9</v>
      </c>
      <c r="I2701">
        <v>6</v>
      </c>
      <c r="J2701" t="s">
        <v>13</v>
      </c>
    </row>
    <row r="2702" spans="1:10">
      <c r="A2702">
        <v>2701</v>
      </c>
      <c r="B2702" s="1">
        <v>45265</v>
      </c>
      <c r="C2702" t="s">
        <v>12</v>
      </c>
      <c r="D2702">
        <v>199</v>
      </c>
      <c r="E2702">
        <v>15.9</v>
      </c>
      <c r="F2702">
        <v>2</v>
      </c>
      <c r="G2702">
        <v>1</v>
      </c>
      <c r="H2702">
        <v>4</v>
      </c>
      <c r="I2702">
        <v>50</v>
      </c>
      <c r="J2702" t="s">
        <v>11</v>
      </c>
    </row>
    <row r="2703" spans="1:10">
      <c r="A2703">
        <v>2702</v>
      </c>
      <c r="B2703" s="1">
        <v>45358</v>
      </c>
      <c r="C2703" t="s">
        <v>12</v>
      </c>
      <c r="D2703">
        <v>199</v>
      </c>
      <c r="E2703">
        <v>0.9</v>
      </c>
      <c r="F2703">
        <v>0</v>
      </c>
      <c r="G2703">
        <v>4</v>
      </c>
      <c r="H2703">
        <v>5</v>
      </c>
      <c r="I2703">
        <v>2</v>
      </c>
      <c r="J2703" t="s">
        <v>13</v>
      </c>
    </row>
    <row r="2704" spans="1:10">
      <c r="A2704">
        <v>2703</v>
      </c>
      <c r="B2704" s="1">
        <v>45496</v>
      </c>
      <c r="C2704" t="s">
        <v>10</v>
      </c>
      <c r="D2704">
        <v>699</v>
      </c>
      <c r="E2704">
        <v>9.1999999999999993</v>
      </c>
      <c r="F2704">
        <v>0</v>
      </c>
      <c r="G2704">
        <v>5</v>
      </c>
      <c r="H2704">
        <v>3</v>
      </c>
      <c r="I2704">
        <v>48</v>
      </c>
      <c r="J2704" t="s">
        <v>13</v>
      </c>
    </row>
    <row r="2705" spans="1:10">
      <c r="A2705">
        <v>2704</v>
      </c>
      <c r="B2705" s="1">
        <v>45017</v>
      </c>
      <c r="C2705" t="s">
        <v>14</v>
      </c>
      <c r="D2705">
        <v>399</v>
      </c>
      <c r="E2705">
        <v>6.7</v>
      </c>
      <c r="F2705">
        <v>0</v>
      </c>
      <c r="G2705">
        <v>1</v>
      </c>
      <c r="H2705">
        <v>33</v>
      </c>
      <c r="I2705">
        <v>56</v>
      </c>
      <c r="J2705" t="s">
        <v>13</v>
      </c>
    </row>
    <row r="2706" spans="1:10">
      <c r="A2706">
        <v>2705</v>
      </c>
      <c r="B2706" s="1">
        <v>45621</v>
      </c>
      <c r="C2706" t="s">
        <v>14</v>
      </c>
      <c r="D2706">
        <v>399</v>
      </c>
      <c r="E2706">
        <v>11.4</v>
      </c>
      <c r="F2706">
        <v>2</v>
      </c>
      <c r="G2706">
        <v>4</v>
      </c>
      <c r="H2706">
        <v>26</v>
      </c>
      <c r="I2706">
        <v>59</v>
      </c>
      <c r="J2706" t="s">
        <v>11</v>
      </c>
    </row>
    <row r="2707" spans="1:10">
      <c r="A2707">
        <v>2706</v>
      </c>
      <c r="B2707" s="1">
        <v>45506</v>
      </c>
      <c r="C2707" t="s">
        <v>14</v>
      </c>
      <c r="D2707">
        <v>399</v>
      </c>
      <c r="E2707">
        <v>8.6999999999999993</v>
      </c>
      <c r="F2707">
        <v>8</v>
      </c>
      <c r="G2707">
        <v>4</v>
      </c>
      <c r="H2707">
        <v>30</v>
      </c>
      <c r="I2707">
        <v>28</v>
      </c>
      <c r="J2707" t="s">
        <v>11</v>
      </c>
    </row>
    <row r="2708" spans="1:10">
      <c r="A2708">
        <v>2707</v>
      </c>
      <c r="B2708" s="1">
        <v>45163</v>
      </c>
      <c r="C2708" t="s">
        <v>12</v>
      </c>
      <c r="D2708">
        <v>199</v>
      </c>
      <c r="E2708">
        <v>4.7</v>
      </c>
      <c r="F2708">
        <v>6</v>
      </c>
      <c r="G2708">
        <v>2</v>
      </c>
      <c r="H2708">
        <v>6</v>
      </c>
      <c r="I2708">
        <v>10</v>
      </c>
      <c r="J2708" t="s">
        <v>11</v>
      </c>
    </row>
    <row r="2709" spans="1:10">
      <c r="A2709">
        <v>2708</v>
      </c>
      <c r="B2709" s="1">
        <v>45395</v>
      </c>
      <c r="C2709" t="s">
        <v>12</v>
      </c>
      <c r="D2709">
        <v>199</v>
      </c>
      <c r="E2709">
        <v>16.899999999999999</v>
      </c>
      <c r="F2709">
        <v>2</v>
      </c>
      <c r="G2709">
        <v>0</v>
      </c>
      <c r="H2709">
        <v>27</v>
      </c>
      <c r="I2709">
        <v>56</v>
      </c>
      <c r="J2709" t="s">
        <v>13</v>
      </c>
    </row>
    <row r="2710" spans="1:10">
      <c r="A2710">
        <v>2709</v>
      </c>
      <c r="B2710" s="1">
        <v>44952</v>
      </c>
      <c r="C2710" t="s">
        <v>14</v>
      </c>
      <c r="D2710">
        <v>399</v>
      </c>
      <c r="E2710">
        <v>13.3</v>
      </c>
      <c r="F2710">
        <v>1</v>
      </c>
      <c r="G2710">
        <v>2</v>
      </c>
      <c r="H2710">
        <v>23</v>
      </c>
      <c r="I2710">
        <v>29</v>
      </c>
      <c r="J2710" t="s">
        <v>13</v>
      </c>
    </row>
    <row r="2711" spans="1:10">
      <c r="A2711">
        <v>2710</v>
      </c>
      <c r="B2711" s="1">
        <v>45092</v>
      </c>
      <c r="C2711" t="s">
        <v>10</v>
      </c>
      <c r="D2711">
        <v>699</v>
      </c>
      <c r="E2711">
        <v>0.5</v>
      </c>
      <c r="F2711">
        <v>7</v>
      </c>
      <c r="G2711">
        <v>0</v>
      </c>
      <c r="H2711">
        <v>9</v>
      </c>
      <c r="I2711">
        <v>5</v>
      </c>
      <c r="J2711" t="s">
        <v>13</v>
      </c>
    </row>
    <row r="2712" spans="1:10">
      <c r="A2712">
        <v>2711</v>
      </c>
      <c r="B2712" s="1">
        <v>45028</v>
      </c>
      <c r="C2712" t="s">
        <v>12</v>
      </c>
      <c r="D2712">
        <v>199</v>
      </c>
      <c r="E2712">
        <v>0.6</v>
      </c>
      <c r="F2712">
        <v>3</v>
      </c>
      <c r="G2712">
        <v>3</v>
      </c>
      <c r="H2712">
        <v>36</v>
      </c>
      <c r="I2712">
        <v>44</v>
      </c>
      <c r="J2712" t="s">
        <v>13</v>
      </c>
    </row>
    <row r="2713" spans="1:10">
      <c r="A2713">
        <v>2712</v>
      </c>
      <c r="B2713" s="1">
        <v>45427</v>
      </c>
      <c r="C2713" t="s">
        <v>10</v>
      </c>
      <c r="D2713">
        <v>699</v>
      </c>
      <c r="E2713">
        <v>2.2000000000000002</v>
      </c>
      <c r="F2713">
        <v>8</v>
      </c>
      <c r="G2713">
        <v>0</v>
      </c>
      <c r="H2713">
        <v>11</v>
      </c>
      <c r="I2713">
        <v>33</v>
      </c>
      <c r="J2713" t="s">
        <v>11</v>
      </c>
    </row>
    <row r="2714" spans="1:10">
      <c r="A2714">
        <v>2713</v>
      </c>
      <c r="B2714" s="1">
        <v>45442</v>
      </c>
      <c r="C2714" t="s">
        <v>10</v>
      </c>
      <c r="D2714">
        <v>699</v>
      </c>
      <c r="E2714">
        <v>17.3</v>
      </c>
      <c r="F2714">
        <v>1</v>
      </c>
      <c r="G2714">
        <v>3</v>
      </c>
      <c r="H2714">
        <v>1</v>
      </c>
      <c r="I2714">
        <v>6</v>
      </c>
      <c r="J2714" t="s">
        <v>13</v>
      </c>
    </row>
    <row r="2715" spans="1:10">
      <c r="A2715">
        <v>2714</v>
      </c>
      <c r="B2715" s="1">
        <v>45529</v>
      </c>
      <c r="C2715" t="s">
        <v>14</v>
      </c>
      <c r="D2715">
        <v>399</v>
      </c>
      <c r="E2715">
        <v>13.6</v>
      </c>
      <c r="F2715">
        <v>5</v>
      </c>
      <c r="G2715">
        <v>4</v>
      </c>
      <c r="H2715">
        <v>14</v>
      </c>
      <c r="I2715">
        <v>35</v>
      </c>
      <c r="J2715" t="s">
        <v>11</v>
      </c>
    </row>
    <row r="2716" spans="1:10">
      <c r="A2716">
        <v>2715</v>
      </c>
      <c r="B2716" s="1">
        <v>45317</v>
      </c>
      <c r="C2716" t="s">
        <v>14</v>
      </c>
      <c r="D2716">
        <v>399</v>
      </c>
      <c r="E2716">
        <v>17.399999999999999</v>
      </c>
      <c r="F2716">
        <v>7</v>
      </c>
      <c r="G2716">
        <v>1</v>
      </c>
      <c r="H2716">
        <v>30</v>
      </c>
      <c r="I2716">
        <v>45</v>
      </c>
      <c r="J2716" t="s">
        <v>13</v>
      </c>
    </row>
    <row r="2717" spans="1:10">
      <c r="A2717">
        <v>2716</v>
      </c>
      <c r="B2717" s="1">
        <v>45474</v>
      </c>
      <c r="C2717" t="s">
        <v>10</v>
      </c>
      <c r="D2717">
        <v>699</v>
      </c>
      <c r="E2717">
        <v>1.6</v>
      </c>
      <c r="F2717">
        <v>0</v>
      </c>
      <c r="G2717">
        <v>2</v>
      </c>
      <c r="H2717">
        <v>34</v>
      </c>
      <c r="I2717">
        <v>58</v>
      </c>
      <c r="J2717" t="s">
        <v>11</v>
      </c>
    </row>
    <row r="2718" spans="1:10">
      <c r="A2718">
        <v>2717</v>
      </c>
      <c r="B2718" s="1">
        <v>45522</v>
      </c>
      <c r="C2718" t="s">
        <v>10</v>
      </c>
      <c r="D2718">
        <v>699</v>
      </c>
      <c r="E2718">
        <v>2.1</v>
      </c>
      <c r="F2718">
        <v>6</v>
      </c>
      <c r="G2718">
        <v>4</v>
      </c>
      <c r="H2718">
        <v>14</v>
      </c>
      <c r="I2718">
        <v>60</v>
      </c>
      <c r="J2718" t="s">
        <v>11</v>
      </c>
    </row>
    <row r="2719" spans="1:10">
      <c r="A2719">
        <v>2718</v>
      </c>
      <c r="B2719" s="1">
        <v>44981</v>
      </c>
      <c r="C2719" t="s">
        <v>14</v>
      </c>
      <c r="D2719">
        <v>399</v>
      </c>
      <c r="E2719">
        <v>20.2</v>
      </c>
      <c r="F2719">
        <v>4</v>
      </c>
      <c r="G2719">
        <v>2</v>
      </c>
      <c r="H2719">
        <v>12</v>
      </c>
      <c r="I2719">
        <v>56</v>
      </c>
      <c r="J2719" t="s">
        <v>11</v>
      </c>
    </row>
    <row r="2720" spans="1:10">
      <c r="A2720">
        <v>2719</v>
      </c>
      <c r="B2720" s="1">
        <v>45093</v>
      </c>
      <c r="C2720" t="s">
        <v>10</v>
      </c>
      <c r="D2720">
        <v>699</v>
      </c>
      <c r="E2720">
        <v>24.9</v>
      </c>
      <c r="F2720">
        <v>2</v>
      </c>
      <c r="G2720">
        <v>1</v>
      </c>
      <c r="H2720">
        <v>7</v>
      </c>
      <c r="I2720">
        <v>46</v>
      </c>
      <c r="J2720" t="s">
        <v>13</v>
      </c>
    </row>
    <row r="2721" spans="1:10">
      <c r="A2721">
        <v>2720</v>
      </c>
      <c r="B2721" s="1">
        <v>45567</v>
      </c>
      <c r="C2721" t="s">
        <v>12</v>
      </c>
      <c r="D2721">
        <v>199</v>
      </c>
      <c r="E2721">
        <v>4.9000000000000004</v>
      </c>
      <c r="F2721">
        <v>3</v>
      </c>
      <c r="G2721">
        <v>4</v>
      </c>
      <c r="H2721">
        <v>4</v>
      </c>
      <c r="I2721">
        <v>18</v>
      </c>
      <c r="J2721" t="s">
        <v>11</v>
      </c>
    </row>
    <row r="2722" spans="1:10">
      <c r="A2722">
        <v>2721</v>
      </c>
      <c r="B2722" s="1">
        <v>45212</v>
      </c>
      <c r="C2722" t="s">
        <v>12</v>
      </c>
      <c r="D2722">
        <v>199</v>
      </c>
      <c r="E2722">
        <v>16.7</v>
      </c>
      <c r="F2722">
        <v>2</v>
      </c>
      <c r="G2722">
        <v>0</v>
      </c>
      <c r="H2722">
        <v>9</v>
      </c>
      <c r="I2722">
        <v>16</v>
      </c>
      <c r="J2722" t="s">
        <v>11</v>
      </c>
    </row>
    <row r="2723" spans="1:10">
      <c r="A2723">
        <v>2722</v>
      </c>
      <c r="B2723" s="1">
        <v>45039</v>
      </c>
      <c r="C2723" t="s">
        <v>14</v>
      </c>
      <c r="D2723">
        <v>399</v>
      </c>
      <c r="E2723">
        <v>16.5</v>
      </c>
      <c r="F2723">
        <v>2</v>
      </c>
      <c r="G2723">
        <v>5</v>
      </c>
      <c r="H2723">
        <v>18</v>
      </c>
      <c r="I2723">
        <v>55</v>
      </c>
      <c r="J2723" t="s">
        <v>11</v>
      </c>
    </row>
    <row r="2724" spans="1:10">
      <c r="A2724">
        <v>2723</v>
      </c>
      <c r="B2724" s="1">
        <v>45644</v>
      </c>
      <c r="C2724" t="s">
        <v>12</v>
      </c>
      <c r="D2724">
        <v>199</v>
      </c>
      <c r="E2724">
        <v>24.4</v>
      </c>
      <c r="F2724">
        <v>5</v>
      </c>
      <c r="G2724">
        <v>4</v>
      </c>
      <c r="H2724">
        <v>27</v>
      </c>
      <c r="I2724">
        <v>38</v>
      </c>
      <c r="J2724" t="s">
        <v>11</v>
      </c>
    </row>
    <row r="2725" spans="1:10">
      <c r="A2725">
        <v>2724</v>
      </c>
      <c r="B2725" s="1">
        <v>44978</v>
      </c>
      <c r="C2725" t="s">
        <v>12</v>
      </c>
      <c r="D2725">
        <v>199</v>
      </c>
      <c r="E2725">
        <v>18.5</v>
      </c>
      <c r="F2725">
        <v>0</v>
      </c>
      <c r="G2725">
        <v>1</v>
      </c>
      <c r="H2725">
        <v>9</v>
      </c>
      <c r="I2725">
        <v>2</v>
      </c>
      <c r="J2725" t="s">
        <v>13</v>
      </c>
    </row>
    <row r="2726" spans="1:10">
      <c r="A2726">
        <v>2725</v>
      </c>
      <c r="B2726" s="1">
        <v>45294</v>
      </c>
      <c r="C2726" t="s">
        <v>14</v>
      </c>
      <c r="D2726">
        <v>399</v>
      </c>
      <c r="E2726">
        <v>5.9</v>
      </c>
      <c r="F2726">
        <v>2</v>
      </c>
      <c r="G2726">
        <v>1</v>
      </c>
      <c r="H2726">
        <v>10</v>
      </c>
      <c r="I2726">
        <v>45</v>
      </c>
      <c r="J2726" t="s">
        <v>13</v>
      </c>
    </row>
    <row r="2727" spans="1:10">
      <c r="A2727">
        <v>2726</v>
      </c>
      <c r="B2727" s="1">
        <v>45060</v>
      </c>
      <c r="C2727" t="s">
        <v>12</v>
      </c>
      <c r="D2727">
        <v>199</v>
      </c>
      <c r="E2727">
        <v>6.5</v>
      </c>
      <c r="F2727">
        <v>3</v>
      </c>
      <c r="G2727">
        <v>0</v>
      </c>
      <c r="H2727">
        <v>7</v>
      </c>
      <c r="I2727">
        <v>57</v>
      </c>
      <c r="J2727" t="s">
        <v>13</v>
      </c>
    </row>
    <row r="2728" spans="1:10">
      <c r="A2728">
        <v>2727</v>
      </c>
      <c r="B2728" s="1">
        <v>44929</v>
      </c>
      <c r="C2728" t="s">
        <v>10</v>
      </c>
      <c r="D2728">
        <v>699</v>
      </c>
      <c r="E2728">
        <v>10.7</v>
      </c>
      <c r="F2728">
        <v>0</v>
      </c>
      <c r="G2728">
        <v>3</v>
      </c>
      <c r="H2728">
        <v>6</v>
      </c>
      <c r="I2728">
        <v>16</v>
      </c>
      <c r="J2728" t="s">
        <v>13</v>
      </c>
    </row>
    <row r="2729" spans="1:10">
      <c r="A2729">
        <v>2728</v>
      </c>
      <c r="B2729" s="1">
        <v>45334</v>
      </c>
      <c r="C2729" t="s">
        <v>10</v>
      </c>
      <c r="D2729">
        <v>699</v>
      </c>
      <c r="E2729">
        <v>8.9</v>
      </c>
      <c r="F2729">
        <v>3</v>
      </c>
      <c r="G2729">
        <v>3</v>
      </c>
      <c r="H2729">
        <v>4</v>
      </c>
      <c r="I2729">
        <v>29</v>
      </c>
      <c r="J2729" t="s">
        <v>11</v>
      </c>
    </row>
    <row r="2730" spans="1:10">
      <c r="A2730">
        <v>2729</v>
      </c>
      <c r="B2730" s="1">
        <v>44950</v>
      </c>
      <c r="C2730" t="s">
        <v>10</v>
      </c>
      <c r="D2730">
        <v>699</v>
      </c>
      <c r="E2730">
        <v>15.5</v>
      </c>
      <c r="F2730">
        <v>3</v>
      </c>
      <c r="G2730">
        <v>1</v>
      </c>
      <c r="H2730">
        <v>7</v>
      </c>
      <c r="I2730">
        <v>49</v>
      </c>
      <c r="J2730" t="s">
        <v>11</v>
      </c>
    </row>
    <row r="2731" spans="1:10">
      <c r="A2731">
        <v>2730</v>
      </c>
      <c r="B2731" s="1">
        <v>45629</v>
      </c>
      <c r="C2731" t="s">
        <v>10</v>
      </c>
      <c r="D2731">
        <v>699</v>
      </c>
      <c r="E2731">
        <v>24.8</v>
      </c>
      <c r="F2731">
        <v>1</v>
      </c>
      <c r="G2731">
        <v>3</v>
      </c>
      <c r="H2731">
        <v>11</v>
      </c>
      <c r="I2731">
        <v>43</v>
      </c>
      <c r="J2731" t="s">
        <v>13</v>
      </c>
    </row>
    <row r="2732" spans="1:10">
      <c r="A2732">
        <v>2731</v>
      </c>
      <c r="B2732" s="1">
        <v>45089</v>
      </c>
      <c r="C2732" t="s">
        <v>10</v>
      </c>
      <c r="D2732">
        <v>699</v>
      </c>
      <c r="E2732">
        <v>12</v>
      </c>
      <c r="F2732">
        <v>6</v>
      </c>
      <c r="G2732">
        <v>4</v>
      </c>
      <c r="H2732">
        <v>5</v>
      </c>
      <c r="I2732">
        <v>2</v>
      </c>
      <c r="J2732" t="s">
        <v>13</v>
      </c>
    </row>
    <row r="2733" spans="1:10">
      <c r="A2733">
        <v>2732</v>
      </c>
      <c r="B2733" s="1">
        <v>45481</v>
      </c>
      <c r="C2733" t="s">
        <v>10</v>
      </c>
      <c r="D2733">
        <v>699</v>
      </c>
      <c r="E2733">
        <v>5.8</v>
      </c>
      <c r="F2733">
        <v>0</v>
      </c>
      <c r="G2733">
        <v>2</v>
      </c>
      <c r="H2733">
        <v>34</v>
      </c>
      <c r="I2733">
        <v>15</v>
      </c>
      <c r="J2733" t="s">
        <v>13</v>
      </c>
    </row>
    <row r="2734" spans="1:10">
      <c r="A2734">
        <v>2733</v>
      </c>
      <c r="B2734" s="1">
        <v>45134</v>
      </c>
      <c r="C2734" t="s">
        <v>14</v>
      </c>
      <c r="D2734">
        <v>399</v>
      </c>
      <c r="E2734">
        <v>15.7</v>
      </c>
      <c r="F2734">
        <v>6</v>
      </c>
      <c r="G2734">
        <v>1</v>
      </c>
      <c r="H2734">
        <v>5</v>
      </c>
      <c r="I2734">
        <v>9</v>
      </c>
      <c r="J2734" t="s">
        <v>13</v>
      </c>
    </row>
    <row r="2735" spans="1:10">
      <c r="A2735">
        <v>2734</v>
      </c>
      <c r="B2735" s="1">
        <v>45304</v>
      </c>
      <c r="C2735" t="s">
        <v>12</v>
      </c>
      <c r="D2735">
        <v>199</v>
      </c>
      <c r="E2735">
        <v>12.4</v>
      </c>
      <c r="F2735">
        <v>8</v>
      </c>
      <c r="G2735">
        <v>0</v>
      </c>
      <c r="H2735">
        <v>27</v>
      </c>
      <c r="I2735">
        <v>23</v>
      </c>
      <c r="J2735" t="s">
        <v>11</v>
      </c>
    </row>
    <row r="2736" spans="1:10">
      <c r="A2736">
        <v>2735</v>
      </c>
      <c r="B2736" s="1">
        <v>45083</v>
      </c>
      <c r="C2736" t="s">
        <v>14</v>
      </c>
      <c r="D2736">
        <v>399</v>
      </c>
      <c r="E2736">
        <v>11.8</v>
      </c>
      <c r="F2736">
        <v>0</v>
      </c>
      <c r="G2736">
        <v>3</v>
      </c>
      <c r="H2736">
        <v>26</v>
      </c>
      <c r="I2736">
        <v>14</v>
      </c>
      <c r="J2736" t="s">
        <v>13</v>
      </c>
    </row>
    <row r="2737" spans="1:10">
      <c r="A2737">
        <v>2736</v>
      </c>
      <c r="B2737" s="1">
        <v>45220</v>
      </c>
      <c r="C2737" t="s">
        <v>12</v>
      </c>
      <c r="D2737">
        <v>199</v>
      </c>
      <c r="E2737">
        <v>20.2</v>
      </c>
      <c r="F2737">
        <v>5</v>
      </c>
      <c r="G2737">
        <v>2</v>
      </c>
      <c r="H2737">
        <v>33</v>
      </c>
      <c r="I2737">
        <v>3</v>
      </c>
      <c r="J2737" t="s">
        <v>11</v>
      </c>
    </row>
    <row r="2738" spans="1:10">
      <c r="A2738">
        <v>2737</v>
      </c>
      <c r="B2738" s="1">
        <v>45628</v>
      </c>
      <c r="C2738" t="s">
        <v>14</v>
      </c>
      <c r="D2738">
        <v>399</v>
      </c>
      <c r="E2738">
        <v>16.600000000000001</v>
      </c>
      <c r="F2738">
        <v>7</v>
      </c>
      <c r="G2738">
        <v>3</v>
      </c>
      <c r="H2738">
        <v>20</v>
      </c>
      <c r="I2738">
        <v>25</v>
      </c>
      <c r="J2738" t="s">
        <v>13</v>
      </c>
    </row>
    <row r="2739" spans="1:10">
      <c r="A2739">
        <v>2738</v>
      </c>
      <c r="B2739" s="1">
        <v>45546</v>
      </c>
      <c r="C2739" t="s">
        <v>14</v>
      </c>
      <c r="D2739">
        <v>399</v>
      </c>
      <c r="E2739">
        <v>18.100000000000001</v>
      </c>
      <c r="F2739">
        <v>6</v>
      </c>
      <c r="G2739">
        <v>2</v>
      </c>
      <c r="H2739">
        <v>13</v>
      </c>
      <c r="I2739">
        <v>0</v>
      </c>
      <c r="J2739" t="s">
        <v>11</v>
      </c>
    </row>
    <row r="2740" spans="1:10">
      <c r="A2740">
        <v>2739</v>
      </c>
      <c r="B2740" s="1">
        <v>45047</v>
      </c>
      <c r="C2740" t="s">
        <v>14</v>
      </c>
      <c r="D2740">
        <v>399</v>
      </c>
      <c r="E2740">
        <v>11.6</v>
      </c>
      <c r="F2740">
        <v>2</v>
      </c>
      <c r="G2740">
        <v>1</v>
      </c>
      <c r="H2740">
        <v>11</v>
      </c>
      <c r="I2740">
        <v>24</v>
      </c>
      <c r="J2740" t="s">
        <v>11</v>
      </c>
    </row>
    <row r="2741" spans="1:10">
      <c r="A2741">
        <v>2740</v>
      </c>
      <c r="B2741" s="1">
        <v>45067</v>
      </c>
      <c r="C2741" t="s">
        <v>12</v>
      </c>
      <c r="D2741">
        <v>199</v>
      </c>
      <c r="E2741">
        <v>24.2</v>
      </c>
      <c r="F2741">
        <v>4</v>
      </c>
      <c r="G2741">
        <v>1</v>
      </c>
      <c r="H2741">
        <v>19</v>
      </c>
      <c r="I2741">
        <v>50</v>
      </c>
      <c r="J2741" t="s">
        <v>11</v>
      </c>
    </row>
    <row r="2742" spans="1:10">
      <c r="A2742">
        <v>2741</v>
      </c>
      <c r="B2742" s="1">
        <v>45081</v>
      </c>
      <c r="C2742" t="s">
        <v>10</v>
      </c>
      <c r="D2742">
        <v>699</v>
      </c>
      <c r="E2742">
        <v>23.6</v>
      </c>
      <c r="F2742">
        <v>8</v>
      </c>
      <c r="G2742">
        <v>5</v>
      </c>
      <c r="H2742">
        <v>22</v>
      </c>
      <c r="I2742">
        <v>20</v>
      </c>
      <c r="J2742" t="s">
        <v>11</v>
      </c>
    </row>
    <row r="2743" spans="1:10">
      <c r="A2743">
        <v>2742</v>
      </c>
      <c r="B2743" s="1">
        <v>45535</v>
      </c>
      <c r="C2743" t="s">
        <v>12</v>
      </c>
      <c r="D2743">
        <v>199</v>
      </c>
      <c r="E2743">
        <v>21.3</v>
      </c>
      <c r="F2743">
        <v>0</v>
      </c>
      <c r="G2743">
        <v>4</v>
      </c>
      <c r="H2743">
        <v>33</v>
      </c>
      <c r="I2743">
        <v>47</v>
      </c>
      <c r="J2743" t="s">
        <v>11</v>
      </c>
    </row>
    <row r="2744" spans="1:10">
      <c r="A2744">
        <v>2743</v>
      </c>
      <c r="B2744" s="1">
        <v>45245</v>
      </c>
      <c r="C2744" t="s">
        <v>10</v>
      </c>
      <c r="D2744">
        <v>699</v>
      </c>
      <c r="E2744">
        <v>18.600000000000001</v>
      </c>
      <c r="F2744">
        <v>6</v>
      </c>
      <c r="G2744">
        <v>1</v>
      </c>
      <c r="H2744">
        <v>7</v>
      </c>
      <c r="I2744">
        <v>40</v>
      </c>
      <c r="J2744" t="s">
        <v>11</v>
      </c>
    </row>
    <row r="2745" spans="1:10">
      <c r="A2745">
        <v>2744</v>
      </c>
      <c r="B2745" s="1">
        <v>45273</v>
      </c>
      <c r="C2745" t="s">
        <v>10</v>
      </c>
      <c r="D2745">
        <v>699</v>
      </c>
      <c r="E2745">
        <v>16.600000000000001</v>
      </c>
      <c r="F2745">
        <v>6</v>
      </c>
      <c r="G2745">
        <v>2</v>
      </c>
      <c r="H2745">
        <v>6</v>
      </c>
      <c r="I2745">
        <v>14</v>
      </c>
      <c r="J2745" t="s">
        <v>11</v>
      </c>
    </row>
    <row r="2746" spans="1:10">
      <c r="A2746">
        <v>2745</v>
      </c>
      <c r="B2746" s="1">
        <v>45609</v>
      </c>
      <c r="C2746" t="s">
        <v>12</v>
      </c>
      <c r="D2746">
        <v>199</v>
      </c>
      <c r="E2746">
        <v>18.100000000000001</v>
      </c>
      <c r="F2746">
        <v>4</v>
      </c>
      <c r="G2746">
        <v>3</v>
      </c>
      <c r="H2746">
        <v>9</v>
      </c>
      <c r="I2746">
        <v>11</v>
      </c>
      <c r="J2746" t="s">
        <v>13</v>
      </c>
    </row>
    <row r="2747" spans="1:10">
      <c r="A2747">
        <v>2746</v>
      </c>
      <c r="B2747" s="1">
        <v>44962</v>
      </c>
      <c r="C2747" t="s">
        <v>12</v>
      </c>
      <c r="D2747">
        <v>199</v>
      </c>
      <c r="E2747">
        <v>13.5</v>
      </c>
      <c r="F2747">
        <v>3</v>
      </c>
      <c r="G2747">
        <v>1</v>
      </c>
      <c r="H2747">
        <v>24</v>
      </c>
      <c r="I2747">
        <v>16</v>
      </c>
      <c r="J2747" t="s">
        <v>13</v>
      </c>
    </row>
    <row r="2748" spans="1:10">
      <c r="A2748">
        <v>2747</v>
      </c>
      <c r="B2748" s="1">
        <v>44955</v>
      </c>
      <c r="C2748" t="s">
        <v>10</v>
      </c>
      <c r="D2748">
        <v>699</v>
      </c>
      <c r="E2748">
        <v>2.4</v>
      </c>
      <c r="F2748">
        <v>5</v>
      </c>
      <c r="G2748">
        <v>5</v>
      </c>
      <c r="H2748">
        <v>16</v>
      </c>
      <c r="I2748">
        <v>33</v>
      </c>
      <c r="J2748" t="s">
        <v>11</v>
      </c>
    </row>
    <row r="2749" spans="1:10">
      <c r="A2749">
        <v>2748</v>
      </c>
      <c r="B2749" s="1">
        <v>45504</v>
      </c>
      <c r="C2749" t="s">
        <v>14</v>
      </c>
      <c r="D2749">
        <v>399</v>
      </c>
      <c r="E2749">
        <v>9.6</v>
      </c>
      <c r="F2749">
        <v>7</v>
      </c>
      <c r="G2749">
        <v>5</v>
      </c>
      <c r="H2749">
        <v>18</v>
      </c>
      <c r="I2749">
        <v>24</v>
      </c>
      <c r="J2749" t="s">
        <v>13</v>
      </c>
    </row>
    <row r="2750" spans="1:10">
      <c r="A2750">
        <v>2749</v>
      </c>
      <c r="B2750" s="1">
        <v>45201</v>
      </c>
      <c r="C2750" t="s">
        <v>10</v>
      </c>
      <c r="D2750">
        <v>699</v>
      </c>
      <c r="E2750">
        <v>12.7</v>
      </c>
      <c r="F2750">
        <v>7</v>
      </c>
      <c r="G2750">
        <v>3</v>
      </c>
      <c r="H2750">
        <v>18</v>
      </c>
      <c r="I2750">
        <v>37</v>
      </c>
      <c r="J2750" t="s">
        <v>11</v>
      </c>
    </row>
    <row r="2751" spans="1:10">
      <c r="A2751">
        <v>2750</v>
      </c>
      <c r="B2751" s="1">
        <v>45410</v>
      </c>
      <c r="C2751" t="s">
        <v>10</v>
      </c>
      <c r="D2751">
        <v>699</v>
      </c>
      <c r="E2751">
        <v>23.7</v>
      </c>
      <c r="F2751">
        <v>5</v>
      </c>
      <c r="G2751">
        <v>1</v>
      </c>
      <c r="H2751">
        <v>22</v>
      </c>
      <c r="I2751">
        <v>27</v>
      </c>
      <c r="J2751" t="s">
        <v>11</v>
      </c>
    </row>
    <row r="2752" spans="1:10">
      <c r="A2752">
        <v>2751</v>
      </c>
      <c r="B2752" s="1">
        <v>45140</v>
      </c>
      <c r="C2752" t="s">
        <v>14</v>
      </c>
      <c r="D2752">
        <v>399</v>
      </c>
      <c r="E2752">
        <v>10</v>
      </c>
      <c r="F2752">
        <v>8</v>
      </c>
      <c r="G2752">
        <v>3</v>
      </c>
      <c r="H2752">
        <v>26</v>
      </c>
      <c r="I2752">
        <v>51</v>
      </c>
      <c r="J2752" t="s">
        <v>11</v>
      </c>
    </row>
    <row r="2753" spans="1:10">
      <c r="A2753">
        <v>2752</v>
      </c>
      <c r="B2753" s="1">
        <v>45641</v>
      </c>
      <c r="C2753" t="s">
        <v>14</v>
      </c>
      <c r="D2753">
        <v>399</v>
      </c>
      <c r="E2753">
        <v>2.4</v>
      </c>
      <c r="F2753">
        <v>5</v>
      </c>
      <c r="G2753">
        <v>2</v>
      </c>
      <c r="H2753">
        <v>9</v>
      </c>
      <c r="I2753">
        <v>23</v>
      </c>
      <c r="J2753" t="s">
        <v>11</v>
      </c>
    </row>
    <row r="2754" spans="1:10">
      <c r="A2754">
        <v>2753</v>
      </c>
      <c r="B2754" s="1">
        <v>45116</v>
      </c>
      <c r="C2754" t="s">
        <v>12</v>
      </c>
      <c r="D2754">
        <v>199</v>
      </c>
      <c r="E2754">
        <v>23.2</v>
      </c>
      <c r="F2754">
        <v>4</v>
      </c>
      <c r="G2754">
        <v>4</v>
      </c>
      <c r="H2754">
        <v>22</v>
      </c>
      <c r="I2754">
        <v>5</v>
      </c>
      <c r="J2754" t="s">
        <v>13</v>
      </c>
    </row>
    <row r="2755" spans="1:10">
      <c r="A2755">
        <v>2754</v>
      </c>
      <c r="B2755" s="1">
        <v>45384</v>
      </c>
      <c r="C2755" t="s">
        <v>14</v>
      </c>
      <c r="D2755">
        <v>399</v>
      </c>
      <c r="E2755">
        <v>8.4</v>
      </c>
      <c r="F2755">
        <v>5</v>
      </c>
      <c r="G2755">
        <v>4</v>
      </c>
      <c r="H2755">
        <v>10</v>
      </c>
      <c r="I2755">
        <v>24</v>
      </c>
      <c r="J2755" t="s">
        <v>11</v>
      </c>
    </row>
    <row r="2756" spans="1:10">
      <c r="A2756">
        <v>2755</v>
      </c>
      <c r="B2756" s="1">
        <v>45209</v>
      </c>
      <c r="C2756" t="s">
        <v>12</v>
      </c>
      <c r="D2756">
        <v>199</v>
      </c>
      <c r="E2756">
        <v>21.4</v>
      </c>
      <c r="F2756">
        <v>3</v>
      </c>
      <c r="G2756">
        <v>0</v>
      </c>
      <c r="H2756">
        <v>8</v>
      </c>
      <c r="I2756">
        <v>29</v>
      </c>
      <c r="J2756" t="s">
        <v>13</v>
      </c>
    </row>
    <row r="2757" spans="1:10">
      <c r="A2757">
        <v>2756</v>
      </c>
      <c r="B2757" s="1">
        <v>45219</v>
      </c>
      <c r="C2757" t="s">
        <v>12</v>
      </c>
      <c r="D2757">
        <v>199</v>
      </c>
      <c r="E2757">
        <v>9.5</v>
      </c>
      <c r="F2757">
        <v>1</v>
      </c>
      <c r="G2757">
        <v>2</v>
      </c>
      <c r="H2757">
        <v>16</v>
      </c>
      <c r="I2757">
        <v>11</v>
      </c>
      <c r="J2757" t="s">
        <v>13</v>
      </c>
    </row>
    <row r="2758" spans="1:10">
      <c r="A2758">
        <v>2757</v>
      </c>
      <c r="B2758" s="1">
        <v>45352</v>
      </c>
      <c r="C2758" t="s">
        <v>12</v>
      </c>
      <c r="D2758">
        <v>199</v>
      </c>
      <c r="E2758">
        <v>16.399999999999999</v>
      </c>
      <c r="F2758">
        <v>3</v>
      </c>
      <c r="G2758">
        <v>1</v>
      </c>
      <c r="H2758">
        <v>17</v>
      </c>
      <c r="I2758">
        <v>50</v>
      </c>
      <c r="J2758" t="s">
        <v>13</v>
      </c>
    </row>
    <row r="2759" spans="1:10">
      <c r="A2759">
        <v>2758</v>
      </c>
      <c r="B2759" s="1">
        <v>45390</v>
      </c>
      <c r="C2759" t="s">
        <v>12</v>
      </c>
      <c r="D2759">
        <v>199</v>
      </c>
      <c r="E2759">
        <v>19.5</v>
      </c>
      <c r="F2759">
        <v>4</v>
      </c>
      <c r="G2759">
        <v>1</v>
      </c>
      <c r="H2759">
        <v>20</v>
      </c>
      <c r="I2759">
        <v>45</v>
      </c>
      <c r="J2759" t="s">
        <v>13</v>
      </c>
    </row>
    <row r="2760" spans="1:10">
      <c r="A2760">
        <v>2759</v>
      </c>
      <c r="B2760" s="1">
        <v>45624</v>
      </c>
      <c r="C2760" t="s">
        <v>10</v>
      </c>
      <c r="D2760">
        <v>699</v>
      </c>
      <c r="E2760">
        <v>5.9</v>
      </c>
      <c r="F2760">
        <v>7</v>
      </c>
      <c r="G2760">
        <v>1</v>
      </c>
      <c r="H2760">
        <v>27</v>
      </c>
      <c r="I2760">
        <v>6</v>
      </c>
      <c r="J2760" t="s">
        <v>13</v>
      </c>
    </row>
    <row r="2761" spans="1:10">
      <c r="A2761">
        <v>2760</v>
      </c>
      <c r="B2761" s="1">
        <v>45291</v>
      </c>
      <c r="C2761" t="s">
        <v>12</v>
      </c>
      <c r="D2761">
        <v>199</v>
      </c>
      <c r="E2761">
        <v>13.6</v>
      </c>
      <c r="F2761">
        <v>1</v>
      </c>
      <c r="G2761">
        <v>3</v>
      </c>
      <c r="H2761">
        <v>2</v>
      </c>
      <c r="I2761">
        <v>60</v>
      </c>
      <c r="J2761" t="s">
        <v>11</v>
      </c>
    </row>
    <row r="2762" spans="1:10">
      <c r="A2762">
        <v>2761</v>
      </c>
      <c r="B2762" s="1">
        <v>45021</v>
      </c>
      <c r="C2762" t="s">
        <v>12</v>
      </c>
      <c r="D2762">
        <v>199</v>
      </c>
      <c r="E2762">
        <v>23.3</v>
      </c>
      <c r="F2762">
        <v>1</v>
      </c>
      <c r="G2762">
        <v>2</v>
      </c>
      <c r="H2762">
        <v>10</v>
      </c>
      <c r="I2762">
        <v>46</v>
      </c>
      <c r="J2762" t="s">
        <v>11</v>
      </c>
    </row>
    <row r="2763" spans="1:10">
      <c r="A2763">
        <v>2762</v>
      </c>
      <c r="B2763" s="1">
        <v>45213</v>
      </c>
      <c r="C2763" t="s">
        <v>10</v>
      </c>
      <c r="D2763">
        <v>699</v>
      </c>
      <c r="E2763">
        <v>8.3000000000000007</v>
      </c>
      <c r="F2763">
        <v>3</v>
      </c>
      <c r="G2763">
        <v>2</v>
      </c>
      <c r="H2763">
        <v>18</v>
      </c>
      <c r="I2763">
        <v>52</v>
      </c>
      <c r="J2763" t="s">
        <v>13</v>
      </c>
    </row>
    <row r="2764" spans="1:10">
      <c r="A2764">
        <v>2763</v>
      </c>
      <c r="B2764" s="1">
        <v>45623</v>
      </c>
      <c r="C2764" t="s">
        <v>10</v>
      </c>
      <c r="D2764">
        <v>699</v>
      </c>
      <c r="E2764">
        <v>11.1</v>
      </c>
      <c r="F2764">
        <v>8</v>
      </c>
      <c r="G2764">
        <v>3</v>
      </c>
      <c r="H2764">
        <v>12</v>
      </c>
      <c r="I2764">
        <v>16</v>
      </c>
      <c r="J2764" t="s">
        <v>11</v>
      </c>
    </row>
    <row r="2765" spans="1:10">
      <c r="A2765">
        <v>2764</v>
      </c>
      <c r="B2765" s="1">
        <v>45590</v>
      </c>
      <c r="C2765" t="s">
        <v>10</v>
      </c>
      <c r="D2765">
        <v>699</v>
      </c>
      <c r="E2765">
        <v>1.7</v>
      </c>
      <c r="F2765">
        <v>7</v>
      </c>
      <c r="G2765">
        <v>1</v>
      </c>
      <c r="H2765">
        <v>32</v>
      </c>
      <c r="I2765">
        <v>41</v>
      </c>
      <c r="J2765" t="s">
        <v>13</v>
      </c>
    </row>
    <row r="2766" spans="1:10">
      <c r="A2766">
        <v>2765</v>
      </c>
      <c r="B2766" s="1">
        <v>45078</v>
      </c>
      <c r="C2766" t="s">
        <v>10</v>
      </c>
      <c r="D2766">
        <v>699</v>
      </c>
      <c r="E2766">
        <v>17.399999999999999</v>
      </c>
      <c r="F2766">
        <v>6</v>
      </c>
      <c r="G2766">
        <v>2</v>
      </c>
      <c r="H2766">
        <v>2</v>
      </c>
      <c r="I2766">
        <v>56</v>
      </c>
      <c r="J2766" t="s">
        <v>11</v>
      </c>
    </row>
    <row r="2767" spans="1:10">
      <c r="A2767">
        <v>2766</v>
      </c>
      <c r="B2767" s="1">
        <v>45258</v>
      </c>
      <c r="C2767" t="s">
        <v>12</v>
      </c>
      <c r="D2767">
        <v>199</v>
      </c>
      <c r="E2767">
        <v>11.8</v>
      </c>
      <c r="F2767">
        <v>2</v>
      </c>
      <c r="G2767">
        <v>4</v>
      </c>
      <c r="H2767">
        <v>29</v>
      </c>
      <c r="I2767">
        <v>27</v>
      </c>
      <c r="J2767" t="s">
        <v>11</v>
      </c>
    </row>
    <row r="2768" spans="1:10">
      <c r="A2768">
        <v>2767</v>
      </c>
      <c r="B2768" s="1">
        <v>45588</v>
      </c>
      <c r="C2768" t="s">
        <v>14</v>
      </c>
      <c r="D2768">
        <v>399</v>
      </c>
      <c r="E2768">
        <v>5.3</v>
      </c>
      <c r="F2768">
        <v>0</v>
      </c>
      <c r="G2768">
        <v>0</v>
      </c>
      <c r="H2768">
        <v>13</v>
      </c>
      <c r="I2768">
        <v>17</v>
      </c>
      <c r="J2768" t="s">
        <v>13</v>
      </c>
    </row>
    <row r="2769" spans="1:10">
      <c r="A2769">
        <v>2768</v>
      </c>
      <c r="B2769" s="1">
        <v>45303</v>
      </c>
      <c r="C2769" t="s">
        <v>12</v>
      </c>
      <c r="D2769">
        <v>199</v>
      </c>
      <c r="E2769">
        <v>20.5</v>
      </c>
      <c r="F2769">
        <v>7</v>
      </c>
      <c r="G2769">
        <v>4</v>
      </c>
      <c r="H2769">
        <v>23</v>
      </c>
      <c r="I2769">
        <v>4</v>
      </c>
      <c r="J2769" t="s">
        <v>11</v>
      </c>
    </row>
    <row r="2770" spans="1:10">
      <c r="A2770">
        <v>2769</v>
      </c>
      <c r="B2770" s="1">
        <v>45422</v>
      </c>
      <c r="C2770" t="s">
        <v>14</v>
      </c>
      <c r="D2770">
        <v>399</v>
      </c>
      <c r="E2770">
        <v>16.600000000000001</v>
      </c>
      <c r="F2770">
        <v>0</v>
      </c>
      <c r="G2770">
        <v>0</v>
      </c>
      <c r="H2770">
        <v>34</v>
      </c>
      <c r="I2770">
        <v>1</v>
      </c>
      <c r="J2770" t="s">
        <v>13</v>
      </c>
    </row>
    <row r="2771" spans="1:10">
      <c r="A2771">
        <v>2770</v>
      </c>
      <c r="B2771" s="1">
        <v>45605</v>
      </c>
      <c r="C2771" t="s">
        <v>10</v>
      </c>
      <c r="D2771">
        <v>699</v>
      </c>
      <c r="E2771">
        <v>18.399999999999999</v>
      </c>
      <c r="F2771">
        <v>1</v>
      </c>
      <c r="G2771">
        <v>2</v>
      </c>
      <c r="H2771">
        <v>12</v>
      </c>
      <c r="I2771">
        <v>11</v>
      </c>
      <c r="J2771" t="s">
        <v>11</v>
      </c>
    </row>
    <row r="2772" spans="1:10">
      <c r="A2772">
        <v>2771</v>
      </c>
      <c r="B2772" s="1">
        <v>45053</v>
      </c>
      <c r="C2772" t="s">
        <v>12</v>
      </c>
      <c r="D2772">
        <v>199</v>
      </c>
      <c r="E2772">
        <v>10.9</v>
      </c>
      <c r="F2772">
        <v>4</v>
      </c>
      <c r="G2772">
        <v>1</v>
      </c>
      <c r="H2772">
        <v>8</v>
      </c>
      <c r="I2772">
        <v>36</v>
      </c>
      <c r="J2772" t="s">
        <v>13</v>
      </c>
    </row>
    <row r="2773" spans="1:10">
      <c r="A2773">
        <v>2772</v>
      </c>
      <c r="B2773" s="1">
        <v>45130</v>
      </c>
      <c r="C2773" t="s">
        <v>12</v>
      </c>
      <c r="D2773">
        <v>199</v>
      </c>
      <c r="E2773">
        <v>13.5</v>
      </c>
      <c r="F2773">
        <v>1</v>
      </c>
      <c r="G2773">
        <v>3</v>
      </c>
      <c r="H2773">
        <v>26</v>
      </c>
      <c r="I2773">
        <v>10</v>
      </c>
      <c r="J2773" t="s">
        <v>13</v>
      </c>
    </row>
    <row r="2774" spans="1:10">
      <c r="A2774">
        <v>2773</v>
      </c>
      <c r="B2774" s="1">
        <v>45327</v>
      </c>
      <c r="C2774" t="s">
        <v>12</v>
      </c>
      <c r="D2774">
        <v>199</v>
      </c>
      <c r="E2774">
        <v>9.8000000000000007</v>
      </c>
      <c r="F2774">
        <v>5</v>
      </c>
      <c r="G2774">
        <v>2</v>
      </c>
      <c r="H2774">
        <v>13</v>
      </c>
      <c r="I2774">
        <v>45</v>
      </c>
      <c r="J2774" t="s">
        <v>11</v>
      </c>
    </row>
    <row r="2775" spans="1:10">
      <c r="A2775">
        <v>2774</v>
      </c>
      <c r="B2775" s="1">
        <v>45423</v>
      </c>
      <c r="C2775" t="s">
        <v>12</v>
      </c>
      <c r="D2775">
        <v>199</v>
      </c>
      <c r="E2775">
        <v>15.2</v>
      </c>
      <c r="F2775">
        <v>2</v>
      </c>
      <c r="G2775">
        <v>4</v>
      </c>
      <c r="H2775">
        <v>2</v>
      </c>
      <c r="I2775">
        <v>46</v>
      </c>
      <c r="J2775" t="s">
        <v>13</v>
      </c>
    </row>
    <row r="2776" spans="1:10">
      <c r="A2776">
        <v>2775</v>
      </c>
      <c r="B2776" s="1">
        <v>45602</v>
      </c>
      <c r="C2776" t="s">
        <v>12</v>
      </c>
      <c r="D2776">
        <v>199</v>
      </c>
      <c r="E2776">
        <v>3.6</v>
      </c>
      <c r="F2776">
        <v>5</v>
      </c>
      <c r="G2776">
        <v>4</v>
      </c>
      <c r="H2776">
        <v>23</v>
      </c>
      <c r="I2776">
        <v>22</v>
      </c>
      <c r="J2776" t="s">
        <v>11</v>
      </c>
    </row>
    <row r="2777" spans="1:10">
      <c r="A2777">
        <v>2776</v>
      </c>
      <c r="B2777" s="1">
        <v>45380</v>
      </c>
      <c r="C2777" t="s">
        <v>10</v>
      </c>
      <c r="D2777">
        <v>699</v>
      </c>
      <c r="E2777">
        <v>22.8</v>
      </c>
      <c r="F2777">
        <v>2</v>
      </c>
      <c r="G2777">
        <v>1</v>
      </c>
      <c r="H2777">
        <v>14</v>
      </c>
      <c r="I2777">
        <v>9</v>
      </c>
      <c r="J2777" t="s">
        <v>13</v>
      </c>
    </row>
    <row r="2778" spans="1:10">
      <c r="A2778">
        <v>2777</v>
      </c>
      <c r="B2778" s="1">
        <v>45412</v>
      </c>
      <c r="C2778" t="s">
        <v>12</v>
      </c>
      <c r="D2778">
        <v>199</v>
      </c>
      <c r="E2778">
        <v>22.4</v>
      </c>
      <c r="F2778">
        <v>2</v>
      </c>
      <c r="G2778">
        <v>0</v>
      </c>
      <c r="H2778">
        <v>13</v>
      </c>
      <c r="I2778">
        <v>18</v>
      </c>
      <c r="J2778" t="s">
        <v>13</v>
      </c>
    </row>
    <row r="2779" spans="1:10">
      <c r="A2779">
        <v>2778</v>
      </c>
      <c r="B2779" s="1">
        <v>45016</v>
      </c>
      <c r="C2779" t="s">
        <v>10</v>
      </c>
      <c r="D2779">
        <v>699</v>
      </c>
      <c r="E2779">
        <v>19.7</v>
      </c>
      <c r="F2779">
        <v>3</v>
      </c>
      <c r="G2779">
        <v>1</v>
      </c>
      <c r="H2779">
        <v>15</v>
      </c>
      <c r="I2779">
        <v>14</v>
      </c>
      <c r="J2779" t="s">
        <v>13</v>
      </c>
    </row>
    <row r="2780" spans="1:10">
      <c r="A2780">
        <v>2779</v>
      </c>
      <c r="B2780" s="1">
        <v>45491</v>
      </c>
      <c r="C2780" t="s">
        <v>10</v>
      </c>
      <c r="D2780">
        <v>699</v>
      </c>
      <c r="E2780">
        <v>24.3</v>
      </c>
      <c r="F2780">
        <v>7</v>
      </c>
      <c r="G2780">
        <v>3</v>
      </c>
      <c r="H2780">
        <v>23</v>
      </c>
      <c r="I2780">
        <v>5</v>
      </c>
      <c r="J2780" t="s">
        <v>13</v>
      </c>
    </row>
    <row r="2781" spans="1:10">
      <c r="A2781">
        <v>2780</v>
      </c>
      <c r="B2781" s="1">
        <v>45050</v>
      </c>
      <c r="C2781" t="s">
        <v>14</v>
      </c>
      <c r="D2781">
        <v>399</v>
      </c>
      <c r="E2781">
        <v>13</v>
      </c>
      <c r="F2781">
        <v>6</v>
      </c>
      <c r="G2781">
        <v>4</v>
      </c>
      <c r="H2781">
        <v>3</v>
      </c>
      <c r="I2781">
        <v>31</v>
      </c>
      <c r="J2781" t="s">
        <v>13</v>
      </c>
    </row>
    <row r="2782" spans="1:10">
      <c r="A2782">
        <v>2781</v>
      </c>
      <c r="B2782" s="1">
        <v>45430</v>
      </c>
      <c r="C2782" t="s">
        <v>10</v>
      </c>
      <c r="D2782">
        <v>699</v>
      </c>
      <c r="E2782">
        <v>20.8</v>
      </c>
      <c r="F2782">
        <v>3</v>
      </c>
      <c r="G2782">
        <v>3</v>
      </c>
      <c r="H2782">
        <v>11</v>
      </c>
      <c r="I2782">
        <v>2</v>
      </c>
      <c r="J2782" t="s">
        <v>11</v>
      </c>
    </row>
    <row r="2783" spans="1:10">
      <c r="A2783">
        <v>2782</v>
      </c>
      <c r="B2783" s="1">
        <v>45493</v>
      </c>
      <c r="C2783" t="s">
        <v>12</v>
      </c>
      <c r="D2783">
        <v>199</v>
      </c>
      <c r="E2783">
        <v>10.199999999999999</v>
      </c>
      <c r="F2783">
        <v>5</v>
      </c>
      <c r="G2783">
        <v>5</v>
      </c>
      <c r="H2783">
        <v>10</v>
      </c>
      <c r="I2783">
        <v>54</v>
      </c>
      <c r="J2783" t="s">
        <v>13</v>
      </c>
    </row>
    <row r="2784" spans="1:10">
      <c r="A2784">
        <v>2783</v>
      </c>
      <c r="B2784" s="1">
        <v>45431</v>
      </c>
      <c r="C2784" t="s">
        <v>12</v>
      </c>
      <c r="D2784">
        <v>199</v>
      </c>
      <c r="E2784">
        <v>17.100000000000001</v>
      </c>
      <c r="F2784">
        <v>2</v>
      </c>
      <c r="G2784">
        <v>5</v>
      </c>
      <c r="H2784">
        <v>36</v>
      </c>
      <c r="I2784">
        <v>5</v>
      </c>
      <c r="J2784" t="s">
        <v>13</v>
      </c>
    </row>
    <row r="2785" spans="1:10">
      <c r="A2785">
        <v>2784</v>
      </c>
      <c r="B2785" s="1">
        <v>45339</v>
      </c>
      <c r="C2785" t="s">
        <v>10</v>
      </c>
      <c r="D2785">
        <v>699</v>
      </c>
      <c r="E2785">
        <v>23.1</v>
      </c>
      <c r="F2785">
        <v>4</v>
      </c>
      <c r="G2785">
        <v>4</v>
      </c>
      <c r="H2785">
        <v>28</v>
      </c>
      <c r="I2785">
        <v>55</v>
      </c>
      <c r="J2785" t="s">
        <v>11</v>
      </c>
    </row>
    <row r="2786" spans="1:10">
      <c r="A2786">
        <v>2785</v>
      </c>
      <c r="B2786" s="1">
        <v>45148</v>
      </c>
      <c r="C2786" t="s">
        <v>14</v>
      </c>
      <c r="D2786">
        <v>399</v>
      </c>
      <c r="E2786">
        <v>8.4</v>
      </c>
      <c r="F2786">
        <v>4</v>
      </c>
      <c r="G2786">
        <v>1</v>
      </c>
      <c r="H2786">
        <v>13</v>
      </c>
      <c r="I2786">
        <v>9</v>
      </c>
      <c r="J2786" t="s">
        <v>11</v>
      </c>
    </row>
    <row r="2787" spans="1:10">
      <c r="A2787">
        <v>2786</v>
      </c>
      <c r="B2787" s="1">
        <v>45035</v>
      </c>
      <c r="C2787" t="s">
        <v>10</v>
      </c>
      <c r="D2787">
        <v>699</v>
      </c>
      <c r="E2787">
        <v>4</v>
      </c>
      <c r="F2787">
        <v>2</v>
      </c>
      <c r="G2787">
        <v>5</v>
      </c>
      <c r="H2787">
        <v>10</v>
      </c>
      <c r="I2787">
        <v>32</v>
      </c>
      <c r="J2787" t="s">
        <v>11</v>
      </c>
    </row>
    <row r="2788" spans="1:10">
      <c r="A2788">
        <v>2787</v>
      </c>
      <c r="B2788" s="1">
        <v>45506</v>
      </c>
      <c r="C2788" t="s">
        <v>10</v>
      </c>
      <c r="D2788">
        <v>699</v>
      </c>
      <c r="E2788">
        <v>6.7</v>
      </c>
      <c r="F2788">
        <v>2</v>
      </c>
      <c r="G2788">
        <v>2</v>
      </c>
      <c r="H2788">
        <v>19</v>
      </c>
      <c r="I2788">
        <v>35</v>
      </c>
      <c r="J2788" t="s">
        <v>13</v>
      </c>
    </row>
    <row r="2789" spans="1:10">
      <c r="A2789">
        <v>2788</v>
      </c>
      <c r="B2789" s="1">
        <v>45559</v>
      </c>
      <c r="C2789" t="s">
        <v>12</v>
      </c>
      <c r="D2789">
        <v>199</v>
      </c>
      <c r="E2789">
        <v>4.9000000000000004</v>
      </c>
      <c r="F2789">
        <v>5</v>
      </c>
      <c r="G2789">
        <v>3</v>
      </c>
      <c r="H2789">
        <v>12</v>
      </c>
      <c r="I2789">
        <v>3</v>
      </c>
      <c r="J2789" t="s">
        <v>11</v>
      </c>
    </row>
    <row r="2790" spans="1:10">
      <c r="A2790">
        <v>2789</v>
      </c>
      <c r="B2790" s="1">
        <v>45577</v>
      </c>
      <c r="C2790" t="s">
        <v>14</v>
      </c>
      <c r="D2790">
        <v>399</v>
      </c>
      <c r="E2790">
        <v>9.6</v>
      </c>
      <c r="F2790">
        <v>0</v>
      </c>
      <c r="G2790">
        <v>3</v>
      </c>
      <c r="H2790">
        <v>14</v>
      </c>
      <c r="I2790">
        <v>15</v>
      </c>
      <c r="J2790" t="s">
        <v>13</v>
      </c>
    </row>
    <row r="2791" spans="1:10">
      <c r="A2791">
        <v>2790</v>
      </c>
      <c r="B2791" s="1">
        <v>45471</v>
      </c>
      <c r="C2791" t="s">
        <v>10</v>
      </c>
      <c r="D2791">
        <v>699</v>
      </c>
      <c r="E2791">
        <v>21.7</v>
      </c>
      <c r="F2791">
        <v>3</v>
      </c>
      <c r="G2791">
        <v>0</v>
      </c>
      <c r="H2791">
        <v>31</v>
      </c>
      <c r="I2791">
        <v>54</v>
      </c>
      <c r="J2791" t="s">
        <v>13</v>
      </c>
    </row>
    <row r="2792" spans="1:10">
      <c r="A2792">
        <v>2791</v>
      </c>
      <c r="B2792" s="1">
        <v>44933</v>
      </c>
      <c r="C2792" t="s">
        <v>12</v>
      </c>
      <c r="D2792">
        <v>199</v>
      </c>
      <c r="E2792">
        <v>10.199999999999999</v>
      </c>
      <c r="F2792">
        <v>7</v>
      </c>
      <c r="G2792">
        <v>2</v>
      </c>
      <c r="H2792">
        <v>18</v>
      </c>
      <c r="I2792">
        <v>6</v>
      </c>
      <c r="J2792" t="s">
        <v>13</v>
      </c>
    </row>
    <row r="2793" spans="1:10">
      <c r="A2793">
        <v>2792</v>
      </c>
      <c r="B2793" s="1">
        <v>45502</v>
      </c>
      <c r="C2793" t="s">
        <v>14</v>
      </c>
      <c r="D2793">
        <v>399</v>
      </c>
      <c r="E2793">
        <v>6.1</v>
      </c>
      <c r="F2793">
        <v>8</v>
      </c>
      <c r="G2793">
        <v>2</v>
      </c>
      <c r="H2793">
        <v>21</v>
      </c>
      <c r="I2793">
        <v>49</v>
      </c>
      <c r="J2793" t="s">
        <v>11</v>
      </c>
    </row>
    <row r="2794" spans="1:10">
      <c r="A2794">
        <v>2793</v>
      </c>
      <c r="B2794" s="1">
        <v>45337</v>
      </c>
      <c r="C2794" t="s">
        <v>14</v>
      </c>
      <c r="D2794">
        <v>399</v>
      </c>
      <c r="E2794">
        <v>0.8</v>
      </c>
      <c r="F2794">
        <v>1</v>
      </c>
      <c r="G2794">
        <v>1</v>
      </c>
      <c r="H2794">
        <v>10</v>
      </c>
      <c r="I2794">
        <v>49</v>
      </c>
      <c r="J2794" t="s">
        <v>11</v>
      </c>
    </row>
    <row r="2795" spans="1:10">
      <c r="A2795">
        <v>2794</v>
      </c>
      <c r="B2795" s="1">
        <v>45411</v>
      </c>
      <c r="C2795" t="s">
        <v>10</v>
      </c>
      <c r="D2795">
        <v>699</v>
      </c>
      <c r="E2795">
        <v>13</v>
      </c>
      <c r="F2795">
        <v>4</v>
      </c>
      <c r="G2795">
        <v>5</v>
      </c>
      <c r="H2795">
        <v>4</v>
      </c>
      <c r="I2795">
        <v>25</v>
      </c>
      <c r="J2795" t="s">
        <v>11</v>
      </c>
    </row>
    <row r="2796" spans="1:10">
      <c r="A2796">
        <v>2795</v>
      </c>
      <c r="B2796" s="1">
        <v>44973</v>
      </c>
      <c r="C2796" t="s">
        <v>10</v>
      </c>
      <c r="D2796">
        <v>699</v>
      </c>
      <c r="E2796">
        <v>10</v>
      </c>
      <c r="F2796">
        <v>5</v>
      </c>
      <c r="G2796">
        <v>5</v>
      </c>
      <c r="H2796">
        <v>24</v>
      </c>
      <c r="I2796">
        <v>17</v>
      </c>
      <c r="J2796" t="s">
        <v>13</v>
      </c>
    </row>
    <row r="2797" spans="1:10">
      <c r="A2797">
        <v>2796</v>
      </c>
      <c r="B2797" s="1">
        <v>44995</v>
      </c>
      <c r="C2797" t="s">
        <v>14</v>
      </c>
      <c r="D2797">
        <v>399</v>
      </c>
      <c r="E2797">
        <v>6.7</v>
      </c>
      <c r="F2797">
        <v>1</v>
      </c>
      <c r="G2797">
        <v>1</v>
      </c>
      <c r="H2797">
        <v>21</v>
      </c>
      <c r="I2797">
        <v>59</v>
      </c>
      <c r="J2797" t="s">
        <v>13</v>
      </c>
    </row>
    <row r="2798" spans="1:10">
      <c r="A2798">
        <v>2797</v>
      </c>
      <c r="B2798" s="1">
        <v>45616</v>
      </c>
      <c r="C2798" t="s">
        <v>14</v>
      </c>
      <c r="D2798">
        <v>399</v>
      </c>
      <c r="E2798">
        <v>11</v>
      </c>
      <c r="F2798">
        <v>4</v>
      </c>
      <c r="G2798">
        <v>0</v>
      </c>
      <c r="H2798">
        <v>6</v>
      </c>
      <c r="I2798">
        <v>4</v>
      </c>
      <c r="J2798" t="s">
        <v>13</v>
      </c>
    </row>
    <row r="2799" spans="1:10">
      <c r="A2799">
        <v>2798</v>
      </c>
      <c r="B2799" s="1">
        <v>45517</v>
      </c>
      <c r="C2799" t="s">
        <v>14</v>
      </c>
      <c r="D2799">
        <v>399</v>
      </c>
      <c r="E2799">
        <v>11</v>
      </c>
      <c r="F2799">
        <v>0</v>
      </c>
      <c r="G2799">
        <v>4</v>
      </c>
      <c r="H2799">
        <v>22</v>
      </c>
      <c r="I2799">
        <v>59</v>
      </c>
      <c r="J2799" t="s">
        <v>13</v>
      </c>
    </row>
    <row r="2800" spans="1:10">
      <c r="A2800">
        <v>2799</v>
      </c>
      <c r="B2800" s="1">
        <v>45435</v>
      </c>
      <c r="C2800" t="s">
        <v>10</v>
      </c>
      <c r="D2800">
        <v>699</v>
      </c>
      <c r="E2800">
        <v>15</v>
      </c>
      <c r="F2800">
        <v>3</v>
      </c>
      <c r="G2800">
        <v>4</v>
      </c>
      <c r="H2800">
        <v>25</v>
      </c>
      <c r="I2800">
        <v>20</v>
      </c>
      <c r="J2800" t="s">
        <v>13</v>
      </c>
    </row>
    <row r="2801" spans="1:10">
      <c r="A2801">
        <v>2800</v>
      </c>
      <c r="B2801" s="1">
        <v>45372</v>
      </c>
      <c r="C2801" t="s">
        <v>14</v>
      </c>
      <c r="D2801">
        <v>399</v>
      </c>
      <c r="E2801">
        <v>2</v>
      </c>
      <c r="F2801">
        <v>0</v>
      </c>
      <c r="G2801">
        <v>1</v>
      </c>
      <c r="H2801">
        <v>12</v>
      </c>
      <c r="I2801">
        <v>1</v>
      </c>
      <c r="J280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28F17-E86D-40E4-AC10-1F4CA18B0A01}">
  <dimension ref="A1:O2801"/>
  <sheetViews>
    <sheetView tabSelected="1" topLeftCell="H1" workbookViewId="0">
      <selection activeCell="O3" sqref="O3"/>
    </sheetView>
  </sheetViews>
  <sheetFormatPr defaultRowHeight="15" customHeight="1" zeroHeight="1"/>
  <cols>
    <col min="1" max="1" width="10" bestFit="1" customWidth="1"/>
    <col min="2" max="2" width="18" customWidth="1"/>
    <col min="3" max="3" width="24.42578125" bestFit="1" customWidth="1"/>
    <col min="4" max="4" width="28.7109375" customWidth="1"/>
    <col min="5" max="5" width="31" customWidth="1"/>
    <col min="6" max="6" width="19" bestFit="1" customWidth="1"/>
    <col min="7" max="8" width="30.7109375" bestFit="1" customWidth="1"/>
    <col min="9" max="9" width="27.7109375" bestFit="1" customWidth="1"/>
    <col min="10" max="10" width="29.42578125" bestFit="1" customWidth="1"/>
    <col min="11" max="11" width="24.7109375" customWidth="1"/>
    <col min="12" max="12" width="14.7109375" style="2" bestFit="1" customWidth="1"/>
    <col min="13" max="13" width="22.42578125" bestFit="1" customWidth="1"/>
    <col min="14" max="14" width="30.7109375" bestFit="1" customWidth="1"/>
    <col min="15" max="15" width="12.7109375" customWidth="1"/>
    <col min="16" max="16" width="11.42578125" customWidth="1"/>
  </cols>
  <sheetData>
    <row r="1" spans="1:15">
      <c r="A1" s="4" t="s">
        <v>0</v>
      </c>
      <c r="B1" s="4" t="s">
        <v>15</v>
      </c>
      <c r="C1" s="4" t="s">
        <v>16</v>
      </c>
      <c r="D1" s="4" t="s">
        <v>17</v>
      </c>
      <c r="E1" s="9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7" t="s">
        <v>26</v>
      </c>
      <c r="N1" s="7" t="s">
        <v>27</v>
      </c>
    </row>
    <row r="2" spans="1:15">
      <c r="A2">
        <v>1</v>
      </c>
      <c r="B2" t="s">
        <v>28</v>
      </c>
      <c r="C2" s="1">
        <v>45021</v>
      </c>
      <c r="D2" s="8">
        <v>45021</v>
      </c>
      <c r="E2" s="8">
        <f>IF(B2="Inactive", EDATE(D2,K2), "")</f>
        <v>45112</v>
      </c>
      <c r="F2" t="s">
        <v>10</v>
      </c>
      <c r="G2">
        <v>1.1000000000000001</v>
      </c>
      <c r="H2" t="str" cm="1">
        <f t="array" ref="H2">_xlfn.IFS(G2&gt;=20,"20-25", G2&gt;=15,"15-20", G2&gt;=10,"10-15", G2&gt;=5,"5-10", G2&gt;=1,"1-5", G2&lt;1,"Less than 1")</f>
        <v>1-5</v>
      </c>
      <c r="I2">
        <v>4</v>
      </c>
      <c r="J2">
        <v>1</v>
      </c>
      <c r="K2" s="6">
        <v>3</v>
      </c>
      <c r="L2" s="2">
        <v>6.99</v>
      </c>
      <c r="M2" s="6">
        <v>14</v>
      </c>
      <c r="N2" t="str" cm="1">
        <f t="array" ref="N2">_xlfn.IFS(M2&gt;=50,"50-60 Days", M2&gt;=40,"40-50 Days", M2&gt;=30, "30-40 Days", M2&gt;=20, "20-30 Days", M2&gt;=10, "10-20 Days", M2&gt;=0, "0-10 Days")</f>
        <v>10-20 Days</v>
      </c>
      <c r="O2">
        <f>SUM(I2:I2801)</f>
        <v>10886</v>
      </c>
    </row>
    <row r="3" spans="1:15">
      <c r="A3">
        <v>2</v>
      </c>
      <c r="B3" t="s">
        <v>28</v>
      </c>
      <c r="C3" s="5">
        <v>45165</v>
      </c>
      <c r="D3" s="8">
        <v>45165</v>
      </c>
      <c r="E3" s="8">
        <f>IF(B3="Inactive", EDATE(D3,K3), "")</f>
        <v>45531</v>
      </c>
      <c r="F3" t="s">
        <v>10</v>
      </c>
      <c r="G3">
        <v>2.6</v>
      </c>
      <c r="H3" t="str" cm="1">
        <f t="array" ref="H3">_xlfn.IFS(G3&gt;=20,"20-25", G3&gt;=15,"15-20", G3&gt;=10,"10-15", G3&gt;=5,"5-10", G3&gt;=1,"1-5", G3&lt;1,"Less than 1")</f>
        <v>1-5</v>
      </c>
      <c r="I3">
        <v>6</v>
      </c>
      <c r="J3">
        <v>0</v>
      </c>
      <c r="K3" s="6">
        <v>12</v>
      </c>
      <c r="L3" s="2">
        <v>6.99</v>
      </c>
      <c r="M3" s="6">
        <v>1</v>
      </c>
      <c r="N3" t="str" cm="1">
        <f t="array" ref="N3">_xlfn.IFS(M3&gt;=50,"50-60 Days", M3&gt;=40,"40-50 Days", M3&gt;=30, "30-40 Days", M3&gt;=20, "20-30 Days", M3&gt;=10, "10-20 Days", M3&gt;=0, "0-10 Days")</f>
        <v>0-10 Days</v>
      </c>
    </row>
    <row r="4" spans="1:15">
      <c r="A4">
        <v>3</v>
      </c>
      <c r="B4" t="s">
        <v>28</v>
      </c>
      <c r="C4" s="5">
        <v>45211</v>
      </c>
      <c r="D4" s="8">
        <v>45211</v>
      </c>
      <c r="E4" s="8">
        <f>IF(B4="Inactive", EDATE(D4,K4), "")</f>
        <v>45242</v>
      </c>
      <c r="F4" t="s">
        <v>10</v>
      </c>
      <c r="G4">
        <v>14.3</v>
      </c>
      <c r="H4" t="str" cm="1">
        <f t="array" ref="H4">_xlfn.IFS(G4&gt;=20,"20-25", G4&gt;=15,"15-20", G4&gt;=10,"10-15", G4&gt;=5,"5-10", G4&gt;=1,"1-5", G4&lt;1,"Less than 1")</f>
        <v>10-15</v>
      </c>
      <c r="I4">
        <v>8</v>
      </c>
      <c r="J4">
        <v>3</v>
      </c>
      <c r="K4" s="6">
        <v>1</v>
      </c>
      <c r="L4" s="2">
        <v>6.99</v>
      </c>
      <c r="M4" s="6">
        <v>14</v>
      </c>
      <c r="N4" t="str" cm="1">
        <f t="array" ref="N4">_xlfn.IFS(M4&gt;=50,"50-60 Days", M4&gt;=40,"40-50 Days", M4&gt;=30, "30-40 Days", M4&gt;=20, "20-30 Days", M4&gt;=10, "10-20 Days", M4&gt;=0, "0-10 Days")</f>
        <v>10-20 Days</v>
      </c>
    </row>
    <row r="5" spans="1:15">
      <c r="A5">
        <v>4</v>
      </c>
      <c r="B5" t="s">
        <v>28</v>
      </c>
      <c r="C5" s="5">
        <v>45271</v>
      </c>
      <c r="D5" s="8">
        <v>45271</v>
      </c>
      <c r="E5" s="8">
        <f>IF(B5="Inactive", EDATE(D5,K5), "")</f>
        <v>45393</v>
      </c>
      <c r="F5" t="s">
        <v>12</v>
      </c>
      <c r="G5">
        <v>17.600000000000001</v>
      </c>
      <c r="H5" t="str" cm="1">
        <f t="array" ref="H5">_xlfn.IFS(G5&gt;=20,"20-25", G5&gt;=15,"15-20", G5&gt;=10,"10-15", G5&gt;=5,"5-10", G5&gt;=1,"1-5", G5&lt;1,"Less than 1")</f>
        <v>15-20</v>
      </c>
      <c r="I5">
        <v>5</v>
      </c>
      <c r="J5">
        <v>2</v>
      </c>
      <c r="K5" s="6">
        <v>4</v>
      </c>
      <c r="L5" s="2">
        <v>1.99</v>
      </c>
      <c r="M5" s="6">
        <v>9</v>
      </c>
      <c r="N5" t="str" cm="1">
        <f t="array" ref="N5">_xlfn.IFS(M5&gt;=50,"50-60 Days", M5&gt;=40,"40-50 Days", M5&gt;=30, "30-40 Days", M5&gt;=20, "20-30 Days", M5&gt;=10, "10-20 Days", M5&gt;=0, "0-10 Days")</f>
        <v>0-10 Days</v>
      </c>
    </row>
    <row r="6" spans="1:15">
      <c r="A6">
        <v>5</v>
      </c>
      <c r="B6" t="s">
        <v>28</v>
      </c>
      <c r="C6" s="5">
        <v>44971</v>
      </c>
      <c r="D6" s="8">
        <v>44971</v>
      </c>
      <c r="E6" s="8">
        <f>IF(B6="Inactive", EDATE(D6,K6), "")</f>
        <v>45030</v>
      </c>
      <c r="F6" t="s">
        <v>12</v>
      </c>
      <c r="G6">
        <v>9.8000000000000007</v>
      </c>
      <c r="H6" t="str" cm="1">
        <f t="array" ref="H6">_xlfn.IFS(G6&gt;=20,"20-25", G6&gt;=15,"15-20", G6&gt;=10,"10-15", G6&gt;=5,"5-10", G6&gt;=1,"1-5", G6&lt;1,"Less than 1")</f>
        <v>5-10</v>
      </c>
      <c r="I6">
        <v>5</v>
      </c>
      <c r="J6">
        <v>2</v>
      </c>
      <c r="K6" s="6">
        <v>2</v>
      </c>
      <c r="L6" s="2">
        <v>1.99</v>
      </c>
      <c r="M6" s="6">
        <v>38</v>
      </c>
      <c r="N6" t="str" cm="1">
        <f t="array" ref="N6">_xlfn.IFS(M6&gt;=50,"50-60 Days", M6&gt;=40,"40-50 Days", M6&gt;=30, "30-40 Days", M6&gt;=20, "20-30 Days", M6&gt;=10, "10-20 Days", M6&gt;=0, "0-10 Days")</f>
        <v>30-40 Days</v>
      </c>
    </row>
    <row r="7" spans="1:15">
      <c r="A7">
        <v>6</v>
      </c>
      <c r="B7" t="s">
        <v>28</v>
      </c>
      <c r="C7" s="5">
        <v>45570</v>
      </c>
      <c r="D7" s="8">
        <v>45570</v>
      </c>
      <c r="E7" s="8">
        <f>IF(B7="Inactive", EDATE(D7,K7), "")</f>
        <v>45874</v>
      </c>
      <c r="F7" t="s">
        <v>10</v>
      </c>
      <c r="G7">
        <v>13.6</v>
      </c>
      <c r="H7" t="str" cm="1">
        <f t="array" ref="H7">_xlfn.IFS(G7&gt;=20,"20-25", G7&gt;=15,"15-20", G7&gt;=10,"10-15", G7&gt;=5,"5-10", G7&gt;=1,"1-5", G7&lt;1,"Less than 1")</f>
        <v>10-15</v>
      </c>
      <c r="I7">
        <v>6</v>
      </c>
      <c r="J7">
        <v>0</v>
      </c>
      <c r="K7" s="6">
        <v>10</v>
      </c>
      <c r="L7" s="2">
        <v>6.99</v>
      </c>
      <c r="M7" s="6">
        <v>35</v>
      </c>
      <c r="N7" t="str" cm="1">
        <f t="array" ref="N7">_xlfn.IFS(M7&gt;=50,"50-60 Days", M7&gt;=40,"40-50 Days", M7&gt;=30, "30-40 Days", M7&gt;=20, "20-30 Days", M7&gt;=10, "10-20 Days", M7&gt;=0, "0-10 Days")</f>
        <v>30-40 Days</v>
      </c>
    </row>
    <row r="8" spans="1:15">
      <c r="A8">
        <v>7</v>
      </c>
      <c r="B8" t="s">
        <v>28</v>
      </c>
      <c r="C8" s="5">
        <v>45223</v>
      </c>
      <c r="D8" s="8">
        <v>45223</v>
      </c>
      <c r="E8" s="8">
        <f>IF(B8="Inactive", EDATE(D8,K8), "")</f>
        <v>45467</v>
      </c>
      <c r="F8" t="s">
        <v>10</v>
      </c>
      <c r="G8">
        <v>14.6</v>
      </c>
      <c r="H8" t="str" cm="1">
        <f t="array" ref="H8">_xlfn.IFS(G8&gt;=20,"20-25", G8&gt;=15,"15-20", G8&gt;=10,"10-15", G8&gt;=5,"5-10", G8&gt;=1,"1-5", G8&lt;1,"Less than 1")</f>
        <v>10-15</v>
      </c>
      <c r="I8">
        <v>1</v>
      </c>
      <c r="J8">
        <v>0</v>
      </c>
      <c r="K8" s="6">
        <v>8</v>
      </c>
      <c r="L8" s="2">
        <v>6.99</v>
      </c>
      <c r="M8" s="6">
        <v>42</v>
      </c>
      <c r="N8" t="str" cm="1">
        <f t="array" ref="N8">_xlfn.IFS(M8&gt;=50,"50-60 Days", M8&gt;=40,"40-50 Days", M8&gt;=30, "30-40 Days", M8&gt;=20, "20-30 Days", M8&gt;=10, "10-20 Days", M8&gt;=0, "0-10 Days")</f>
        <v>40-50 Days</v>
      </c>
    </row>
    <row r="9" spans="1:15">
      <c r="A9">
        <v>8</v>
      </c>
      <c r="B9" t="s">
        <v>28</v>
      </c>
      <c r="C9" s="5">
        <v>45300</v>
      </c>
      <c r="D9" s="8">
        <v>45300</v>
      </c>
      <c r="E9" s="8">
        <f>IF(B9="Inactive", EDATE(D9,K9), "")</f>
        <v>45452</v>
      </c>
      <c r="F9" t="s">
        <v>12</v>
      </c>
      <c r="G9">
        <v>21.7</v>
      </c>
      <c r="H9" t="str" cm="1">
        <f t="array" ref="H9">_xlfn.IFS(G9&gt;=20,"20-25", G9&gt;=15,"15-20", G9&gt;=10,"10-15", G9&gt;=5,"5-10", G9&gt;=1,"1-5", G9&lt;1,"Less than 1")</f>
        <v>20-25</v>
      </c>
      <c r="I9">
        <v>6</v>
      </c>
      <c r="J9">
        <v>2</v>
      </c>
      <c r="K9" s="6">
        <v>5</v>
      </c>
      <c r="L9" s="2">
        <v>1.99</v>
      </c>
      <c r="M9" s="6">
        <v>29</v>
      </c>
      <c r="N9" t="str" cm="1">
        <f t="array" ref="N9">_xlfn.IFS(M9&gt;=50,"50-60 Days", M9&gt;=40,"40-50 Days", M9&gt;=30, "30-40 Days", M9&gt;=20, "20-30 Days", M9&gt;=10, "10-20 Days", M9&gt;=0, "0-10 Days")</f>
        <v>20-30 Days</v>
      </c>
    </row>
    <row r="10" spans="1:15">
      <c r="A10">
        <v>9</v>
      </c>
      <c r="B10" t="s">
        <v>28</v>
      </c>
      <c r="C10" s="5">
        <v>45000</v>
      </c>
      <c r="D10" s="8">
        <v>45000</v>
      </c>
      <c r="E10" s="8">
        <f>IF(B10="Inactive", EDATE(D10,K10), "")</f>
        <v>45245</v>
      </c>
      <c r="F10" t="s">
        <v>12</v>
      </c>
      <c r="G10">
        <v>9.1999999999999993</v>
      </c>
      <c r="H10" t="str" cm="1">
        <f t="array" ref="H10">_xlfn.IFS(G10&gt;=20,"20-25", G10&gt;=15,"15-20", G10&gt;=10,"10-15", G10&gt;=5,"5-10", G10&gt;=1,"1-5", G10&lt;1,"Less than 1")</f>
        <v>5-10</v>
      </c>
      <c r="I10">
        <v>4</v>
      </c>
      <c r="J10">
        <v>5</v>
      </c>
      <c r="K10" s="6">
        <v>8</v>
      </c>
      <c r="L10" s="2">
        <v>1.99</v>
      </c>
      <c r="M10" s="6">
        <v>59</v>
      </c>
      <c r="N10" t="str" cm="1">
        <f t="array" ref="N10">_xlfn.IFS(M10&gt;=50,"50-60 Days", M10&gt;=40,"40-50 Days", M10&gt;=30, "30-40 Days", M10&gt;=20, "20-30 Days", M10&gt;=10, "10-20 Days", M10&gt;=0, "0-10 Days")</f>
        <v>50-60 Days</v>
      </c>
    </row>
    <row r="11" spans="1:15">
      <c r="A11">
        <v>10</v>
      </c>
      <c r="B11" t="s">
        <v>29</v>
      </c>
      <c r="C11" s="5">
        <v>45582</v>
      </c>
      <c r="D11" s="8">
        <v>45582</v>
      </c>
      <c r="E11" s="8" t="str">
        <f>IF(B11="Inactive", EDATE(D11,K11), "")</f>
        <v/>
      </c>
      <c r="F11" t="s">
        <v>10</v>
      </c>
      <c r="G11">
        <v>13.6</v>
      </c>
      <c r="H11" t="str" cm="1">
        <f t="array" ref="H11">_xlfn.IFS(G11&gt;=20,"20-25", G11&gt;=15,"15-20", G11&gt;=10,"10-15", G11&gt;=5,"5-10", G11&gt;=1,"1-5", G11&lt;1,"Less than 1")</f>
        <v>10-15</v>
      </c>
      <c r="I11">
        <v>3</v>
      </c>
      <c r="J11">
        <v>1</v>
      </c>
      <c r="K11" s="6">
        <v>4</v>
      </c>
      <c r="L11" s="2">
        <v>6.99</v>
      </c>
      <c r="M11" s="6">
        <v>29</v>
      </c>
      <c r="N11" t="str" cm="1">
        <f t="array" ref="N11">_xlfn.IFS(M11&gt;=50,"50-60 Days", M11&gt;=40,"40-50 Days", M11&gt;=30, "30-40 Days", M11&gt;=20, "20-30 Days", M11&gt;=10, "10-20 Days", M11&gt;=0, "0-10 Days")</f>
        <v>20-30 Days</v>
      </c>
    </row>
    <row r="12" spans="1:15">
      <c r="A12">
        <v>11</v>
      </c>
      <c r="B12" t="s">
        <v>29</v>
      </c>
      <c r="C12" s="5">
        <v>45250</v>
      </c>
      <c r="D12" s="8">
        <v>45250</v>
      </c>
      <c r="E12" s="8" t="str">
        <f>IF(B12="Inactive", EDATE(D12,K12), "")</f>
        <v/>
      </c>
      <c r="F12" t="s">
        <v>10</v>
      </c>
      <c r="G12">
        <v>5.9</v>
      </c>
      <c r="H12" t="str" cm="1">
        <f t="array" ref="H12">_xlfn.IFS(G12&gt;=20,"20-25", G12&gt;=15,"15-20", G12&gt;=10,"10-15", G12&gt;=5,"5-10", G12&gt;=1,"1-5", G12&lt;1,"Less than 1")</f>
        <v>5-10</v>
      </c>
      <c r="I12">
        <v>5</v>
      </c>
      <c r="J12">
        <v>0</v>
      </c>
      <c r="K12" s="6">
        <v>12</v>
      </c>
      <c r="L12" s="2">
        <v>6.99</v>
      </c>
      <c r="M12" s="6">
        <v>14</v>
      </c>
      <c r="N12" t="str" cm="1">
        <f t="array" ref="N12">_xlfn.IFS(M12&gt;=50,"50-60 Days", M12&gt;=40,"40-50 Days", M12&gt;=30, "30-40 Days", M12&gt;=20, "20-30 Days", M12&gt;=10, "10-20 Days", M12&gt;=0, "0-10 Days")</f>
        <v>10-20 Days</v>
      </c>
    </row>
    <row r="13" spans="1:15">
      <c r="A13">
        <v>12</v>
      </c>
      <c r="B13" t="s">
        <v>28</v>
      </c>
      <c r="C13" s="5">
        <v>45585</v>
      </c>
      <c r="D13" s="8">
        <v>45585</v>
      </c>
      <c r="E13" s="8">
        <f>IF(B13="Inactive", EDATE(D13,K13), "")</f>
        <v>45767</v>
      </c>
      <c r="F13" t="s">
        <v>14</v>
      </c>
      <c r="G13">
        <v>2.1</v>
      </c>
      <c r="H13" t="str" cm="1">
        <f t="array" ref="H13">_xlfn.IFS(G13&gt;=20,"20-25", G13&gt;=15,"15-20", G13&gt;=10,"10-15", G13&gt;=5,"5-10", G13&gt;=1,"1-5", G13&lt;1,"Less than 1")</f>
        <v>1-5</v>
      </c>
      <c r="I13">
        <v>5</v>
      </c>
      <c r="J13">
        <v>1</v>
      </c>
      <c r="K13" s="6">
        <v>6</v>
      </c>
      <c r="L13" s="2">
        <v>3.99</v>
      </c>
      <c r="M13" s="6">
        <v>41</v>
      </c>
      <c r="N13" t="str" cm="1">
        <f t="array" ref="N13">_xlfn.IFS(M13&gt;=50,"50-60 Days", M13&gt;=40,"40-50 Days", M13&gt;=30, "30-40 Days", M13&gt;=20, "20-30 Days", M13&gt;=10, "10-20 Days", M13&gt;=0, "0-10 Days")</f>
        <v>40-50 Days</v>
      </c>
    </row>
    <row r="14" spans="1:15">
      <c r="A14">
        <v>13</v>
      </c>
      <c r="B14" t="s">
        <v>28</v>
      </c>
      <c r="C14" s="5">
        <v>45525</v>
      </c>
      <c r="D14" s="8">
        <v>45525</v>
      </c>
      <c r="E14" s="8">
        <f>IF(B14="Inactive", EDATE(D14,K14), "")</f>
        <v>45647</v>
      </c>
      <c r="F14" t="s">
        <v>14</v>
      </c>
      <c r="G14">
        <v>7</v>
      </c>
      <c r="H14" t="str" cm="1">
        <f t="array" ref="H14">_xlfn.IFS(G14&gt;=20,"20-25", G14&gt;=15,"15-20", G14&gt;=10,"10-15", G14&gt;=5,"5-10", G14&gt;=1,"1-5", G14&lt;1,"Less than 1")</f>
        <v>5-10</v>
      </c>
      <c r="I14">
        <v>3</v>
      </c>
      <c r="J14">
        <v>5</v>
      </c>
      <c r="K14" s="6">
        <v>4</v>
      </c>
      <c r="L14" s="2">
        <v>3.99</v>
      </c>
      <c r="M14" s="6">
        <v>35</v>
      </c>
      <c r="N14" t="str" cm="1">
        <f t="array" ref="N14">_xlfn.IFS(M14&gt;=50,"50-60 Days", M14&gt;=40,"40-50 Days", M14&gt;=30, "30-40 Days", M14&gt;=20, "20-30 Days", M14&gt;=10, "10-20 Days", M14&gt;=0, "0-10 Days")</f>
        <v>30-40 Days</v>
      </c>
    </row>
    <row r="15" spans="1:15">
      <c r="A15">
        <v>14</v>
      </c>
      <c r="B15" t="s">
        <v>28</v>
      </c>
      <c r="C15" s="5">
        <v>44975</v>
      </c>
      <c r="D15" s="8">
        <v>44975</v>
      </c>
      <c r="E15" s="8">
        <f>IF(B15="Inactive", EDATE(D15,K15), "")</f>
        <v>45248</v>
      </c>
      <c r="F15" t="s">
        <v>14</v>
      </c>
      <c r="G15">
        <v>9.4</v>
      </c>
      <c r="H15" t="str" cm="1">
        <f t="array" ref="H15">_xlfn.IFS(G15&gt;=20,"20-25", G15&gt;=15,"15-20", G15&gt;=10,"10-15", G15&gt;=5,"5-10", G15&gt;=1,"1-5", G15&lt;1,"Less than 1")</f>
        <v>5-10</v>
      </c>
      <c r="I15">
        <v>2</v>
      </c>
      <c r="J15">
        <v>4</v>
      </c>
      <c r="K15" s="6">
        <v>9</v>
      </c>
      <c r="L15" s="2">
        <v>3.99</v>
      </c>
      <c r="M15" s="6">
        <v>31</v>
      </c>
      <c r="N15" t="str" cm="1">
        <f t="array" ref="N15">_xlfn.IFS(M15&gt;=50,"50-60 Days", M15&gt;=40,"40-50 Days", M15&gt;=30, "30-40 Days", M15&gt;=20, "20-30 Days", M15&gt;=10, "10-20 Days", M15&gt;=0, "0-10 Days")</f>
        <v>30-40 Days</v>
      </c>
    </row>
    <row r="16" spans="1:15">
      <c r="A16">
        <v>15</v>
      </c>
      <c r="B16" t="s">
        <v>28</v>
      </c>
      <c r="C16" s="5">
        <v>45537</v>
      </c>
      <c r="D16" s="8">
        <v>45537</v>
      </c>
      <c r="E16" s="8">
        <f>IF(B16="Inactive", EDATE(D16,K16), "")</f>
        <v>45659</v>
      </c>
      <c r="F16" t="s">
        <v>12</v>
      </c>
      <c r="G16">
        <v>15.9</v>
      </c>
      <c r="H16" t="str" cm="1">
        <f t="array" ref="H16">_xlfn.IFS(G16&gt;=20,"20-25", G16&gt;=15,"15-20", G16&gt;=10,"10-15", G16&gt;=5,"5-10", G16&gt;=1,"1-5", G16&lt;1,"Less than 1")</f>
        <v>15-20</v>
      </c>
      <c r="I16">
        <v>6</v>
      </c>
      <c r="J16">
        <v>4</v>
      </c>
      <c r="K16" s="6">
        <v>4</v>
      </c>
      <c r="L16" s="2">
        <v>1.99</v>
      </c>
      <c r="M16" s="6">
        <v>4</v>
      </c>
      <c r="N16" t="str" cm="1">
        <f t="array" ref="N16">_xlfn.IFS(M16&gt;=50,"50-60 Days", M16&gt;=40,"40-50 Days", M16&gt;=30, "30-40 Days", M16&gt;=20, "20-30 Days", M16&gt;=10, "10-20 Days", M16&gt;=0, "0-10 Days")</f>
        <v>0-10 Days</v>
      </c>
    </row>
    <row r="17" spans="1:14">
      <c r="A17">
        <v>16</v>
      </c>
      <c r="B17" t="s">
        <v>29</v>
      </c>
      <c r="C17" s="5">
        <v>45625</v>
      </c>
      <c r="D17" s="8">
        <v>45625</v>
      </c>
      <c r="E17" s="8" t="str">
        <f>IF(B17="Inactive", EDATE(D17,K17), "")</f>
        <v/>
      </c>
      <c r="F17" t="s">
        <v>14</v>
      </c>
      <c r="G17">
        <v>6.7</v>
      </c>
      <c r="H17" t="str" cm="1">
        <f t="array" ref="H17">_xlfn.IFS(G17&gt;=20,"20-25", G17&gt;=15,"15-20", G17&gt;=10,"10-15", G17&gt;=5,"5-10", G17&gt;=1,"1-5", G17&lt;1,"Less than 1")</f>
        <v>5-10</v>
      </c>
      <c r="I17">
        <v>8</v>
      </c>
      <c r="J17">
        <v>0</v>
      </c>
      <c r="K17" s="6">
        <v>12</v>
      </c>
      <c r="L17" s="2">
        <v>3.99</v>
      </c>
      <c r="M17" s="6">
        <v>43</v>
      </c>
      <c r="N17" t="str" cm="1">
        <f t="array" ref="N17">_xlfn.IFS(M17&gt;=50,"50-60 Days", M17&gt;=40,"40-50 Days", M17&gt;=30, "30-40 Days", M17&gt;=20, "20-30 Days", M17&gt;=10, "10-20 Days", M17&gt;=0, "0-10 Days")</f>
        <v>40-50 Days</v>
      </c>
    </row>
    <row r="18" spans="1:14">
      <c r="A18">
        <v>17</v>
      </c>
      <c r="B18" t="s">
        <v>29</v>
      </c>
      <c r="C18" s="5">
        <v>45391</v>
      </c>
      <c r="D18" s="8">
        <v>45391</v>
      </c>
      <c r="E18" s="8" t="str">
        <f>IF(B18="Inactive", EDATE(D18,K18), "")</f>
        <v/>
      </c>
      <c r="F18" t="s">
        <v>10</v>
      </c>
      <c r="G18">
        <v>19.3</v>
      </c>
      <c r="H18" t="str" cm="1">
        <f t="array" ref="H18">_xlfn.IFS(G18&gt;=20,"20-25", G18&gt;=15,"15-20", G18&gt;=10,"10-15", G18&gt;=5,"5-10", G18&gt;=1,"1-5", G18&lt;1,"Less than 1")</f>
        <v>15-20</v>
      </c>
      <c r="I18">
        <v>5</v>
      </c>
      <c r="J18">
        <v>0</v>
      </c>
      <c r="K18" s="6">
        <v>6</v>
      </c>
      <c r="L18" s="2">
        <v>6.99</v>
      </c>
      <c r="M18" s="6">
        <v>18</v>
      </c>
      <c r="N18" t="str" cm="1">
        <f t="array" ref="N18">_xlfn.IFS(M18&gt;=50,"50-60 Days", M18&gt;=40,"40-50 Days", M18&gt;=30, "30-40 Days", M18&gt;=20, "20-30 Days", M18&gt;=10, "10-20 Days", M18&gt;=0, "0-10 Days")</f>
        <v>10-20 Days</v>
      </c>
    </row>
    <row r="19" spans="1:14">
      <c r="A19">
        <v>18</v>
      </c>
      <c r="B19" t="s">
        <v>28</v>
      </c>
      <c r="C19" s="5">
        <v>45567</v>
      </c>
      <c r="D19" s="8">
        <v>45567</v>
      </c>
      <c r="E19" s="8">
        <f>IF(B19="Inactive", EDATE(D19,K19), "")</f>
        <v>45749</v>
      </c>
      <c r="F19" t="s">
        <v>12</v>
      </c>
      <c r="G19">
        <v>24.3</v>
      </c>
      <c r="H19" t="str" cm="1">
        <f t="array" ref="H19">_xlfn.IFS(G19&gt;=20,"20-25", G19&gt;=15,"15-20", G19&gt;=10,"10-15", G19&gt;=5,"5-10", G19&gt;=1,"1-5", G19&lt;1,"Less than 1")</f>
        <v>20-25</v>
      </c>
      <c r="I19">
        <v>2</v>
      </c>
      <c r="J19">
        <v>4</v>
      </c>
      <c r="K19" s="6">
        <v>6</v>
      </c>
      <c r="L19" s="2">
        <v>1.99</v>
      </c>
      <c r="M19" s="6">
        <v>58</v>
      </c>
      <c r="N19" t="str" cm="1">
        <f t="array" ref="N19">_xlfn.IFS(M19&gt;=50,"50-60 Days", M19&gt;=40,"40-50 Days", M19&gt;=30, "30-40 Days", M19&gt;=20, "20-30 Days", M19&gt;=10, "10-20 Days", M19&gt;=0, "0-10 Days")</f>
        <v>50-60 Days</v>
      </c>
    </row>
    <row r="20" spans="1:14">
      <c r="A20">
        <v>19</v>
      </c>
      <c r="B20" t="s">
        <v>28</v>
      </c>
      <c r="C20" s="5">
        <v>45470</v>
      </c>
      <c r="D20" s="8">
        <v>45470</v>
      </c>
      <c r="E20" s="8">
        <f>IF(B20="Inactive", EDATE(D20,K20), "")</f>
        <v>45804</v>
      </c>
      <c r="F20" t="s">
        <v>14</v>
      </c>
      <c r="G20">
        <v>15.4</v>
      </c>
      <c r="H20" t="str" cm="1">
        <f t="array" ref="H20">_xlfn.IFS(G20&gt;=20,"20-25", G20&gt;=15,"15-20", G20&gt;=10,"10-15", G20&gt;=5,"5-10", G20&gt;=1,"1-5", G20&lt;1,"Less than 1")</f>
        <v>15-20</v>
      </c>
      <c r="I20">
        <v>2</v>
      </c>
      <c r="J20">
        <v>2</v>
      </c>
      <c r="K20" s="6">
        <v>11</v>
      </c>
      <c r="L20" s="2">
        <v>3.99</v>
      </c>
      <c r="M20" s="6">
        <v>48</v>
      </c>
      <c r="N20" t="str" cm="1">
        <f t="array" ref="N20">_xlfn.IFS(M20&gt;=50,"50-60 Days", M20&gt;=40,"40-50 Days", M20&gt;=30, "30-40 Days", M20&gt;=20, "20-30 Days", M20&gt;=10, "10-20 Days", M20&gt;=0, "0-10 Days")</f>
        <v>40-50 Days</v>
      </c>
    </row>
    <row r="21" spans="1:14">
      <c r="A21">
        <v>20</v>
      </c>
      <c r="B21" t="s">
        <v>29</v>
      </c>
      <c r="C21" s="5">
        <v>45241</v>
      </c>
      <c r="D21" s="8">
        <v>45241</v>
      </c>
      <c r="E21" s="8" t="str">
        <f>IF(B21="Inactive", EDATE(D21,K21), "")</f>
        <v/>
      </c>
      <c r="F21" t="s">
        <v>12</v>
      </c>
      <c r="G21">
        <v>12.5</v>
      </c>
      <c r="H21" t="str" cm="1">
        <f t="array" ref="H21">_xlfn.IFS(G21&gt;=20,"20-25", G21&gt;=15,"15-20", G21&gt;=10,"10-15", G21&gt;=5,"5-10", G21&gt;=1,"1-5", G21&lt;1,"Less than 1")</f>
        <v>10-15</v>
      </c>
      <c r="I21">
        <v>1</v>
      </c>
      <c r="J21">
        <v>2</v>
      </c>
      <c r="K21" s="6">
        <v>7</v>
      </c>
      <c r="L21" s="2">
        <v>1.99</v>
      </c>
      <c r="M21" s="6">
        <v>56</v>
      </c>
      <c r="N21" t="str" cm="1">
        <f t="array" ref="N21">_xlfn.IFS(M21&gt;=50,"50-60 Days", M21&gt;=40,"40-50 Days", M21&gt;=30, "30-40 Days", M21&gt;=20, "20-30 Days", M21&gt;=10, "10-20 Days", M21&gt;=0, "0-10 Days")</f>
        <v>50-60 Days</v>
      </c>
    </row>
    <row r="22" spans="1:14">
      <c r="A22">
        <v>21</v>
      </c>
      <c r="B22" t="s">
        <v>29</v>
      </c>
      <c r="C22" s="5">
        <v>44997</v>
      </c>
      <c r="D22" s="8">
        <v>44997</v>
      </c>
      <c r="E22" s="8" t="str">
        <f>IF(B22="Inactive", EDATE(D22,K22), "")</f>
        <v/>
      </c>
      <c r="F22" t="s">
        <v>12</v>
      </c>
      <c r="G22">
        <v>6.4</v>
      </c>
      <c r="H22" t="str" cm="1">
        <f t="array" ref="H22">_xlfn.IFS(G22&gt;=20,"20-25", G22&gt;=15,"15-20", G22&gt;=10,"10-15", G22&gt;=5,"5-10", G22&gt;=1,"1-5", G22&lt;1,"Less than 1")</f>
        <v>5-10</v>
      </c>
      <c r="I22">
        <v>1</v>
      </c>
      <c r="J22">
        <v>0</v>
      </c>
      <c r="K22" s="6">
        <v>2</v>
      </c>
      <c r="L22" s="2">
        <v>1.99</v>
      </c>
      <c r="M22" s="6">
        <v>46</v>
      </c>
      <c r="N22" t="str" cm="1">
        <f t="array" ref="N22">_xlfn.IFS(M22&gt;=50,"50-60 Days", M22&gt;=40,"40-50 Days", M22&gt;=30, "30-40 Days", M22&gt;=20, "20-30 Days", M22&gt;=10, "10-20 Days", M22&gt;=0, "0-10 Days")</f>
        <v>40-50 Days</v>
      </c>
    </row>
    <row r="23" spans="1:14">
      <c r="A23">
        <v>22</v>
      </c>
      <c r="B23" t="s">
        <v>28</v>
      </c>
      <c r="C23" s="5">
        <v>45548</v>
      </c>
      <c r="D23" s="8">
        <v>45548</v>
      </c>
      <c r="E23" s="8">
        <f>IF(B23="Inactive", EDATE(D23,K23), "")</f>
        <v>45639</v>
      </c>
      <c r="F23" t="s">
        <v>10</v>
      </c>
      <c r="G23">
        <v>3.6</v>
      </c>
      <c r="H23" t="str" cm="1">
        <f t="array" ref="H23">_xlfn.IFS(G23&gt;=20,"20-25", G23&gt;=15,"15-20", G23&gt;=10,"10-15", G23&gt;=5,"5-10", G23&gt;=1,"1-5", G23&lt;1,"Less than 1")</f>
        <v>1-5</v>
      </c>
      <c r="I23">
        <v>7</v>
      </c>
      <c r="J23">
        <v>4</v>
      </c>
      <c r="K23" s="6">
        <v>3</v>
      </c>
      <c r="L23" s="2">
        <v>6.99</v>
      </c>
      <c r="M23" s="6">
        <v>10</v>
      </c>
      <c r="N23" t="str" cm="1">
        <f t="array" ref="N23">_xlfn.IFS(M23&gt;=50,"50-60 Days", M23&gt;=40,"40-50 Days", M23&gt;=30, "30-40 Days", M23&gt;=20, "20-30 Days", M23&gt;=10, "10-20 Days", M23&gt;=0, "0-10 Days")</f>
        <v>10-20 Days</v>
      </c>
    </row>
    <row r="24" spans="1:14">
      <c r="A24">
        <v>23</v>
      </c>
      <c r="B24" t="s">
        <v>29</v>
      </c>
      <c r="C24" s="5">
        <v>45614</v>
      </c>
      <c r="D24" s="8">
        <v>45614</v>
      </c>
      <c r="E24" s="8" t="str">
        <f>IF(B24="Inactive", EDATE(D24,K24), "")</f>
        <v/>
      </c>
      <c r="F24" t="s">
        <v>14</v>
      </c>
      <c r="G24">
        <v>23.3</v>
      </c>
      <c r="H24" t="str" cm="1">
        <f t="array" ref="H24">_xlfn.IFS(G24&gt;=20,"20-25", G24&gt;=15,"15-20", G24&gt;=10,"10-15", G24&gt;=5,"5-10", G24&gt;=1,"1-5", G24&lt;1,"Less than 1")</f>
        <v>20-25</v>
      </c>
      <c r="I24">
        <v>3</v>
      </c>
      <c r="J24">
        <v>5</v>
      </c>
      <c r="K24" s="6">
        <v>5</v>
      </c>
      <c r="L24" s="2">
        <v>3.99</v>
      </c>
      <c r="M24" s="6">
        <v>19</v>
      </c>
      <c r="N24" t="str" cm="1">
        <f t="array" ref="N24">_xlfn.IFS(M24&gt;=50,"50-60 Days", M24&gt;=40,"40-50 Days", M24&gt;=30, "30-40 Days", M24&gt;=20, "20-30 Days", M24&gt;=10, "10-20 Days", M24&gt;=0, "0-10 Days")</f>
        <v>10-20 Days</v>
      </c>
    </row>
    <row r="25" spans="1:14">
      <c r="A25">
        <v>24</v>
      </c>
      <c r="B25" t="s">
        <v>28</v>
      </c>
      <c r="C25" s="5">
        <v>44992</v>
      </c>
      <c r="D25" s="8">
        <v>44992</v>
      </c>
      <c r="E25" s="8">
        <f>IF(B25="Inactive", EDATE(D25,K25), "")</f>
        <v>45237</v>
      </c>
      <c r="F25" t="s">
        <v>10</v>
      </c>
      <c r="G25">
        <v>11.2</v>
      </c>
      <c r="H25" t="str" cm="1">
        <f t="array" ref="H25">_xlfn.IFS(G25&gt;=20,"20-25", G25&gt;=15,"15-20", G25&gt;=10,"10-15", G25&gt;=5,"5-10", G25&gt;=1,"1-5", G25&lt;1,"Less than 1")</f>
        <v>10-15</v>
      </c>
      <c r="I25">
        <v>8</v>
      </c>
      <c r="J25">
        <v>3</v>
      </c>
      <c r="K25" s="6">
        <v>8</v>
      </c>
      <c r="L25" s="2">
        <v>6.99</v>
      </c>
      <c r="M25" s="6">
        <v>7</v>
      </c>
      <c r="N25" t="str" cm="1">
        <f t="array" ref="N25">_xlfn.IFS(M25&gt;=50,"50-60 Days", M25&gt;=40,"40-50 Days", M25&gt;=30, "30-40 Days", M25&gt;=20, "20-30 Days", M25&gt;=10, "10-20 Days", M25&gt;=0, "0-10 Days")</f>
        <v>0-10 Days</v>
      </c>
    </row>
    <row r="26" spans="1:14">
      <c r="A26">
        <v>25</v>
      </c>
      <c r="B26" t="s">
        <v>28</v>
      </c>
      <c r="C26" s="5">
        <v>45651</v>
      </c>
      <c r="D26" s="8">
        <v>45651</v>
      </c>
      <c r="E26" s="8">
        <f>IF(B26="Inactive", EDATE(D26,K26), "")</f>
        <v>45682</v>
      </c>
      <c r="F26" t="s">
        <v>14</v>
      </c>
      <c r="G26">
        <v>14.9</v>
      </c>
      <c r="H26" t="str" cm="1">
        <f t="array" ref="H26">_xlfn.IFS(G26&gt;=20,"20-25", G26&gt;=15,"15-20", G26&gt;=10,"10-15", G26&gt;=5,"5-10", G26&gt;=1,"1-5", G26&lt;1,"Less than 1")</f>
        <v>10-15</v>
      </c>
      <c r="I26">
        <v>3</v>
      </c>
      <c r="J26">
        <v>4</v>
      </c>
      <c r="K26" s="6">
        <v>1</v>
      </c>
      <c r="L26" s="2">
        <v>3.99</v>
      </c>
      <c r="M26" s="6">
        <v>14</v>
      </c>
      <c r="N26" t="str" cm="1">
        <f t="array" ref="N26">_xlfn.IFS(M26&gt;=50,"50-60 Days", M26&gt;=40,"40-50 Days", M26&gt;=30, "30-40 Days", M26&gt;=20, "20-30 Days", M26&gt;=10, "10-20 Days", M26&gt;=0, "0-10 Days")</f>
        <v>10-20 Days</v>
      </c>
    </row>
    <row r="27" spans="1:14">
      <c r="A27">
        <v>26</v>
      </c>
      <c r="B27" t="s">
        <v>29</v>
      </c>
      <c r="C27" s="5">
        <v>45212</v>
      </c>
      <c r="D27" s="8">
        <v>45212</v>
      </c>
      <c r="E27" s="8" t="str">
        <f>IF(B27="Inactive", EDATE(D27,K27), "")</f>
        <v/>
      </c>
      <c r="F27" t="s">
        <v>10</v>
      </c>
      <c r="G27">
        <v>6.1</v>
      </c>
      <c r="H27" t="str" cm="1">
        <f t="array" ref="H27">_xlfn.IFS(G27&gt;=20,"20-25", G27&gt;=15,"15-20", G27&gt;=10,"10-15", G27&gt;=5,"5-10", G27&gt;=1,"1-5", G27&lt;1,"Less than 1")</f>
        <v>5-10</v>
      </c>
      <c r="I27">
        <v>0</v>
      </c>
      <c r="J27">
        <v>2</v>
      </c>
      <c r="K27" s="6">
        <v>2</v>
      </c>
      <c r="L27" s="2">
        <v>6.99</v>
      </c>
      <c r="M27" s="6">
        <v>4</v>
      </c>
      <c r="N27" t="str" cm="1">
        <f t="array" ref="N27">_xlfn.IFS(M27&gt;=50,"50-60 Days", M27&gt;=40,"40-50 Days", M27&gt;=30, "30-40 Days", M27&gt;=20, "20-30 Days", M27&gt;=10, "10-20 Days", M27&gt;=0, "0-10 Days")</f>
        <v>0-10 Days</v>
      </c>
    </row>
    <row r="28" spans="1:14">
      <c r="A28">
        <v>27</v>
      </c>
      <c r="B28" t="s">
        <v>29</v>
      </c>
      <c r="C28" s="5">
        <v>45517</v>
      </c>
      <c r="D28" s="8">
        <v>45517</v>
      </c>
      <c r="E28" s="8" t="str">
        <f>IF(B28="Inactive", EDATE(D28,K28), "")</f>
        <v/>
      </c>
      <c r="F28" t="s">
        <v>10</v>
      </c>
      <c r="G28">
        <v>5.7</v>
      </c>
      <c r="H28" t="str" cm="1">
        <f t="array" ref="H28">_xlfn.IFS(G28&gt;=20,"20-25", G28&gt;=15,"15-20", G28&gt;=10,"10-15", G28&gt;=5,"5-10", G28&gt;=1,"1-5", G28&lt;1,"Less than 1")</f>
        <v>5-10</v>
      </c>
      <c r="I28">
        <v>2</v>
      </c>
      <c r="J28">
        <v>5</v>
      </c>
      <c r="K28" s="6">
        <v>11</v>
      </c>
      <c r="L28" s="2">
        <v>6.99</v>
      </c>
      <c r="M28" s="6">
        <v>59</v>
      </c>
      <c r="N28" t="str" cm="1">
        <f t="array" ref="N28">_xlfn.IFS(M28&gt;=50,"50-60 Days", M28&gt;=40,"40-50 Days", M28&gt;=30, "30-40 Days", M28&gt;=20, "20-30 Days", M28&gt;=10, "10-20 Days", M28&gt;=0, "0-10 Days")</f>
        <v>50-60 Days</v>
      </c>
    </row>
    <row r="29" spans="1:14">
      <c r="A29">
        <v>28</v>
      </c>
      <c r="B29" t="s">
        <v>28</v>
      </c>
      <c r="C29" s="5">
        <v>45368</v>
      </c>
      <c r="D29" s="8">
        <v>45368</v>
      </c>
      <c r="E29" s="8">
        <f>IF(B29="Inactive", EDATE(D29,K29), "")</f>
        <v>45552</v>
      </c>
      <c r="F29" t="s">
        <v>14</v>
      </c>
      <c r="G29">
        <v>19.7</v>
      </c>
      <c r="H29" t="str" cm="1">
        <f t="array" ref="H29">_xlfn.IFS(G29&gt;=20,"20-25", G29&gt;=15,"15-20", G29&gt;=10,"10-15", G29&gt;=5,"5-10", G29&gt;=1,"1-5", G29&lt;1,"Less than 1")</f>
        <v>15-20</v>
      </c>
      <c r="I29">
        <v>6</v>
      </c>
      <c r="J29">
        <v>1</v>
      </c>
      <c r="K29" s="6">
        <v>6</v>
      </c>
      <c r="L29" s="2">
        <v>3.99</v>
      </c>
      <c r="M29" s="6">
        <v>6</v>
      </c>
      <c r="N29" t="str" cm="1">
        <f t="array" ref="N29">_xlfn.IFS(M29&gt;=50,"50-60 Days", M29&gt;=40,"40-50 Days", M29&gt;=30, "30-40 Days", M29&gt;=20, "20-30 Days", M29&gt;=10, "10-20 Days", M29&gt;=0, "0-10 Days")</f>
        <v>0-10 Days</v>
      </c>
    </row>
    <row r="30" spans="1:14">
      <c r="A30">
        <v>29</v>
      </c>
      <c r="B30" t="s">
        <v>29</v>
      </c>
      <c r="C30" s="5">
        <v>45027</v>
      </c>
      <c r="D30" s="8">
        <v>45027</v>
      </c>
      <c r="E30" s="8" t="str">
        <f>IF(B30="Inactive", EDATE(D30,K30), "")</f>
        <v/>
      </c>
      <c r="F30" t="s">
        <v>14</v>
      </c>
      <c r="G30">
        <v>10.6</v>
      </c>
      <c r="H30" t="str" cm="1">
        <f t="array" ref="H30">_xlfn.IFS(G30&gt;=20,"20-25", G30&gt;=15,"15-20", G30&gt;=10,"10-15", G30&gt;=5,"5-10", G30&gt;=1,"1-5", G30&lt;1,"Less than 1")</f>
        <v>10-15</v>
      </c>
      <c r="I30">
        <v>0</v>
      </c>
      <c r="J30">
        <v>5</v>
      </c>
      <c r="K30" s="6">
        <v>10</v>
      </c>
      <c r="L30" s="2">
        <v>3.99</v>
      </c>
      <c r="M30" s="6">
        <v>41</v>
      </c>
      <c r="N30" t="str" cm="1">
        <f t="array" ref="N30">_xlfn.IFS(M30&gt;=50,"50-60 Days", M30&gt;=40,"40-50 Days", M30&gt;=30, "30-40 Days", M30&gt;=20, "20-30 Days", M30&gt;=10, "10-20 Days", M30&gt;=0, "0-10 Days")</f>
        <v>40-50 Days</v>
      </c>
    </row>
    <row r="31" spans="1:14">
      <c r="A31">
        <v>30</v>
      </c>
      <c r="B31" t="s">
        <v>29</v>
      </c>
      <c r="C31" s="5">
        <v>45386</v>
      </c>
      <c r="D31" s="8">
        <v>45386</v>
      </c>
      <c r="E31" s="8" t="str">
        <f>IF(B31="Inactive", EDATE(D31,K31), "")</f>
        <v/>
      </c>
      <c r="F31" t="s">
        <v>12</v>
      </c>
      <c r="G31">
        <v>18.3</v>
      </c>
      <c r="H31" t="str" cm="1">
        <f t="array" ref="H31">_xlfn.IFS(G31&gt;=20,"20-25", G31&gt;=15,"15-20", G31&gt;=10,"10-15", G31&gt;=5,"5-10", G31&gt;=1,"1-5", G31&lt;1,"Less than 1")</f>
        <v>15-20</v>
      </c>
      <c r="I31">
        <v>1</v>
      </c>
      <c r="J31">
        <v>1</v>
      </c>
      <c r="K31" s="6">
        <v>9</v>
      </c>
      <c r="L31" s="2">
        <v>1.99</v>
      </c>
      <c r="M31" s="6">
        <v>12</v>
      </c>
      <c r="N31" t="str" cm="1">
        <f t="array" ref="N31">_xlfn.IFS(M31&gt;=50,"50-60 Days", M31&gt;=40,"40-50 Days", M31&gt;=30, "30-40 Days", M31&gt;=20, "20-30 Days", M31&gt;=10, "10-20 Days", M31&gt;=0, "0-10 Days")</f>
        <v>10-20 Days</v>
      </c>
    </row>
    <row r="32" spans="1:14">
      <c r="A32">
        <v>31</v>
      </c>
      <c r="B32" t="s">
        <v>29</v>
      </c>
      <c r="C32" s="5">
        <v>45380</v>
      </c>
      <c r="D32" s="8">
        <v>45380</v>
      </c>
      <c r="E32" s="8" t="str">
        <f>IF(B32="Inactive", EDATE(D32,K32), "")</f>
        <v/>
      </c>
      <c r="F32" t="s">
        <v>12</v>
      </c>
      <c r="G32">
        <v>5</v>
      </c>
      <c r="H32" t="str" cm="1">
        <f t="array" ref="H32">_xlfn.IFS(G32&gt;=20,"20-25", G32&gt;=15,"15-20", G32&gt;=10,"10-15", G32&gt;=5,"5-10", G32&gt;=1,"1-5", G32&lt;1,"Less than 1")</f>
        <v>5-10</v>
      </c>
      <c r="I32">
        <v>7</v>
      </c>
      <c r="J32">
        <v>1</v>
      </c>
      <c r="K32" s="6">
        <v>10</v>
      </c>
      <c r="L32" s="2">
        <v>1.99</v>
      </c>
      <c r="M32" s="6">
        <v>55</v>
      </c>
      <c r="N32" t="str" cm="1">
        <f t="array" ref="N32">_xlfn.IFS(M32&gt;=50,"50-60 Days", M32&gt;=40,"40-50 Days", M32&gt;=30, "30-40 Days", M32&gt;=20, "20-30 Days", M32&gt;=10, "10-20 Days", M32&gt;=0, "0-10 Days")</f>
        <v>50-60 Days</v>
      </c>
    </row>
    <row r="33" spans="1:14">
      <c r="A33">
        <v>32</v>
      </c>
      <c r="B33" t="s">
        <v>29</v>
      </c>
      <c r="C33" s="5">
        <v>45169</v>
      </c>
      <c r="D33" s="8">
        <v>45169</v>
      </c>
      <c r="E33" s="8" t="str">
        <f>IF(B33="Inactive", EDATE(D33,K33), "")</f>
        <v/>
      </c>
      <c r="F33" t="s">
        <v>10</v>
      </c>
      <c r="G33">
        <v>1.7</v>
      </c>
      <c r="H33" t="str" cm="1">
        <f t="array" ref="H33">_xlfn.IFS(G33&gt;=20,"20-25", G33&gt;=15,"15-20", G33&gt;=10,"10-15", G33&gt;=5,"5-10", G33&gt;=1,"1-5", G33&lt;1,"Less than 1")</f>
        <v>1-5</v>
      </c>
      <c r="I33">
        <v>8</v>
      </c>
      <c r="J33">
        <v>0</v>
      </c>
      <c r="K33" s="6">
        <v>3</v>
      </c>
      <c r="L33" s="2">
        <v>6.99</v>
      </c>
      <c r="M33" s="6">
        <v>5</v>
      </c>
      <c r="N33" t="str" cm="1">
        <f t="array" ref="N33">_xlfn.IFS(M33&gt;=50,"50-60 Days", M33&gt;=40,"40-50 Days", M33&gt;=30, "30-40 Days", M33&gt;=20, "20-30 Days", M33&gt;=10, "10-20 Days", M33&gt;=0, "0-10 Days")</f>
        <v>0-10 Days</v>
      </c>
    </row>
    <row r="34" spans="1:14">
      <c r="A34">
        <v>33</v>
      </c>
      <c r="B34" t="s">
        <v>28</v>
      </c>
      <c r="C34" s="5">
        <v>45315</v>
      </c>
      <c r="D34" s="8">
        <v>45315</v>
      </c>
      <c r="E34" s="8">
        <f>IF(B34="Inactive", EDATE(D34,K34), "")</f>
        <v>45589</v>
      </c>
      <c r="F34" t="s">
        <v>12</v>
      </c>
      <c r="G34">
        <v>12.4</v>
      </c>
      <c r="H34" t="str" cm="1">
        <f t="array" ref="H34">_xlfn.IFS(G34&gt;=20,"20-25", G34&gt;=15,"15-20", G34&gt;=10,"10-15", G34&gt;=5,"5-10", G34&gt;=1,"1-5", G34&lt;1,"Less than 1")</f>
        <v>10-15</v>
      </c>
      <c r="I34">
        <v>3</v>
      </c>
      <c r="J34">
        <v>3</v>
      </c>
      <c r="K34" s="6">
        <v>9</v>
      </c>
      <c r="L34" s="2">
        <v>1.99</v>
      </c>
      <c r="M34" s="6">
        <v>57</v>
      </c>
      <c r="N34" t="str" cm="1">
        <f t="array" ref="N34">_xlfn.IFS(M34&gt;=50,"50-60 Days", M34&gt;=40,"40-50 Days", M34&gt;=30, "30-40 Days", M34&gt;=20, "20-30 Days", M34&gt;=10, "10-20 Days", M34&gt;=0, "0-10 Days")</f>
        <v>50-60 Days</v>
      </c>
    </row>
    <row r="35" spans="1:14">
      <c r="A35">
        <v>34</v>
      </c>
      <c r="B35" t="s">
        <v>28</v>
      </c>
      <c r="C35" s="5">
        <v>45496</v>
      </c>
      <c r="D35" s="8">
        <v>45496</v>
      </c>
      <c r="E35" s="8">
        <f>IF(B35="Inactive", EDATE(D35,K35), "")</f>
        <v>45770</v>
      </c>
      <c r="F35" t="s">
        <v>12</v>
      </c>
      <c r="G35">
        <v>7</v>
      </c>
      <c r="H35" t="str" cm="1">
        <f t="array" ref="H35">_xlfn.IFS(G35&gt;=20,"20-25", G35&gt;=15,"15-20", G35&gt;=10,"10-15", G35&gt;=5,"5-10", G35&gt;=1,"1-5", G35&lt;1,"Less than 1")</f>
        <v>5-10</v>
      </c>
      <c r="I35">
        <v>7</v>
      </c>
      <c r="J35">
        <v>2</v>
      </c>
      <c r="K35" s="6">
        <v>9</v>
      </c>
      <c r="L35" s="2">
        <v>1.99</v>
      </c>
      <c r="M35" s="6">
        <v>27</v>
      </c>
      <c r="N35" t="str" cm="1">
        <f t="array" ref="N35">_xlfn.IFS(M35&gt;=50,"50-60 Days", M35&gt;=40,"40-50 Days", M35&gt;=30, "30-40 Days", M35&gt;=20, "20-30 Days", M35&gt;=10, "10-20 Days", M35&gt;=0, "0-10 Days")</f>
        <v>20-30 Days</v>
      </c>
    </row>
    <row r="36" spans="1:14">
      <c r="A36">
        <v>35</v>
      </c>
      <c r="B36" t="s">
        <v>29</v>
      </c>
      <c r="C36" s="5">
        <v>45482</v>
      </c>
      <c r="D36" s="8">
        <v>45482</v>
      </c>
      <c r="E36" s="8" t="str">
        <f>IF(B36="Inactive", EDATE(D36,K36), "")</f>
        <v/>
      </c>
      <c r="F36" t="s">
        <v>10</v>
      </c>
      <c r="G36">
        <v>4.3</v>
      </c>
      <c r="H36" t="str" cm="1">
        <f t="array" ref="H36">_xlfn.IFS(G36&gt;=20,"20-25", G36&gt;=15,"15-20", G36&gt;=10,"10-15", G36&gt;=5,"5-10", G36&gt;=1,"1-5", G36&lt;1,"Less than 1")</f>
        <v>1-5</v>
      </c>
      <c r="I36">
        <v>4</v>
      </c>
      <c r="J36">
        <v>1</v>
      </c>
      <c r="K36" s="6">
        <v>11</v>
      </c>
      <c r="L36" s="2">
        <v>6.99</v>
      </c>
      <c r="M36" s="6">
        <v>3</v>
      </c>
      <c r="N36" t="str" cm="1">
        <f t="array" ref="N36">_xlfn.IFS(M36&gt;=50,"50-60 Days", M36&gt;=40,"40-50 Days", M36&gt;=30, "30-40 Days", M36&gt;=20, "20-30 Days", M36&gt;=10, "10-20 Days", M36&gt;=0, "0-10 Days")</f>
        <v>0-10 Days</v>
      </c>
    </row>
    <row r="37" spans="1:14">
      <c r="A37">
        <v>36</v>
      </c>
      <c r="B37" t="s">
        <v>28</v>
      </c>
      <c r="C37" s="5">
        <v>45088</v>
      </c>
      <c r="D37" s="8">
        <v>45088</v>
      </c>
      <c r="E37" s="8">
        <f>IF(B37="Inactive", EDATE(D37,K37), "")</f>
        <v>45302</v>
      </c>
      <c r="F37" t="s">
        <v>12</v>
      </c>
      <c r="G37">
        <v>1.9</v>
      </c>
      <c r="H37" t="str" cm="1">
        <f t="array" ref="H37">_xlfn.IFS(G37&gt;=20,"20-25", G37&gt;=15,"15-20", G37&gt;=10,"10-15", G37&gt;=5,"5-10", G37&gt;=1,"1-5", G37&lt;1,"Less than 1")</f>
        <v>1-5</v>
      </c>
      <c r="I37">
        <v>7</v>
      </c>
      <c r="J37">
        <v>4</v>
      </c>
      <c r="K37" s="6">
        <v>7</v>
      </c>
      <c r="L37" s="2">
        <v>1.99</v>
      </c>
      <c r="M37" s="6">
        <v>58</v>
      </c>
      <c r="N37" t="str" cm="1">
        <f t="array" ref="N37">_xlfn.IFS(M37&gt;=50,"50-60 Days", M37&gt;=40,"40-50 Days", M37&gt;=30, "30-40 Days", M37&gt;=20, "20-30 Days", M37&gt;=10, "10-20 Days", M37&gt;=0, "0-10 Days")</f>
        <v>50-60 Days</v>
      </c>
    </row>
    <row r="38" spans="1:14">
      <c r="A38">
        <v>37</v>
      </c>
      <c r="B38" t="s">
        <v>28</v>
      </c>
      <c r="C38" s="5">
        <v>45167</v>
      </c>
      <c r="D38" s="8">
        <v>45167</v>
      </c>
      <c r="E38" s="8">
        <f>IF(B38="Inactive", EDATE(D38,K38), "")</f>
        <v>45502</v>
      </c>
      <c r="F38" t="s">
        <v>12</v>
      </c>
      <c r="G38">
        <v>2.5</v>
      </c>
      <c r="H38" t="str" cm="1">
        <f t="array" ref="H38">_xlfn.IFS(G38&gt;=20,"20-25", G38&gt;=15,"15-20", G38&gt;=10,"10-15", G38&gt;=5,"5-10", G38&gt;=1,"1-5", G38&lt;1,"Less than 1")</f>
        <v>1-5</v>
      </c>
      <c r="I38">
        <v>2</v>
      </c>
      <c r="J38">
        <v>0</v>
      </c>
      <c r="K38" s="6">
        <v>11</v>
      </c>
      <c r="L38" s="2">
        <v>1.99</v>
      </c>
      <c r="M38" s="6">
        <v>38</v>
      </c>
      <c r="N38" t="str" cm="1">
        <f t="array" ref="N38">_xlfn.IFS(M38&gt;=50,"50-60 Days", M38&gt;=40,"40-50 Days", M38&gt;=30, "30-40 Days", M38&gt;=20, "20-30 Days", M38&gt;=10, "10-20 Days", M38&gt;=0, "0-10 Days")</f>
        <v>30-40 Days</v>
      </c>
    </row>
    <row r="39" spans="1:14">
      <c r="A39">
        <v>38</v>
      </c>
      <c r="B39" t="s">
        <v>28</v>
      </c>
      <c r="C39" s="5">
        <v>45010</v>
      </c>
      <c r="D39" s="8">
        <v>45010</v>
      </c>
      <c r="E39" s="8">
        <f>IF(B39="Inactive", EDATE(D39,K39), "")</f>
        <v>45102</v>
      </c>
      <c r="F39" t="s">
        <v>14</v>
      </c>
      <c r="G39">
        <v>23.6</v>
      </c>
      <c r="H39" t="str" cm="1">
        <f t="array" ref="H39">_xlfn.IFS(G39&gt;=20,"20-25", G39&gt;=15,"15-20", G39&gt;=10,"10-15", G39&gt;=5,"5-10", G39&gt;=1,"1-5", G39&lt;1,"Less than 1")</f>
        <v>20-25</v>
      </c>
      <c r="I39">
        <v>3</v>
      </c>
      <c r="J39">
        <v>4</v>
      </c>
      <c r="K39" s="6">
        <v>3</v>
      </c>
      <c r="L39" s="2">
        <v>3.99</v>
      </c>
      <c r="M39" s="6">
        <v>38</v>
      </c>
      <c r="N39" t="str" cm="1">
        <f t="array" ref="N39">_xlfn.IFS(M39&gt;=50,"50-60 Days", M39&gt;=40,"40-50 Days", M39&gt;=30, "30-40 Days", M39&gt;=20, "20-30 Days", M39&gt;=10, "10-20 Days", M39&gt;=0, "0-10 Days")</f>
        <v>30-40 Days</v>
      </c>
    </row>
    <row r="40" spans="1:14">
      <c r="A40">
        <v>39</v>
      </c>
      <c r="B40" t="s">
        <v>29</v>
      </c>
      <c r="C40" s="5">
        <v>45171</v>
      </c>
      <c r="D40" s="8">
        <v>45171</v>
      </c>
      <c r="E40" s="8" t="str">
        <f>IF(B40="Inactive", EDATE(D40,K40), "")</f>
        <v/>
      </c>
      <c r="F40" t="s">
        <v>14</v>
      </c>
      <c r="G40">
        <v>8.3000000000000007</v>
      </c>
      <c r="H40" t="str" cm="1">
        <f t="array" ref="H40">_xlfn.IFS(G40&gt;=20,"20-25", G40&gt;=15,"15-20", G40&gt;=10,"10-15", G40&gt;=5,"5-10", G40&gt;=1,"1-5", G40&lt;1,"Less than 1")</f>
        <v>5-10</v>
      </c>
      <c r="I40">
        <v>4</v>
      </c>
      <c r="J40">
        <v>1</v>
      </c>
      <c r="K40" s="6">
        <v>12</v>
      </c>
      <c r="L40" s="2">
        <v>3.99</v>
      </c>
      <c r="M40" s="6">
        <v>42</v>
      </c>
      <c r="N40" t="str" cm="1">
        <f t="array" ref="N40">_xlfn.IFS(M40&gt;=50,"50-60 Days", M40&gt;=40,"40-50 Days", M40&gt;=30, "30-40 Days", M40&gt;=20, "20-30 Days", M40&gt;=10, "10-20 Days", M40&gt;=0, "0-10 Days")</f>
        <v>40-50 Days</v>
      </c>
    </row>
    <row r="41" spans="1:14">
      <c r="A41">
        <v>40</v>
      </c>
      <c r="B41" t="s">
        <v>29</v>
      </c>
      <c r="C41" s="5">
        <v>45001</v>
      </c>
      <c r="D41" s="8">
        <v>45001</v>
      </c>
      <c r="E41" s="8" t="str">
        <f>IF(B41="Inactive", EDATE(D41,K41), "")</f>
        <v/>
      </c>
      <c r="F41" t="s">
        <v>14</v>
      </c>
      <c r="G41">
        <v>3.7</v>
      </c>
      <c r="H41" t="str" cm="1">
        <f t="array" ref="H41">_xlfn.IFS(G41&gt;=20,"20-25", G41&gt;=15,"15-20", G41&gt;=10,"10-15", G41&gt;=5,"5-10", G41&gt;=1,"1-5", G41&lt;1,"Less than 1")</f>
        <v>1-5</v>
      </c>
      <c r="I41">
        <v>4</v>
      </c>
      <c r="J41">
        <v>3</v>
      </c>
      <c r="K41" s="6">
        <v>9</v>
      </c>
      <c r="L41" s="2">
        <v>3.99</v>
      </c>
      <c r="M41" s="6">
        <v>20</v>
      </c>
      <c r="N41" t="str" cm="1">
        <f t="array" ref="N41">_xlfn.IFS(M41&gt;=50,"50-60 Days", M41&gt;=40,"40-50 Days", M41&gt;=30, "30-40 Days", M41&gt;=20, "20-30 Days", M41&gt;=10, "10-20 Days", M41&gt;=0, "0-10 Days")</f>
        <v>20-30 Days</v>
      </c>
    </row>
    <row r="42" spans="1:14">
      <c r="A42">
        <v>41</v>
      </c>
      <c r="B42" t="s">
        <v>28</v>
      </c>
      <c r="C42" s="5">
        <v>45198</v>
      </c>
      <c r="D42" s="8">
        <v>45198</v>
      </c>
      <c r="E42" s="8">
        <f>IF(B42="Inactive", EDATE(D42,K42), "")</f>
        <v>45502</v>
      </c>
      <c r="F42" t="s">
        <v>12</v>
      </c>
      <c r="G42">
        <v>15.7</v>
      </c>
      <c r="H42" t="str" cm="1">
        <f t="array" ref="H42">_xlfn.IFS(G42&gt;=20,"20-25", G42&gt;=15,"15-20", G42&gt;=10,"10-15", G42&gt;=5,"5-10", G42&gt;=1,"1-5", G42&lt;1,"Less than 1")</f>
        <v>15-20</v>
      </c>
      <c r="I42">
        <v>1</v>
      </c>
      <c r="J42">
        <v>0</v>
      </c>
      <c r="K42" s="6">
        <v>10</v>
      </c>
      <c r="L42" s="2">
        <v>1.99</v>
      </c>
      <c r="M42" s="6">
        <v>34</v>
      </c>
      <c r="N42" t="str" cm="1">
        <f t="array" ref="N42">_xlfn.IFS(M42&gt;=50,"50-60 Days", M42&gt;=40,"40-50 Days", M42&gt;=30, "30-40 Days", M42&gt;=20, "20-30 Days", M42&gt;=10, "10-20 Days", M42&gt;=0, "0-10 Days")</f>
        <v>30-40 Days</v>
      </c>
    </row>
    <row r="43" spans="1:14">
      <c r="A43">
        <v>42</v>
      </c>
      <c r="B43" t="s">
        <v>28</v>
      </c>
      <c r="C43" s="5">
        <v>45483</v>
      </c>
      <c r="D43" s="8">
        <v>45483</v>
      </c>
      <c r="E43" s="8">
        <f>IF(B43="Inactive", EDATE(D43,K43), "")</f>
        <v>45726</v>
      </c>
      <c r="F43" t="s">
        <v>12</v>
      </c>
      <c r="G43">
        <v>22.1</v>
      </c>
      <c r="H43" t="str" cm="1">
        <f t="array" ref="H43">_xlfn.IFS(G43&gt;=20,"20-25", G43&gt;=15,"15-20", G43&gt;=10,"10-15", G43&gt;=5,"5-10", G43&gt;=1,"1-5", G43&lt;1,"Less than 1")</f>
        <v>20-25</v>
      </c>
      <c r="I43">
        <v>3</v>
      </c>
      <c r="J43">
        <v>2</v>
      </c>
      <c r="K43" s="6">
        <v>8</v>
      </c>
      <c r="L43" s="2">
        <v>1.99</v>
      </c>
      <c r="M43" s="6">
        <v>18</v>
      </c>
      <c r="N43" t="str" cm="1">
        <f t="array" ref="N43">_xlfn.IFS(M43&gt;=50,"50-60 Days", M43&gt;=40,"40-50 Days", M43&gt;=30, "30-40 Days", M43&gt;=20, "20-30 Days", M43&gt;=10, "10-20 Days", M43&gt;=0, "0-10 Days")</f>
        <v>10-20 Days</v>
      </c>
    </row>
    <row r="44" spans="1:14">
      <c r="A44">
        <v>43</v>
      </c>
      <c r="B44" t="s">
        <v>29</v>
      </c>
      <c r="C44" s="5">
        <v>45233</v>
      </c>
      <c r="D44" s="8">
        <v>45233</v>
      </c>
      <c r="E44" s="8" t="str">
        <f>IF(B44="Inactive", EDATE(D44,K44), "")</f>
        <v/>
      </c>
      <c r="F44" t="s">
        <v>10</v>
      </c>
      <c r="G44">
        <v>15.5</v>
      </c>
      <c r="H44" t="str" cm="1">
        <f t="array" ref="H44">_xlfn.IFS(G44&gt;=20,"20-25", G44&gt;=15,"15-20", G44&gt;=10,"10-15", G44&gt;=5,"5-10", G44&gt;=1,"1-5", G44&lt;1,"Less than 1")</f>
        <v>15-20</v>
      </c>
      <c r="I44">
        <v>8</v>
      </c>
      <c r="J44">
        <v>0</v>
      </c>
      <c r="K44" s="6">
        <v>7</v>
      </c>
      <c r="L44" s="2">
        <v>6.99</v>
      </c>
      <c r="M44" s="6">
        <v>42</v>
      </c>
      <c r="N44" t="str" cm="1">
        <f t="array" ref="N44">_xlfn.IFS(M44&gt;=50,"50-60 Days", M44&gt;=40,"40-50 Days", M44&gt;=30, "30-40 Days", M44&gt;=20, "20-30 Days", M44&gt;=10, "10-20 Days", M44&gt;=0, "0-10 Days")</f>
        <v>40-50 Days</v>
      </c>
    </row>
    <row r="45" spans="1:14">
      <c r="A45">
        <v>44</v>
      </c>
      <c r="B45" t="s">
        <v>29</v>
      </c>
      <c r="C45" s="5">
        <v>45493</v>
      </c>
      <c r="D45" s="8">
        <v>45493</v>
      </c>
      <c r="E45" s="8" t="str">
        <f>IF(B45="Inactive", EDATE(D45,K45), "")</f>
        <v/>
      </c>
      <c r="F45" t="s">
        <v>10</v>
      </c>
      <c r="G45">
        <v>23.5</v>
      </c>
      <c r="H45" t="str" cm="1">
        <f t="array" ref="H45">_xlfn.IFS(G45&gt;=20,"20-25", G45&gt;=15,"15-20", G45&gt;=10,"10-15", G45&gt;=5,"5-10", G45&gt;=1,"1-5", G45&lt;1,"Less than 1")</f>
        <v>20-25</v>
      </c>
      <c r="I45">
        <v>2</v>
      </c>
      <c r="J45">
        <v>2</v>
      </c>
      <c r="K45" s="6">
        <v>3</v>
      </c>
      <c r="L45" s="2">
        <v>6.99</v>
      </c>
      <c r="M45" s="6">
        <v>7</v>
      </c>
      <c r="N45" t="str" cm="1">
        <f t="array" ref="N45">_xlfn.IFS(M45&gt;=50,"50-60 Days", M45&gt;=40,"40-50 Days", M45&gt;=30, "30-40 Days", M45&gt;=20, "20-30 Days", M45&gt;=10, "10-20 Days", M45&gt;=0, "0-10 Days")</f>
        <v>0-10 Days</v>
      </c>
    </row>
    <row r="46" spans="1:14">
      <c r="A46">
        <v>45</v>
      </c>
      <c r="B46" t="s">
        <v>28</v>
      </c>
      <c r="C46" s="5">
        <v>45576</v>
      </c>
      <c r="D46" s="8">
        <v>45576</v>
      </c>
      <c r="E46" s="8">
        <f>IF(B46="Inactive", EDATE(D46,K46), "")</f>
        <v>45758</v>
      </c>
      <c r="F46" t="s">
        <v>12</v>
      </c>
      <c r="G46">
        <v>7.4</v>
      </c>
      <c r="H46" t="str" cm="1">
        <f t="array" ref="H46">_xlfn.IFS(G46&gt;=20,"20-25", G46&gt;=15,"15-20", G46&gt;=10,"10-15", G46&gt;=5,"5-10", G46&gt;=1,"1-5", G46&lt;1,"Less than 1")</f>
        <v>5-10</v>
      </c>
      <c r="I46">
        <v>3</v>
      </c>
      <c r="J46">
        <v>5</v>
      </c>
      <c r="K46" s="6">
        <v>6</v>
      </c>
      <c r="L46" s="2">
        <v>1.99</v>
      </c>
      <c r="M46" s="6">
        <v>21</v>
      </c>
      <c r="N46" t="str" cm="1">
        <f t="array" ref="N46">_xlfn.IFS(M46&gt;=50,"50-60 Days", M46&gt;=40,"40-50 Days", M46&gt;=30, "30-40 Days", M46&gt;=20, "20-30 Days", M46&gt;=10, "10-20 Days", M46&gt;=0, "0-10 Days")</f>
        <v>20-30 Days</v>
      </c>
    </row>
    <row r="47" spans="1:14">
      <c r="A47">
        <v>46</v>
      </c>
      <c r="B47" t="s">
        <v>29</v>
      </c>
      <c r="C47" s="5">
        <v>45210</v>
      </c>
      <c r="D47" s="8">
        <v>45210</v>
      </c>
      <c r="E47" s="8" t="str">
        <f>IF(B47="Inactive", EDATE(D47,K47), "")</f>
        <v/>
      </c>
      <c r="F47" t="s">
        <v>14</v>
      </c>
      <c r="G47">
        <v>12.5</v>
      </c>
      <c r="H47" t="str" cm="1">
        <f t="array" ref="H47">_xlfn.IFS(G47&gt;=20,"20-25", G47&gt;=15,"15-20", G47&gt;=10,"10-15", G47&gt;=5,"5-10", G47&gt;=1,"1-5", G47&lt;1,"Less than 1")</f>
        <v>10-15</v>
      </c>
      <c r="I47">
        <v>0</v>
      </c>
      <c r="J47">
        <v>0</v>
      </c>
      <c r="K47" s="6">
        <v>11</v>
      </c>
      <c r="L47" s="2">
        <v>3.99</v>
      </c>
      <c r="M47" s="6">
        <v>40</v>
      </c>
      <c r="N47" t="str" cm="1">
        <f t="array" ref="N47">_xlfn.IFS(M47&gt;=50,"50-60 Days", M47&gt;=40,"40-50 Days", M47&gt;=30, "30-40 Days", M47&gt;=20, "20-30 Days", M47&gt;=10, "10-20 Days", M47&gt;=0, "0-10 Days")</f>
        <v>40-50 Days</v>
      </c>
    </row>
    <row r="48" spans="1:14">
      <c r="A48">
        <v>47</v>
      </c>
      <c r="B48" t="s">
        <v>28</v>
      </c>
      <c r="C48" s="5">
        <v>45379</v>
      </c>
      <c r="D48" s="8">
        <v>45379</v>
      </c>
      <c r="E48" s="8">
        <f>IF(B48="Inactive", EDATE(D48,K48), "")</f>
        <v>45410</v>
      </c>
      <c r="F48" t="s">
        <v>12</v>
      </c>
      <c r="G48">
        <v>8.6999999999999993</v>
      </c>
      <c r="H48" t="str" cm="1">
        <f t="array" ref="H48">_xlfn.IFS(G48&gt;=20,"20-25", G48&gt;=15,"15-20", G48&gt;=10,"10-15", G48&gt;=5,"5-10", G48&gt;=1,"1-5", G48&lt;1,"Less than 1")</f>
        <v>5-10</v>
      </c>
      <c r="I48">
        <v>2</v>
      </c>
      <c r="J48">
        <v>5</v>
      </c>
      <c r="K48" s="6">
        <v>1</v>
      </c>
      <c r="L48" s="2">
        <v>1.99</v>
      </c>
      <c r="M48" s="6">
        <v>16</v>
      </c>
      <c r="N48" t="str" cm="1">
        <f t="array" ref="N48">_xlfn.IFS(M48&gt;=50,"50-60 Days", M48&gt;=40,"40-50 Days", M48&gt;=30, "30-40 Days", M48&gt;=20, "20-30 Days", M48&gt;=10, "10-20 Days", M48&gt;=0, "0-10 Days")</f>
        <v>10-20 Days</v>
      </c>
    </row>
    <row r="49" spans="1:14">
      <c r="A49">
        <v>48</v>
      </c>
      <c r="B49" t="s">
        <v>29</v>
      </c>
      <c r="C49" s="5">
        <v>45079</v>
      </c>
      <c r="D49" s="8">
        <v>45079</v>
      </c>
      <c r="E49" s="8" t="str">
        <f>IF(B49="Inactive", EDATE(D49,K49), "")</f>
        <v/>
      </c>
      <c r="F49" t="s">
        <v>10</v>
      </c>
      <c r="G49">
        <v>14.2</v>
      </c>
      <c r="H49" t="str" cm="1">
        <f t="array" ref="H49">_xlfn.IFS(G49&gt;=20,"20-25", G49&gt;=15,"15-20", G49&gt;=10,"10-15", G49&gt;=5,"5-10", G49&gt;=1,"1-5", G49&lt;1,"Less than 1")</f>
        <v>10-15</v>
      </c>
      <c r="I49">
        <v>1</v>
      </c>
      <c r="J49">
        <v>0</v>
      </c>
      <c r="K49" s="6">
        <v>10</v>
      </c>
      <c r="L49" s="2">
        <v>6.99</v>
      </c>
      <c r="M49" s="6">
        <v>60</v>
      </c>
      <c r="N49" t="str" cm="1">
        <f t="array" ref="N49">_xlfn.IFS(M49&gt;=50,"50-60 Days", M49&gt;=40,"40-50 Days", M49&gt;=30, "30-40 Days", M49&gt;=20, "20-30 Days", M49&gt;=10, "10-20 Days", M49&gt;=0, "0-10 Days")</f>
        <v>50-60 Days</v>
      </c>
    </row>
    <row r="50" spans="1:14">
      <c r="A50">
        <v>49</v>
      </c>
      <c r="B50" t="s">
        <v>28</v>
      </c>
      <c r="C50" s="5">
        <v>45242</v>
      </c>
      <c r="D50" s="8">
        <v>45242</v>
      </c>
      <c r="E50" s="8">
        <f>IF(B50="Inactive", EDATE(D50,K50), "")</f>
        <v>45272</v>
      </c>
      <c r="F50" t="s">
        <v>10</v>
      </c>
      <c r="G50">
        <v>20.9</v>
      </c>
      <c r="H50" t="str" cm="1">
        <f t="array" ref="H50">_xlfn.IFS(G50&gt;=20,"20-25", G50&gt;=15,"15-20", G50&gt;=10,"10-15", G50&gt;=5,"5-10", G50&gt;=1,"1-5", G50&lt;1,"Less than 1")</f>
        <v>20-25</v>
      </c>
      <c r="I50">
        <v>8</v>
      </c>
      <c r="J50">
        <v>1</v>
      </c>
      <c r="K50" s="6">
        <v>1</v>
      </c>
      <c r="L50" s="2">
        <v>6.99</v>
      </c>
      <c r="M50" s="6">
        <v>27</v>
      </c>
      <c r="N50" t="str" cm="1">
        <f t="array" ref="N50">_xlfn.IFS(M50&gt;=50,"50-60 Days", M50&gt;=40,"40-50 Days", M50&gt;=30, "30-40 Days", M50&gt;=20, "20-30 Days", M50&gt;=10, "10-20 Days", M50&gt;=0, "0-10 Days")</f>
        <v>20-30 Days</v>
      </c>
    </row>
    <row r="51" spans="1:14">
      <c r="A51">
        <v>50</v>
      </c>
      <c r="B51" t="s">
        <v>29</v>
      </c>
      <c r="C51" s="5">
        <v>45289</v>
      </c>
      <c r="D51" s="8">
        <v>45289</v>
      </c>
      <c r="E51" s="8" t="str">
        <f>IF(B51="Inactive", EDATE(D51,K51), "")</f>
        <v/>
      </c>
      <c r="F51" t="s">
        <v>14</v>
      </c>
      <c r="G51">
        <v>22.5</v>
      </c>
      <c r="H51" t="str" cm="1">
        <f t="array" ref="H51">_xlfn.IFS(G51&gt;=20,"20-25", G51&gt;=15,"15-20", G51&gt;=10,"10-15", G51&gt;=5,"5-10", G51&gt;=1,"1-5", G51&lt;1,"Less than 1")</f>
        <v>20-25</v>
      </c>
      <c r="I51">
        <v>3</v>
      </c>
      <c r="J51">
        <v>5</v>
      </c>
      <c r="K51" s="6">
        <v>1</v>
      </c>
      <c r="L51" s="2">
        <v>3.99</v>
      </c>
      <c r="M51" s="6">
        <v>15</v>
      </c>
      <c r="N51" t="str" cm="1">
        <f t="array" ref="N51">_xlfn.IFS(M51&gt;=50,"50-60 Days", M51&gt;=40,"40-50 Days", M51&gt;=30, "30-40 Days", M51&gt;=20, "20-30 Days", M51&gt;=10, "10-20 Days", M51&gt;=0, "0-10 Days")</f>
        <v>10-20 Days</v>
      </c>
    </row>
    <row r="52" spans="1:14">
      <c r="A52">
        <v>51</v>
      </c>
      <c r="B52" t="s">
        <v>28</v>
      </c>
      <c r="C52" s="5">
        <v>45108</v>
      </c>
      <c r="D52" s="8">
        <v>45108</v>
      </c>
      <c r="E52" s="8">
        <f>IF(B52="Inactive", EDATE(D52,K52), "")</f>
        <v>45383</v>
      </c>
      <c r="F52" t="s">
        <v>10</v>
      </c>
      <c r="G52">
        <v>24.4</v>
      </c>
      <c r="H52" t="str" cm="1">
        <f t="array" ref="H52">_xlfn.IFS(G52&gt;=20,"20-25", G52&gt;=15,"15-20", G52&gt;=10,"10-15", G52&gt;=5,"5-10", G52&gt;=1,"1-5", G52&lt;1,"Less than 1")</f>
        <v>20-25</v>
      </c>
      <c r="I52">
        <v>2</v>
      </c>
      <c r="J52">
        <v>1</v>
      </c>
      <c r="K52" s="6">
        <v>9</v>
      </c>
      <c r="L52" s="2">
        <v>6.99</v>
      </c>
      <c r="M52" s="6">
        <v>55</v>
      </c>
      <c r="N52" t="str" cm="1">
        <f t="array" ref="N52">_xlfn.IFS(M52&gt;=50,"50-60 Days", M52&gt;=40,"40-50 Days", M52&gt;=30, "30-40 Days", M52&gt;=20, "20-30 Days", M52&gt;=10, "10-20 Days", M52&gt;=0, "0-10 Days")</f>
        <v>50-60 Days</v>
      </c>
    </row>
    <row r="53" spans="1:14">
      <c r="A53">
        <v>52</v>
      </c>
      <c r="B53" t="s">
        <v>28</v>
      </c>
      <c r="C53" s="5">
        <v>45181</v>
      </c>
      <c r="D53" s="8">
        <v>45181</v>
      </c>
      <c r="E53" s="8">
        <f>IF(B53="Inactive", EDATE(D53,K53), "")</f>
        <v>45211</v>
      </c>
      <c r="F53" t="s">
        <v>14</v>
      </c>
      <c r="G53">
        <v>4.9000000000000004</v>
      </c>
      <c r="H53" t="str" cm="1">
        <f t="array" ref="H53">_xlfn.IFS(G53&gt;=20,"20-25", G53&gt;=15,"15-20", G53&gt;=10,"10-15", G53&gt;=5,"5-10", G53&gt;=1,"1-5", G53&lt;1,"Less than 1")</f>
        <v>1-5</v>
      </c>
      <c r="I53">
        <v>5</v>
      </c>
      <c r="J53">
        <v>3</v>
      </c>
      <c r="K53" s="6">
        <v>1</v>
      </c>
      <c r="L53" s="2">
        <v>3.99</v>
      </c>
      <c r="M53" s="6">
        <v>51</v>
      </c>
      <c r="N53" t="str" cm="1">
        <f t="array" ref="N53">_xlfn.IFS(M53&gt;=50,"50-60 Days", M53&gt;=40,"40-50 Days", M53&gt;=30, "30-40 Days", M53&gt;=20, "20-30 Days", M53&gt;=10, "10-20 Days", M53&gt;=0, "0-10 Days")</f>
        <v>50-60 Days</v>
      </c>
    </row>
    <row r="54" spans="1:14">
      <c r="A54">
        <v>53</v>
      </c>
      <c r="B54" t="s">
        <v>28</v>
      </c>
      <c r="C54" s="5">
        <v>45408</v>
      </c>
      <c r="D54" s="8">
        <v>45408</v>
      </c>
      <c r="E54" s="8">
        <f>IF(B54="Inactive", EDATE(D54,K54), "")</f>
        <v>45530</v>
      </c>
      <c r="F54" t="s">
        <v>14</v>
      </c>
      <c r="G54">
        <v>19.8</v>
      </c>
      <c r="H54" t="str" cm="1">
        <f t="array" ref="H54">_xlfn.IFS(G54&gt;=20,"20-25", G54&gt;=15,"15-20", G54&gt;=10,"10-15", G54&gt;=5,"5-10", G54&gt;=1,"1-5", G54&lt;1,"Less than 1")</f>
        <v>15-20</v>
      </c>
      <c r="I54">
        <v>1</v>
      </c>
      <c r="J54">
        <v>3</v>
      </c>
      <c r="K54" s="6">
        <v>4</v>
      </c>
      <c r="L54" s="2">
        <v>3.99</v>
      </c>
      <c r="M54" s="6">
        <v>55</v>
      </c>
      <c r="N54" t="str" cm="1">
        <f t="array" ref="N54">_xlfn.IFS(M54&gt;=50,"50-60 Days", M54&gt;=40,"40-50 Days", M54&gt;=30, "30-40 Days", M54&gt;=20, "20-30 Days", M54&gt;=10, "10-20 Days", M54&gt;=0, "0-10 Days")</f>
        <v>50-60 Days</v>
      </c>
    </row>
    <row r="55" spans="1:14">
      <c r="A55">
        <v>54</v>
      </c>
      <c r="B55" t="s">
        <v>29</v>
      </c>
      <c r="C55" s="5">
        <v>45160</v>
      </c>
      <c r="D55" s="8">
        <v>45160</v>
      </c>
      <c r="E55" s="8" t="str">
        <f>IF(B55="Inactive", EDATE(D55,K55), "")</f>
        <v/>
      </c>
      <c r="F55" t="s">
        <v>12</v>
      </c>
      <c r="G55">
        <v>20.5</v>
      </c>
      <c r="H55" t="str" cm="1">
        <f t="array" ref="H55">_xlfn.IFS(G55&gt;=20,"20-25", G55&gt;=15,"15-20", G55&gt;=10,"10-15", G55&gt;=5,"5-10", G55&gt;=1,"1-5", G55&lt;1,"Less than 1")</f>
        <v>20-25</v>
      </c>
      <c r="I55">
        <v>7</v>
      </c>
      <c r="J55">
        <v>2</v>
      </c>
      <c r="K55" s="6">
        <v>5</v>
      </c>
      <c r="L55" s="2">
        <v>1.99</v>
      </c>
      <c r="M55" s="6">
        <v>19</v>
      </c>
      <c r="N55" t="str" cm="1">
        <f t="array" ref="N55">_xlfn.IFS(M55&gt;=50,"50-60 Days", M55&gt;=40,"40-50 Days", M55&gt;=30, "30-40 Days", M55&gt;=20, "20-30 Days", M55&gt;=10, "10-20 Days", M55&gt;=0, "0-10 Days")</f>
        <v>10-20 Days</v>
      </c>
    </row>
    <row r="56" spans="1:14">
      <c r="A56">
        <v>55</v>
      </c>
      <c r="B56" t="s">
        <v>29</v>
      </c>
      <c r="C56" s="5">
        <v>45212</v>
      </c>
      <c r="D56" s="8">
        <v>45212</v>
      </c>
      <c r="E56" s="8" t="str">
        <f>IF(B56="Inactive", EDATE(D56,K56), "")</f>
        <v/>
      </c>
      <c r="F56" t="s">
        <v>12</v>
      </c>
      <c r="G56">
        <v>16.7</v>
      </c>
      <c r="H56" t="str" cm="1">
        <f t="array" ref="H56">_xlfn.IFS(G56&gt;=20,"20-25", G56&gt;=15,"15-20", G56&gt;=10,"10-15", G56&gt;=5,"5-10", G56&gt;=1,"1-5", G56&lt;1,"Less than 1")</f>
        <v>15-20</v>
      </c>
      <c r="I56">
        <v>6</v>
      </c>
      <c r="J56">
        <v>2</v>
      </c>
      <c r="K56" s="6">
        <v>1</v>
      </c>
      <c r="L56" s="2">
        <v>1.99</v>
      </c>
      <c r="M56" s="6">
        <v>17</v>
      </c>
      <c r="N56" t="str" cm="1">
        <f t="array" ref="N56">_xlfn.IFS(M56&gt;=50,"50-60 Days", M56&gt;=40,"40-50 Days", M56&gt;=30, "30-40 Days", M56&gt;=20, "20-30 Days", M56&gt;=10, "10-20 Days", M56&gt;=0, "0-10 Days")</f>
        <v>10-20 Days</v>
      </c>
    </row>
    <row r="57" spans="1:14">
      <c r="A57">
        <v>56</v>
      </c>
      <c r="B57" t="s">
        <v>28</v>
      </c>
      <c r="C57" s="5">
        <v>45194</v>
      </c>
      <c r="D57" s="8">
        <v>45194</v>
      </c>
      <c r="E57" s="8">
        <f>IF(B57="Inactive", EDATE(D57,K57), "")</f>
        <v>45529</v>
      </c>
      <c r="F57" t="s">
        <v>14</v>
      </c>
      <c r="G57">
        <v>10.3</v>
      </c>
      <c r="H57" t="str" cm="1">
        <f t="array" ref="H57">_xlfn.IFS(G57&gt;=20,"20-25", G57&gt;=15,"15-20", G57&gt;=10,"10-15", G57&gt;=5,"5-10", G57&gt;=1,"1-5", G57&lt;1,"Less than 1")</f>
        <v>10-15</v>
      </c>
      <c r="I57">
        <v>8</v>
      </c>
      <c r="J57">
        <v>2</v>
      </c>
      <c r="K57" s="6">
        <v>11</v>
      </c>
      <c r="L57" s="2">
        <v>3.99</v>
      </c>
      <c r="M57" s="6">
        <v>60</v>
      </c>
      <c r="N57" t="str" cm="1">
        <f t="array" ref="N57">_xlfn.IFS(M57&gt;=50,"50-60 Days", M57&gt;=40,"40-50 Days", M57&gt;=30, "30-40 Days", M57&gt;=20, "20-30 Days", M57&gt;=10, "10-20 Days", M57&gt;=0, "0-10 Days")</f>
        <v>50-60 Days</v>
      </c>
    </row>
    <row r="58" spans="1:14">
      <c r="A58">
        <v>57</v>
      </c>
      <c r="B58" t="s">
        <v>28</v>
      </c>
      <c r="C58" s="5">
        <v>45373</v>
      </c>
      <c r="D58" s="8">
        <v>45373</v>
      </c>
      <c r="E58" s="8">
        <f>IF(B58="Inactive", EDATE(D58,K58), "")</f>
        <v>45557</v>
      </c>
      <c r="F58" t="s">
        <v>12</v>
      </c>
      <c r="G58">
        <v>1.4</v>
      </c>
      <c r="H58" t="str" cm="1">
        <f t="array" ref="H58">_xlfn.IFS(G58&gt;=20,"20-25", G58&gt;=15,"15-20", G58&gt;=10,"10-15", G58&gt;=5,"5-10", G58&gt;=1,"1-5", G58&lt;1,"Less than 1")</f>
        <v>1-5</v>
      </c>
      <c r="I58">
        <v>6</v>
      </c>
      <c r="J58">
        <v>2</v>
      </c>
      <c r="K58" s="6">
        <v>6</v>
      </c>
      <c r="L58" s="2">
        <v>1.99</v>
      </c>
      <c r="M58" s="6">
        <v>46</v>
      </c>
      <c r="N58" t="str" cm="1">
        <f t="array" ref="N58">_xlfn.IFS(M58&gt;=50,"50-60 Days", M58&gt;=40,"40-50 Days", M58&gt;=30, "30-40 Days", M58&gt;=20, "20-30 Days", M58&gt;=10, "10-20 Days", M58&gt;=0, "0-10 Days")</f>
        <v>40-50 Days</v>
      </c>
    </row>
    <row r="59" spans="1:14">
      <c r="A59">
        <v>58</v>
      </c>
      <c r="B59" t="s">
        <v>29</v>
      </c>
      <c r="C59" s="5">
        <v>44928</v>
      </c>
      <c r="D59" s="8">
        <v>44928</v>
      </c>
      <c r="E59" s="8" t="str">
        <f>IF(B59="Inactive", EDATE(D59,K59), "")</f>
        <v/>
      </c>
      <c r="F59" t="s">
        <v>10</v>
      </c>
      <c r="G59">
        <v>3.3</v>
      </c>
      <c r="H59" t="str" cm="1">
        <f t="array" ref="H59">_xlfn.IFS(G59&gt;=20,"20-25", G59&gt;=15,"15-20", G59&gt;=10,"10-15", G59&gt;=5,"5-10", G59&gt;=1,"1-5", G59&lt;1,"Less than 1")</f>
        <v>1-5</v>
      </c>
      <c r="I59">
        <v>3</v>
      </c>
      <c r="J59">
        <v>2</v>
      </c>
      <c r="K59" s="6">
        <v>11</v>
      </c>
      <c r="L59" s="2">
        <v>6.99</v>
      </c>
      <c r="M59" s="6">
        <v>2</v>
      </c>
      <c r="N59" t="str" cm="1">
        <f t="array" ref="N59">_xlfn.IFS(M59&gt;=50,"50-60 Days", M59&gt;=40,"40-50 Days", M59&gt;=30, "30-40 Days", M59&gt;=20, "20-30 Days", M59&gt;=10, "10-20 Days", M59&gt;=0, "0-10 Days")</f>
        <v>0-10 Days</v>
      </c>
    </row>
    <row r="60" spans="1:14">
      <c r="A60">
        <v>59</v>
      </c>
      <c r="B60" t="s">
        <v>28</v>
      </c>
      <c r="C60" s="5">
        <v>45607</v>
      </c>
      <c r="D60" s="8">
        <v>45607</v>
      </c>
      <c r="E60" s="8">
        <f>IF(B60="Inactive", EDATE(D60,K60), "")</f>
        <v>45972</v>
      </c>
      <c r="F60" t="s">
        <v>10</v>
      </c>
      <c r="G60">
        <v>17.3</v>
      </c>
      <c r="H60" t="str" cm="1">
        <f t="array" ref="H60">_xlfn.IFS(G60&gt;=20,"20-25", G60&gt;=15,"15-20", G60&gt;=10,"10-15", G60&gt;=5,"5-10", G60&gt;=1,"1-5", G60&lt;1,"Less than 1")</f>
        <v>15-20</v>
      </c>
      <c r="I60">
        <v>3</v>
      </c>
      <c r="J60">
        <v>2</v>
      </c>
      <c r="K60" s="6">
        <v>12</v>
      </c>
      <c r="L60" s="2">
        <v>6.99</v>
      </c>
      <c r="M60" s="6">
        <v>27</v>
      </c>
      <c r="N60" t="str" cm="1">
        <f t="array" ref="N60">_xlfn.IFS(M60&gt;=50,"50-60 Days", M60&gt;=40,"40-50 Days", M60&gt;=30, "30-40 Days", M60&gt;=20, "20-30 Days", M60&gt;=10, "10-20 Days", M60&gt;=0, "0-10 Days")</f>
        <v>20-30 Days</v>
      </c>
    </row>
    <row r="61" spans="1:14">
      <c r="A61">
        <v>60</v>
      </c>
      <c r="B61" t="s">
        <v>28</v>
      </c>
      <c r="C61" s="5">
        <v>45243</v>
      </c>
      <c r="D61" s="8">
        <v>45243</v>
      </c>
      <c r="E61" s="8">
        <f>IF(B61="Inactive", EDATE(D61,K61), "")</f>
        <v>45456</v>
      </c>
      <c r="F61" t="s">
        <v>14</v>
      </c>
      <c r="G61">
        <v>16.8</v>
      </c>
      <c r="H61" t="str" cm="1">
        <f t="array" ref="H61">_xlfn.IFS(G61&gt;=20,"20-25", G61&gt;=15,"15-20", G61&gt;=10,"10-15", G61&gt;=5,"5-10", G61&gt;=1,"1-5", G61&lt;1,"Less than 1")</f>
        <v>15-20</v>
      </c>
      <c r="I61">
        <v>1</v>
      </c>
      <c r="J61">
        <v>5</v>
      </c>
      <c r="K61" s="6">
        <v>7</v>
      </c>
      <c r="L61" s="2">
        <v>3.99</v>
      </c>
      <c r="M61" s="6">
        <v>57</v>
      </c>
      <c r="N61" t="str" cm="1">
        <f t="array" ref="N61">_xlfn.IFS(M61&gt;=50,"50-60 Days", M61&gt;=40,"40-50 Days", M61&gt;=30, "30-40 Days", M61&gt;=20, "20-30 Days", M61&gt;=10, "10-20 Days", M61&gt;=0, "0-10 Days")</f>
        <v>50-60 Days</v>
      </c>
    </row>
    <row r="62" spans="1:14">
      <c r="A62">
        <v>61</v>
      </c>
      <c r="B62" t="s">
        <v>28</v>
      </c>
      <c r="C62" s="5">
        <v>45607</v>
      </c>
      <c r="D62" s="8">
        <v>45607</v>
      </c>
      <c r="E62" s="8">
        <f>IF(B62="Inactive", EDATE(D62,K62), "")</f>
        <v>45880</v>
      </c>
      <c r="F62" t="s">
        <v>10</v>
      </c>
      <c r="G62">
        <v>8.5</v>
      </c>
      <c r="H62" t="str" cm="1">
        <f t="array" ref="H62">_xlfn.IFS(G62&gt;=20,"20-25", G62&gt;=15,"15-20", G62&gt;=10,"10-15", G62&gt;=5,"5-10", G62&gt;=1,"1-5", G62&lt;1,"Less than 1")</f>
        <v>5-10</v>
      </c>
      <c r="I62">
        <v>4</v>
      </c>
      <c r="J62">
        <v>4</v>
      </c>
      <c r="K62" s="6">
        <v>9</v>
      </c>
      <c r="L62" s="2">
        <v>6.99</v>
      </c>
      <c r="M62" s="6">
        <v>8</v>
      </c>
      <c r="N62" t="str" cm="1">
        <f t="array" ref="N62">_xlfn.IFS(M62&gt;=50,"50-60 Days", M62&gt;=40,"40-50 Days", M62&gt;=30, "30-40 Days", M62&gt;=20, "20-30 Days", M62&gt;=10, "10-20 Days", M62&gt;=0, "0-10 Days")</f>
        <v>0-10 Days</v>
      </c>
    </row>
    <row r="63" spans="1:14">
      <c r="A63">
        <v>62</v>
      </c>
      <c r="B63" t="s">
        <v>29</v>
      </c>
      <c r="C63" s="5">
        <v>45238</v>
      </c>
      <c r="D63" s="8">
        <v>45238</v>
      </c>
      <c r="E63" s="8" t="str">
        <f>IF(B63="Inactive", EDATE(D63,K63), "")</f>
        <v/>
      </c>
      <c r="F63" t="s">
        <v>14</v>
      </c>
      <c r="G63">
        <v>15.6</v>
      </c>
      <c r="H63" t="str" cm="1">
        <f t="array" ref="H63">_xlfn.IFS(G63&gt;=20,"20-25", G63&gt;=15,"15-20", G63&gt;=10,"10-15", G63&gt;=5,"5-10", G63&gt;=1,"1-5", G63&lt;1,"Less than 1")</f>
        <v>15-20</v>
      </c>
      <c r="I63">
        <v>4</v>
      </c>
      <c r="J63">
        <v>3</v>
      </c>
      <c r="K63" s="6">
        <v>4</v>
      </c>
      <c r="L63" s="2">
        <v>3.99</v>
      </c>
      <c r="M63" s="6">
        <v>35</v>
      </c>
      <c r="N63" t="str" cm="1">
        <f t="array" ref="N63">_xlfn.IFS(M63&gt;=50,"50-60 Days", M63&gt;=40,"40-50 Days", M63&gt;=30, "30-40 Days", M63&gt;=20, "20-30 Days", M63&gt;=10, "10-20 Days", M63&gt;=0, "0-10 Days")</f>
        <v>30-40 Days</v>
      </c>
    </row>
    <row r="64" spans="1:14">
      <c r="A64">
        <v>63</v>
      </c>
      <c r="B64" t="s">
        <v>28</v>
      </c>
      <c r="C64" s="5">
        <v>45145</v>
      </c>
      <c r="D64" s="8">
        <v>45145</v>
      </c>
      <c r="E64" s="8">
        <f>IF(B64="Inactive", EDATE(D64,K64), "")</f>
        <v>45298</v>
      </c>
      <c r="F64" t="s">
        <v>14</v>
      </c>
      <c r="G64">
        <v>11</v>
      </c>
      <c r="H64" t="str" cm="1">
        <f t="array" ref="H64">_xlfn.IFS(G64&gt;=20,"20-25", G64&gt;=15,"15-20", G64&gt;=10,"10-15", G64&gt;=5,"5-10", G64&gt;=1,"1-5", G64&lt;1,"Less than 1")</f>
        <v>10-15</v>
      </c>
      <c r="I64">
        <v>5</v>
      </c>
      <c r="J64">
        <v>3</v>
      </c>
      <c r="K64" s="6">
        <v>5</v>
      </c>
      <c r="L64" s="2">
        <v>3.99</v>
      </c>
      <c r="M64" s="6">
        <v>28</v>
      </c>
      <c r="N64" t="str" cm="1">
        <f t="array" ref="N64">_xlfn.IFS(M64&gt;=50,"50-60 Days", M64&gt;=40,"40-50 Days", M64&gt;=30, "30-40 Days", M64&gt;=20, "20-30 Days", M64&gt;=10, "10-20 Days", M64&gt;=0, "0-10 Days")</f>
        <v>20-30 Days</v>
      </c>
    </row>
    <row r="65" spans="1:14">
      <c r="A65">
        <v>64</v>
      </c>
      <c r="B65" t="s">
        <v>28</v>
      </c>
      <c r="C65" s="5">
        <v>45606</v>
      </c>
      <c r="D65" s="8">
        <v>45606</v>
      </c>
      <c r="E65" s="8">
        <f>IF(B65="Inactive", EDATE(D65,K65), "")</f>
        <v>45940</v>
      </c>
      <c r="F65" t="s">
        <v>10</v>
      </c>
      <c r="G65">
        <v>19.899999999999999</v>
      </c>
      <c r="H65" t="str" cm="1">
        <f t="array" ref="H65">_xlfn.IFS(G65&gt;=20,"20-25", G65&gt;=15,"15-20", G65&gt;=10,"10-15", G65&gt;=5,"5-10", G65&gt;=1,"1-5", G65&lt;1,"Less than 1")</f>
        <v>15-20</v>
      </c>
      <c r="I65">
        <v>2</v>
      </c>
      <c r="J65">
        <v>5</v>
      </c>
      <c r="K65" s="6">
        <v>11</v>
      </c>
      <c r="L65" s="2">
        <v>6.99</v>
      </c>
      <c r="M65" s="6">
        <v>5</v>
      </c>
      <c r="N65" t="str" cm="1">
        <f t="array" ref="N65">_xlfn.IFS(M65&gt;=50,"50-60 Days", M65&gt;=40,"40-50 Days", M65&gt;=30, "30-40 Days", M65&gt;=20, "20-30 Days", M65&gt;=10, "10-20 Days", M65&gt;=0, "0-10 Days")</f>
        <v>0-10 Days</v>
      </c>
    </row>
    <row r="66" spans="1:14">
      <c r="A66">
        <v>65</v>
      </c>
      <c r="B66" t="s">
        <v>28</v>
      </c>
      <c r="C66" s="5">
        <v>45130</v>
      </c>
      <c r="D66" s="8">
        <v>45130</v>
      </c>
      <c r="E66" s="8">
        <f>IF(B66="Inactive", EDATE(D66,K66), "")</f>
        <v>45374</v>
      </c>
      <c r="F66" t="s">
        <v>10</v>
      </c>
      <c r="G66">
        <v>2.8</v>
      </c>
      <c r="H66" t="str" cm="1">
        <f t="array" ref="H66">_xlfn.IFS(G66&gt;=20,"20-25", G66&gt;=15,"15-20", G66&gt;=10,"10-15", G66&gt;=5,"5-10", G66&gt;=1,"1-5", G66&lt;1,"Less than 1")</f>
        <v>1-5</v>
      </c>
      <c r="I66">
        <v>3</v>
      </c>
      <c r="J66">
        <v>5</v>
      </c>
      <c r="K66" s="6">
        <v>8</v>
      </c>
      <c r="L66" s="2">
        <v>6.99</v>
      </c>
      <c r="M66" s="6">
        <v>19</v>
      </c>
      <c r="N66" t="str" cm="1">
        <f t="array" ref="N66">_xlfn.IFS(M66&gt;=50,"50-60 Days", M66&gt;=40,"40-50 Days", M66&gt;=30, "30-40 Days", M66&gt;=20, "20-30 Days", M66&gt;=10, "10-20 Days", M66&gt;=0, "0-10 Days")</f>
        <v>10-20 Days</v>
      </c>
    </row>
    <row r="67" spans="1:14">
      <c r="A67">
        <v>66</v>
      </c>
      <c r="B67" t="s">
        <v>28</v>
      </c>
      <c r="C67" s="5">
        <v>45393</v>
      </c>
      <c r="D67" s="8">
        <v>45393</v>
      </c>
      <c r="E67" s="8">
        <f>IF(B67="Inactive", EDATE(D67,K67), "")</f>
        <v>45423</v>
      </c>
      <c r="F67" t="s">
        <v>12</v>
      </c>
      <c r="G67">
        <v>1.6</v>
      </c>
      <c r="H67" t="str" cm="1">
        <f t="array" ref="H67">_xlfn.IFS(G67&gt;=20,"20-25", G67&gt;=15,"15-20", G67&gt;=10,"10-15", G67&gt;=5,"5-10", G67&gt;=1,"1-5", G67&lt;1,"Less than 1")</f>
        <v>1-5</v>
      </c>
      <c r="I67">
        <v>7</v>
      </c>
      <c r="J67">
        <v>4</v>
      </c>
      <c r="K67" s="6">
        <v>1</v>
      </c>
      <c r="L67" s="2">
        <v>1.99</v>
      </c>
      <c r="M67" s="6">
        <v>54</v>
      </c>
      <c r="N67" t="str" cm="1">
        <f t="array" ref="N67">_xlfn.IFS(M67&gt;=50,"50-60 Days", M67&gt;=40,"40-50 Days", M67&gt;=30, "30-40 Days", M67&gt;=20, "20-30 Days", M67&gt;=10, "10-20 Days", M67&gt;=0, "0-10 Days")</f>
        <v>50-60 Days</v>
      </c>
    </row>
    <row r="68" spans="1:14">
      <c r="A68">
        <v>67</v>
      </c>
      <c r="B68" t="s">
        <v>28</v>
      </c>
      <c r="C68" s="5">
        <v>45598</v>
      </c>
      <c r="D68" s="8">
        <v>45598</v>
      </c>
      <c r="E68" s="8">
        <f>IF(B68="Inactive", EDATE(D68,K68), "")</f>
        <v>45749</v>
      </c>
      <c r="F68" t="s">
        <v>14</v>
      </c>
      <c r="G68">
        <v>18.100000000000001</v>
      </c>
      <c r="H68" t="str" cm="1">
        <f t="array" ref="H68">_xlfn.IFS(G68&gt;=20,"20-25", G68&gt;=15,"15-20", G68&gt;=10,"10-15", G68&gt;=5,"5-10", G68&gt;=1,"1-5", G68&lt;1,"Less than 1")</f>
        <v>15-20</v>
      </c>
      <c r="I68">
        <v>6</v>
      </c>
      <c r="J68">
        <v>3</v>
      </c>
      <c r="K68" s="6">
        <v>5</v>
      </c>
      <c r="L68" s="2">
        <v>3.99</v>
      </c>
      <c r="M68" s="6">
        <v>25</v>
      </c>
      <c r="N68" t="str" cm="1">
        <f t="array" ref="N68">_xlfn.IFS(M68&gt;=50,"50-60 Days", M68&gt;=40,"40-50 Days", M68&gt;=30, "30-40 Days", M68&gt;=20, "20-30 Days", M68&gt;=10, "10-20 Days", M68&gt;=0, "0-10 Days")</f>
        <v>20-30 Days</v>
      </c>
    </row>
    <row r="69" spans="1:14">
      <c r="A69">
        <v>68</v>
      </c>
      <c r="B69" t="s">
        <v>28</v>
      </c>
      <c r="C69" s="5">
        <v>45639</v>
      </c>
      <c r="D69" s="8">
        <v>45639</v>
      </c>
      <c r="E69" s="8">
        <f>IF(B69="Inactive", EDATE(D69,K69), "")</f>
        <v>45670</v>
      </c>
      <c r="F69" t="s">
        <v>10</v>
      </c>
      <c r="G69">
        <v>22.4</v>
      </c>
      <c r="H69" t="str" cm="1">
        <f t="array" ref="H69">_xlfn.IFS(G69&gt;=20,"20-25", G69&gt;=15,"15-20", G69&gt;=10,"10-15", G69&gt;=5,"5-10", G69&gt;=1,"1-5", G69&lt;1,"Less than 1")</f>
        <v>20-25</v>
      </c>
      <c r="I69">
        <v>1</v>
      </c>
      <c r="J69">
        <v>3</v>
      </c>
      <c r="K69" s="6">
        <v>1</v>
      </c>
      <c r="L69" s="2">
        <v>6.99</v>
      </c>
      <c r="M69" s="6">
        <v>14</v>
      </c>
      <c r="N69" t="str" cm="1">
        <f t="array" ref="N69">_xlfn.IFS(M69&gt;=50,"50-60 Days", M69&gt;=40,"40-50 Days", M69&gt;=30, "30-40 Days", M69&gt;=20, "20-30 Days", M69&gt;=10, "10-20 Days", M69&gt;=0, "0-10 Days")</f>
        <v>10-20 Days</v>
      </c>
    </row>
    <row r="70" spans="1:14">
      <c r="A70">
        <v>69</v>
      </c>
      <c r="B70" t="s">
        <v>28</v>
      </c>
      <c r="C70" s="5">
        <v>45402</v>
      </c>
      <c r="D70" s="8">
        <v>45402</v>
      </c>
      <c r="E70" s="8">
        <f>IF(B70="Inactive", EDATE(D70,K70), "")</f>
        <v>45708</v>
      </c>
      <c r="F70" t="s">
        <v>10</v>
      </c>
      <c r="G70">
        <v>1.7</v>
      </c>
      <c r="H70" t="str" cm="1">
        <f t="array" ref="H70">_xlfn.IFS(G70&gt;=20,"20-25", G70&gt;=15,"15-20", G70&gt;=10,"10-15", G70&gt;=5,"5-10", G70&gt;=1,"1-5", G70&lt;1,"Less than 1")</f>
        <v>1-5</v>
      </c>
      <c r="I70">
        <v>3</v>
      </c>
      <c r="J70">
        <v>0</v>
      </c>
      <c r="K70" s="6">
        <v>10</v>
      </c>
      <c r="L70" s="2">
        <v>6.99</v>
      </c>
      <c r="M70" s="6">
        <v>29</v>
      </c>
      <c r="N70" t="str" cm="1">
        <f t="array" ref="N70">_xlfn.IFS(M70&gt;=50,"50-60 Days", M70&gt;=40,"40-50 Days", M70&gt;=30, "30-40 Days", M70&gt;=20, "20-30 Days", M70&gt;=10, "10-20 Days", M70&gt;=0, "0-10 Days")</f>
        <v>20-30 Days</v>
      </c>
    </row>
    <row r="71" spans="1:14">
      <c r="A71">
        <v>70</v>
      </c>
      <c r="B71" t="s">
        <v>29</v>
      </c>
      <c r="C71" s="5">
        <v>45443</v>
      </c>
      <c r="D71" s="8">
        <v>45443</v>
      </c>
      <c r="E71" s="8" t="str">
        <f>IF(B71="Inactive", EDATE(D71,K71), "")</f>
        <v/>
      </c>
      <c r="F71" t="s">
        <v>10</v>
      </c>
      <c r="G71">
        <v>24.7</v>
      </c>
      <c r="H71" t="str" cm="1">
        <f t="array" ref="H71">_xlfn.IFS(G71&gt;=20,"20-25", G71&gt;=15,"15-20", G71&gt;=10,"10-15", G71&gt;=5,"5-10", G71&gt;=1,"1-5", G71&lt;1,"Less than 1")</f>
        <v>20-25</v>
      </c>
      <c r="I71">
        <v>5</v>
      </c>
      <c r="J71">
        <v>3</v>
      </c>
      <c r="K71" s="6">
        <v>12</v>
      </c>
      <c r="L71" s="2">
        <v>6.99</v>
      </c>
      <c r="M71" s="6">
        <v>39</v>
      </c>
      <c r="N71" t="str" cm="1">
        <f t="array" ref="N71">_xlfn.IFS(M71&gt;=50,"50-60 Days", M71&gt;=40,"40-50 Days", M71&gt;=30, "30-40 Days", M71&gt;=20, "20-30 Days", M71&gt;=10, "10-20 Days", M71&gt;=0, "0-10 Days")</f>
        <v>30-40 Days</v>
      </c>
    </row>
    <row r="72" spans="1:14">
      <c r="A72">
        <v>71</v>
      </c>
      <c r="B72" t="s">
        <v>28</v>
      </c>
      <c r="C72" s="5">
        <v>45192</v>
      </c>
      <c r="D72" s="8">
        <v>45192</v>
      </c>
      <c r="E72" s="8">
        <f>IF(B72="Inactive", EDATE(D72,K72), "")</f>
        <v>45558</v>
      </c>
      <c r="F72" t="s">
        <v>14</v>
      </c>
      <c r="G72">
        <v>11.4</v>
      </c>
      <c r="H72" t="str" cm="1">
        <f t="array" ref="H72">_xlfn.IFS(G72&gt;=20,"20-25", G72&gt;=15,"15-20", G72&gt;=10,"10-15", G72&gt;=5,"5-10", G72&gt;=1,"1-5", G72&lt;1,"Less than 1")</f>
        <v>10-15</v>
      </c>
      <c r="I72">
        <v>2</v>
      </c>
      <c r="J72">
        <v>5</v>
      </c>
      <c r="K72" s="6">
        <v>12</v>
      </c>
      <c r="L72" s="2">
        <v>3.99</v>
      </c>
      <c r="M72" s="6">
        <v>55</v>
      </c>
      <c r="N72" t="str" cm="1">
        <f t="array" ref="N72">_xlfn.IFS(M72&gt;=50,"50-60 Days", M72&gt;=40,"40-50 Days", M72&gt;=30, "30-40 Days", M72&gt;=20, "20-30 Days", M72&gt;=10, "10-20 Days", M72&gt;=0, "0-10 Days")</f>
        <v>50-60 Days</v>
      </c>
    </row>
    <row r="73" spans="1:14">
      <c r="A73">
        <v>72</v>
      </c>
      <c r="B73" t="s">
        <v>28</v>
      </c>
      <c r="C73" s="5">
        <v>45377</v>
      </c>
      <c r="D73" s="8">
        <v>45377</v>
      </c>
      <c r="E73" s="8">
        <f>IF(B73="Inactive", EDATE(D73,K73), "")</f>
        <v>45561</v>
      </c>
      <c r="F73" t="s">
        <v>12</v>
      </c>
      <c r="G73">
        <v>19.3</v>
      </c>
      <c r="H73" t="str" cm="1">
        <f t="array" ref="H73">_xlfn.IFS(G73&gt;=20,"20-25", G73&gt;=15,"15-20", G73&gt;=10,"10-15", G73&gt;=5,"5-10", G73&gt;=1,"1-5", G73&lt;1,"Less than 1")</f>
        <v>15-20</v>
      </c>
      <c r="I73">
        <v>8</v>
      </c>
      <c r="J73">
        <v>3</v>
      </c>
      <c r="K73" s="6">
        <v>6</v>
      </c>
      <c r="L73" s="2">
        <v>1.99</v>
      </c>
      <c r="M73" s="6">
        <v>40</v>
      </c>
      <c r="N73" t="str" cm="1">
        <f t="array" ref="N73">_xlfn.IFS(M73&gt;=50,"50-60 Days", M73&gt;=40,"40-50 Days", M73&gt;=30, "30-40 Days", M73&gt;=20, "20-30 Days", M73&gt;=10, "10-20 Days", M73&gt;=0, "0-10 Days")</f>
        <v>40-50 Days</v>
      </c>
    </row>
    <row r="74" spans="1:14">
      <c r="A74">
        <v>73</v>
      </c>
      <c r="B74" t="s">
        <v>28</v>
      </c>
      <c r="C74" s="5">
        <v>45068</v>
      </c>
      <c r="D74" s="8">
        <v>45068</v>
      </c>
      <c r="E74" s="8">
        <f>IF(B74="Inactive", EDATE(D74,K74), "")</f>
        <v>45282</v>
      </c>
      <c r="F74" t="s">
        <v>12</v>
      </c>
      <c r="G74">
        <v>6.2</v>
      </c>
      <c r="H74" t="str" cm="1">
        <f t="array" ref="H74">_xlfn.IFS(G74&gt;=20,"20-25", G74&gt;=15,"15-20", G74&gt;=10,"10-15", G74&gt;=5,"5-10", G74&gt;=1,"1-5", G74&lt;1,"Less than 1")</f>
        <v>5-10</v>
      </c>
      <c r="I74">
        <v>5</v>
      </c>
      <c r="J74">
        <v>2</v>
      </c>
      <c r="K74" s="6">
        <v>7</v>
      </c>
      <c r="L74" s="2">
        <v>1.99</v>
      </c>
      <c r="M74" s="6">
        <v>57</v>
      </c>
      <c r="N74" t="str" cm="1">
        <f t="array" ref="N74">_xlfn.IFS(M74&gt;=50,"50-60 Days", M74&gt;=40,"40-50 Days", M74&gt;=30, "30-40 Days", M74&gt;=20, "20-30 Days", M74&gt;=10, "10-20 Days", M74&gt;=0, "0-10 Days")</f>
        <v>50-60 Days</v>
      </c>
    </row>
    <row r="75" spans="1:14">
      <c r="A75">
        <v>74</v>
      </c>
      <c r="B75" t="s">
        <v>28</v>
      </c>
      <c r="C75" s="5">
        <v>45344</v>
      </c>
      <c r="D75" s="8">
        <v>45344</v>
      </c>
      <c r="E75" s="8">
        <f>IF(B75="Inactive", EDATE(D75,K75), "")</f>
        <v>45495</v>
      </c>
      <c r="F75" t="s">
        <v>12</v>
      </c>
      <c r="G75">
        <v>9.9</v>
      </c>
      <c r="H75" t="str" cm="1">
        <f t="array" ref="H75">_xlfn.IFS(G75&gt;=20,"20-25", G75&gt;=15,"15-20", G75&gt;=10,"10-15", G75&gt;=5,"5-10", G75&gt;=1,"1-5", G75&lt;1,"Less than 1")</f>
        <v>5-10</v>
      </c>
      <c r="I75">
        <v>2</v>
      </c>
      <c r="J75">
        <v>5</v>
      </c>
      <c r="K75" s="6">
        <v>5</v>
      </c>
      <c r="L75" s="2">
        <v>1.99</v>
      </c>
      <c r="M75" s="6">
        <v>13</v>
      </c>
      <c r="N75" t="str" cm="1">
        <f t="array" ref="N75">_xlfn.IFS(M75&gt;=50,"50-60 Days", M75&gt;=40,"40-50 Days", M75&gt;=30, "30-40 Days", M75&gt;=20, "20-30 Days", M75&gt;=10, "10-20 Days", M75&gt;=0, "0-10 Days")</f>
        <v>10-20 Days</v>
      </c>
    </row>
    <row r="76" spans="1:14">
      <c r="A76">
        <v>75</v>
      </c>
      <c r="B76" t="s">
        <v>29</v>
      </c>
      <c r="C76" s="5">
        <v>45525</v>
      </c>
      <c r="D76" s="8">
        <v>45525</v>
      </c>
      <c r="E76" s="8" t="str">
        <f>IF(B76="Inactive", EDATE(D76,K76), "")</f>
        <v/>
      </c>
      <c r="F76" t="s">
        <v>14</v>
      </c>
      <c r="G76">
        <v>11.9</v>
      </c>
      <c r="H76" t="str" cm="1">
        <f t="array" ref="H76">_xlfn.IFS(G76&gt;=20,"20-25", G76&gt;=15,"15-20", G76&gt;=10,"10-15", G76&gt;=5,"5-10", G76&gt;=1,"1-5", G76&lt;1,"Less than 1")</f>
        <v>10-15</v>
      </c>
      <c r="I76">
        <v>0</v>
      </c>
      <c r="J76">
        <v>1</v>
      </c>
      <c r="K76" s="6">
        <v>12</v>
      </c>
      <c r="L76" s="2">
        <v>3.99</v>
      </c>
      <c r="M76" s="6">
        <v>53</v>
      </c>
      <c r="N76" t="str" cm="1">
        <f t="array" ref="N76">_xlfn.IFS(M76&gt;=50,"50-60 Days", M76&gt;=40,"40-50 Days", M76&gt;=30, "30-40 Days", M76&gt;=20, "20-30 Days", M76&gt;=10, "10-20 Days", M76&gt;=0, "0-10 Days")</f>
        <v>50-60 Days</v>
      </c>
    </row>
    <row r="77" spans="1:14">
      <c r="A77">
        <v>76</v>
      </c>
      <c r="B77" t="s">
        <v>29</v>
      </c>
      <c r="C77" s="5">
        <v>45232</v>
      </c>
      <c r="D77" s="8">
        <v>45232</v>
      </c>
      <c r="E77" s="8" t="str">
        <f>IF(B77="Inactive", EDATE(D77,K77), "")</f>
        <v/>
      </c>
      <c r="F77" t="s">
        <v>10</v>
      </c>
      <c r="G77">
        <v>21.5</v>
      </c>
      <c r="H77" t="str" cm="1">
        <f t="array" ref="H77">_xlfn.IFS(G77&gt;=20,"20-25", G77&gt;=15,"15-20", G77&gt;=10,"10-15", G77&gt;=5,"5-10", G77&gt;=1,"1-5", G77&lt;1,"Less than 1")</f>
        <v>20-25</v>
      </c>
      <c r="I77">
        <v>6</v>
      </c>
      <c r="J77">
        <v>3</v>
      </c>
      <c r="K77" s="6">
        <v>1</v>
      </c>
      <c r="L77" s="2">
        <v>6.99</v>
      </c>
      <c r="M77" s="6">
        <v>0</v>
      </c>
      <c r="N77" t="str" cm="1">
        <f t="array" ref="N77">_xlfn.IFS(M77&gt;=50,"50-60 Days", M77&gt;=40,"40-50 Days", M77&gt;=30, "30-40 Days", M77&gt;=20, "20-30 Days", M77&gt;=10, "10-20 Days", M77&gt;=0, "0-10 Days")</f>
        <v>0-10 Days</v>
      </c>
    </row>
    <row r="78" spans="1:14">
      <c r="A78">
        <v>77</v>
      </c>
      <c r="B78" t="s">
        <v>28</v>
      </c>
      <c r="C78" s="5">
        <v>45151</v>
      </c>
      <c r="D78" s="8">
        <v>45151</v>
      </c>
      <c r="E78" s="8">
        <f>IF(B78="Inactive", EDATE(D78,K78), "")</f>
        <v>45425</v>
      </c>
      <c r="F78" t="s">
        <v>14</v>
      </c>
      <c r="G78">
        <v>13.7</v>
      </c>
      <c r="H78" t="str" cm="1">
        <f t="array" ref="H78">_xlfn.IFS(G78&gt;=20,"20-25", G78&gt;=15,"15-20", G78&gt;=10,"10-15", G78&gt;=5,"5-10", G78&gt;=1,"1-5", G78&lt;1,"Less than 1")</f>
        <v>10-15</v>
      </c>
      <c r="I78">
        <v>8</v>
      </c>
      <c r="J78">
        <v>4</v>
      </c>
      <c r="K78" s="6">
        <v>9</v>
      </c>
      <c r="L78" s="2">
        <v>3.99</v>
      </c>
      <c r="M78" s="6">
        <v>57</v>
      </c>
      <c r="N78" t="str" cm="1">
        <f t="array" ref="N78">_xlfn.IFS(M78&gt;=50,"50-60 Days", M78&gt;=40,"40-50 Days", M78&gt;=30, "30-40 Days", M78&gt;=20, "20-30 Days", M78&gt;=10, "10-20 Days", M78&gt;=0, "0-10 Days")</f>
        <v>50-60 Days</v>
      </c>
    </row>
    <row r="79" spans="1:14">
      <c r="A79">
        <v>78</v>
      </c>
      <c r="B79" t="s">
        <v>28</v>
      </c>
      <c r="C79" s="5">
        <v>45341</v>
      </c>
      <c r="D79" s="8">
        <v>45341</v>
      </c>
      <c r="E79" s="8">
        <f>IF(B79="Inactive", EDATE(D79,K79), "")</f>
        <v>45645</v>
      </c>
      <c r="F79" t="s">
        <v>14</v>
      </c>
      <c r="G79">
        <v>12.4</v>
      </c>
      <c r="H79" t="str" cm="1">
        <f t="array" ref="H79">_xlfn.IFS(G79&gt;=20,"20-25", G79&gt;=15,"15-20", G79&gt;=10,"10-15", G79&gt;=5,"5-10", G79&gt;=1,"1-5", G79&lt;1,"Less than 1")</f>
        <v>10-15</v>
      </c>
      <c r="I79">
        <v>6</v>
      </c>
      <c r="J79">
        <v>2</v>
      </c>
      <c r="K79" s="6">
        <v>10</v>
      </c>
      <c r="L79" s="2">
        <v>3.99</v>
      </c>
      <c r="M79" s="6">
        <v>42</v>
      </c>
      <c r="N79" t="str" cm="1">
        <f t="array" ref="N79">_xlfn.IFS(M79&gt;=50,"50-60 Days", M79&gt;=40,"40-50 Days", M79&gt;=30, "30-40 Days", M79&gt;=20, "20-30 Days", M79&gt;=10, "10-20 Days", M79&gt;=0, "0-10 Days")</f>
        <v>40-50 Days</v>
      </c>
    </row>
    <row r="80" spans="1:14">
      <c r="A80">
        <v>79</v>
      </c>
      <c r="B80" t="s">
        <v>28</v>
      </c>
      <c r="C80" s="5">
        <v>45330</v>
      </c>
      <c r="D80" s="8">
        <v>45330</v>
      </c>
      <c r="E80" s="8">
        <f>IF(B80="Inactive", EDATE(D80,K80), "")</f>
        <v>45451</v>
      </c>
      <c r="F80" t="s">
        <v>10</v>
      </c>
      <c r="G80">
        <v>21.1</v>
      </c>
      <c r="H80" t="str" cm="1">
        <f t="array" ref="H80">_xlfn.IFS(G80&gt;=20,"20-25", G80&gt;=15,"15-20", G80&gt;=10,"10-15", G80&gt;=5,"5-10", G80&gt;=1,"1-5", G80&lt;1,"Less than 1")</f>
        <v>20-25</v>
      </c>
      <c r="I80">
        <v>2</v>
      </c>
      <c r="J80">
        <v>4</v>
      </c>
      <c r="K80" s="6">
        <v>4</v>
      </c>
      <c r="L80" s="2">
        <v>6.99</v>
      </c>
      <c r="M80" s="6">
        <v>34</v>
      </c>
      <c r="N80" t="str" cm="1">
        <f t="array" ref="N80">_xlfn.IFS(M80&gt;=50,"50-60 Days", M80&gt;=40,"40-50 Days", M80&gt;=30, "30-40 Days", M80&gt;=20, "20-30 Days", M80&gt;=10, "10-20 Days", M80&gt;=0, "0-10 Days")</f>
        <v>30-40 Days</v>
      </c>
    </row>
    <row r="81" spans="1:14">
      <c r="A81">
        <v>80</v>
      </c>
      <c r="B81" t="s">
        <v>28</v>
      </c>
      <c r="C81" s="5">
        <v>44978</v>
      </c>
      <c r="D81" s="8">
        <v>44978</v>
      </c>
      <c r="E81" s="8">
        <f>IF(B81="Inactive", EDATE(D81,K81), "")</f>
        <v>45006</v>
      </c>
      <c r="F81" t="s">
        <v>10</v>
      </c>
      <c r="G81">
        <v>2.6</v>
      </c>
      <c r="H81" t="str" cm="1">
        <f t="array" ref="H81">_xlfn.IFS(G81&gt;=20,"20-25", G81&gt;=15,"15-20", G81&gt;=10,"10-15", G81&gt;=5,"5-10", G81&gt;=1,"1-5", G81&lt;1,"Less than 1")</f>
        <v>1-5</v>
      </c>
      <c r="I81">
        <v>6</v>
      </c>
      <c r="J81">
        <v>1</v>
      </c>
      <c r="K81" s="6">
        <v>1</v>
      </c>
      <c r="L81" s="2">
        <v>6.99</v>
      </c>
      <c r="M81" s="6">
        <v>55</v>
      </c>
      <c r="N81" t="str" cm="1">
        <f t="array" ref="N81">_xlfn.IFS(M81&gt;=50,"50-60 Days", M81&gt;=40,"40-50 Days", M81&gt;=30, "30-40 Days", M81&gt;=20, "20-30 Days", M81&gt;=10, "10-20 Days", M81&gt;=0, "0-10 Days")</f>
        <v>50-60 Days</v>
      </c>
    </row>
    <row r="82" spans="1:14">
      <c r="A82">
        <v>81</v>
      </c>
      <c r="B82" t="s">
        <v>29</v>
      </c>
      <c r="C82" s="5">
        <v>45315</v>
      </c>
      <c r="D82" s="8">
        <v>45315</v>
      </c>
      <c r="E82" s="8" t="str">
        <f>IF(B82="Inactive", EDATE(D82,K82), "")</f>
        <v/>
      </c>
      <c r="F82" t="s">
        <v>14</v>
      </c>
      <c r="G82">
        <v>8.5</v>
      </c>
      <c r="H82" t="str" cm="1">
        <f t="array" ref="H82">_xlfn.IFS(G82&gt;=20,"20-25", G82&gt;=15,"15-20", G82&gt;=10,"10-15", G82&gt;=5,"5-10", G82&gt;=1,"1-5", G82&lt;1,"Less than 1")</f>
        <v>5-10</v>
      </c>
      <c r="I82">
        <v>7</v>
      </c>
      <c r="J82">
        <v>2</v>
      </c>
      <c r="K82" s="6">
        <v>9</v>
      </c>
      <c r="L82" s="2">
        <v>3.99</v>
      </c>
      <c r="M82" s="6">
        <v>21</v>
      </c>
      <c r="N82" t="str" cm="1">
        <f t="array" ref="N82">_xlfn.IFS(M82&gt;=50,"50-60 Days", M82&gt;=40,"40-50 Days", M82&gt;=30, "30-40 Days", M82&gt;=20, "20-30 Days", M82&gt;=10, "10-20 Days", M82&gt;=0, "0-10 Days")</f>
        <v>20-30 Days</v>
      </c>
    </row>
    <row r="83" spans="1:14">
      <c r="A83">
        <v>82</v>
      </c>
      <c r="B83" t="s">
        <v>29</v>
      </c>
      <c r="C83" s="5">
        <v>44980</v>
      </c>
      <c r="D83" s="8">
        <v>44980</v>
      </c>
      <c r="E83" s="8" t="str">
        <f>IF(B83="Inactive", EDATE(D83,K83), "")</f>
        <v/>
      </c>
      <c r="F83" t="s">
        <v>14</v>
      </c>
      <c r="G83">
        <v>6.7</v>
      </c>
      <c r="H83" t="str" cm="1">
        <f t="array" ref="H83">_xlfn.IFS(G83&gt;=20,"20-25", G83&gt;=15,"15-20", G83&gt;=10,"10-15", G83&gt;=5,"5-10", G83&gt;=1,"1-5", G83&lt;1,"Less than 1")</f>
        <v>5-10</v>
      </c>
      <c r="I83">
        <v>1</v>
      </c>
      <c r="J83">
        <v>3</v>
      </c>
      <c r="K83" s="6">
        <v>9</v>
      </c>
      <c r="L83" s="2">
        <v>3.99</v>
      </c>
      <c r="M83" s="6">
        <v>1</v>
      </c>
      <c r="N83" t="str" cm="1">
        <f t="array" ref="N83">_xlfn.IFS(M83&gt;=50,"50-60 Days", M83&gt;=40,"40-50 Days", M83&gt;=30, "30-40 Days", M83&gt;=20, "20-30 Days", M83&gt;=10, "10-20 Days", M83&gt;=0, "0-10 Days")</f>
        <v>0-10 Days</v>
      </c>
    </row>
    <row r="84" spans="1:14">
      <c r="A84">
        <v>83</v>
      </c>
      <c r="B84" t="s">
        <v>28</v>
      </c>
      <c r="C84" s="5">
        <v>44947</v>
      </c>
      <c r="D84" s="8">
        <v>44947</v>
      </c>
      <c r="E84" s="8">
        <f>IF(B84="Inactive", EDATE(D84,K84), "")</f>
        <v>45098</v>
      </c>
      <c r="F84" t="s">
        <v>14</v>
      </c>
      <c r="G84">
        <v>16.399999999999999</v>
      </c>
      <c r="H84" t="str" cm="1">
        <f t="array" ref="H84">_xlfn.IFS(G84&gt;=20,"20-25", G84&gt;=15,"15-20", G84&gt;=10,"10-15", G84&gt;=5,"5-10", G84&gt;=1,"1-5", G84&lt;1,"Less than 1")</f>
        <v>15-20</v>
      </c>
      <c r="I84">
        <v>0</v>
      </c>
      <c r="J84">
        <v>0</v>
      </c>
      <c r="K84" s="6">
        <v>5</v>
      </c>
      <c r="L84" s="2">
        <v>3.99</v>
      </c>
      <c r="M84" s="6">
        <v>60</v>
      </c>
      <c r="N84" t="str" cm="1">
        <f t="array" ref="N84">_xlfn.IFS(M84&gt;=50,"50-60 Days", M84&gt;=40,"40-50 Days", M84&gt;=30, "30-40 Days", M84&gt;=20, "20-30 Days", M84&gt;=10, "10-20 Days", M84&gt;=0, "0-10 Days")</f>
        <v>50-60 Days</v>
      </c>
    </row>
    <row r="85" spans="1:14">
      <c r="A85">
        <v>84</v>
      </c>
      <c r="B85" t="s">
        <v>29</v>
      </c>
      <c r="C85" s="5">
        <v>45150</v>
      </c>
      <c r="D85" s="8">
        <v>45150</v>
      </c>
      <c r="E85" s="8" t="str">
        <f>IF(B85="Inactive", EDATE(D85,K85), "")</f>
        <v/>
      </c>
      <c r="F85" t="s">
        <v>10</v>
      </c>
      <c r="G85">
        <v>6.3</v>
      </c>
      <c r="H85" t="str" cm="1">
        <f t="array" ref="H85">_xlfn.IFS(G85&gt;=20,"20-25", G85&gt;=15,"15-20", G85&gt;=10,"10-15", G85&gt;=5,"5-10", G85&gt;=1,"1-5", G85&lt;1,"Less than 1")</f>
        <v>5-10</v>
      </c>
      <c r="I85">
        <v>7</v>
      </c>
      <c r="J85">
        <v>5</v>
      </c>
      <c r="K85" s="6">
        <v>4</v>
      </c>
      <c r="L85" s="2">
        <v>6.99</v>
      </c>
      <c r="M85" s="6">
        <v>7</v>
      </c>
      <c r="N85" t="str" cm="1">
        <f t="array" ref="N85">_xlfn.IFS(M85&gt;=50,"50-60 Days", M85&gt;=40,"40-50 Days", M85&gt;=30, "30-40 Days", M85&gt;=20, "20-30 Days", M85&gt;=10, "10-20 Days", M85&gt;=0, "0-10 Days")</f>
        <v>0-10 Days</v>
      </c>
    </row>
    <row r="86" spans="1:14">
      <c r="A86">
        <v>85</v>
      </c>
      <c r="B86" t="s">
        <v>29</v>
      </c>
      <c r="C86" s="5">
        <v>45044</v>
      </c>
      <c r="D86" s="8">
        <v>45044</v>
      </c>
      <c r="E86" s="8" t="str">
        <f>IF(B86="Inactive", EDATE(D86,K86), "")</f>
        <v/>
      </c>
      <c r="F86" t="s">
        <v>14</v>
      </c>
      <c r="G86">
        <v>19.3</v>
      </c>
      <c r="H86" t="str" cm="1">
        <f t="array" ref="H86">_xlfn.IFS(G86&gt;=20,"20-25", G86&gt;=15,"15-20", G86&gt;=10,"10-15", G86&gt;=5,"5-10", G86&gt;=1,"1-5", G86&lt;1,"Less than 1")</f>
        <v>15-20</v>
      </c>
      <c r="I86">
        <v>2</v>
      </c>
      <c r="J86">
        <v>4</v>
      </c>
      <c r="K86" s="6">
        <v>6</v>
      </c>
      <c r="L86" s="2">
        <v>3.99</v>
      </c>
      <c r="M86" s="6">
        <v>38</v>
      </c>
      <c r="N86" t="str" cm="1">
        <f t="array" ref="N86">_xlfn.IFS(M86&gt;=50,"50-60 Days", M86&gt;=40,"40-50 Days", M86&gt;=30, "30-40 Days", M86&gt;=20, "20-30 Days", M86&gt;=10, "10-20 Days", M86&gt;=0, "0-10 Days")</f>
        <v>30-40 Days</v>
      </c>
    </row>
    <row r="87" spans="1:14">
      <c r="A87">
        <v>86</v>
      </c>
      <c r="B87" t="s">
        <v>28</v>
      </c>
      <c r="C87" s="5">
        <v>45311</v>
      </c>
      <c r="D87" s="8">
        <v>45311</v>
      </c>
      <c r="E87" s="8">
        <f>IF(B87="Inactive", EDATE(D87,K87), "")</f>
        <v>45524</v>
      </c>
      <c r="F87" t="s">
        <v>12</v>
      </c>
      <c r="G87">
        <v>3.1</v>
      </c>
      <c r="H87" t="str" cm="1">
        <f t="array" ref="H87">_xlfn.IFS(G87&gt;=20,"20-25", G87&gt;=15,"15-20", G87&gt;=10,"10-15", G87&gt;=5,"5-10", G87&gt;=1,"1-5", G87&lt;1,"Less than 1")</f>
        <v>1-5</v>
      </c>
      <c r="I87">
        <v>0</v>
      </c>
      <c r="J87">
        <v>2</v>
      </c>
      <c r="K87" s="6">
        <v>7</v>
      </c>
      <c r="L87" s="2">
        <v>1.99</v>
      </c>
      <c r="M87" s="6">
        <v>36</v>
      </c>
      <c r="N87" t="str" cm="1">
        <f t="array" ref="N87">_xlfn.IFS(M87&gt;=50,"50-60 Days", M87&gt;=40,"40-50 Days", M87&gt;=30, "30-40 Days", M87&gt;=20, "20-30 Days", M87&gt;=10, "10-20 Days", M87&gt;=0, "0-10 Days")</f>
        <v>30-40 Days</v>
      </c>
    </row>
    <row r="88" spans="1:14">
      <c r="A88">
        <v>87</v>
      </c>
      <c r="B88" t="s">
        <v>29</v>
      </c>
      <c r="C88" s="5">
        <v>45627</v>
      </c>
      <c r="D88" s="8">
        <v>45627</v>
      </c>
      <c r="E88" s="8" t="str">
        <f>IF(B88="Inactive", EDATE(D88,K88), "")</f>
        <v/>
      </c>
      <c r="F88" t="s">
        <v>14</v>
      </c>
      <c r="G88">
        <v>2.4</v>
      </c>
      <c r="H88" t="str" cm="1">
        <f t="array" ref="H88">_xlfn.IFS(G88&gt;=20,"20-25", G88&gt;=15,"15-20", G88&gt;=10,"10-15", G88&gt;=5,"5-10", G88&gt;=1,"1-5", G88&lt;1,"Less than 1")</f>
        <v>1-5</v>
      </c>
      <c r="I88">
        <v>3</v>
      </c>
      <c r="J88">
        <v>0</v>
      </c>
      <c r="K88" s="6">
        <v>5</v>
      </c>
      <c r="L88" s="2">
        <v>3.99</v>
      </c>
      <c r="M88" s="6">
        <v>44</v>
      </c>
      <c r="N88" t="str" cm="1">
        <f t="array" ref="N88">_xlfn.IFS(M88&gt;=50,"50-60 Days", M88&gt;=40,"40-50 Days", M88&gt;=30, "30-40 Days", M88&gt;=20, "20-30 Days", M88&gt;=10, "10-20 Days", M88&gt;=0, "0-10 Days")</f>
        <v>40-50 Days</v>
      </c>
    </row>
    <row r="89" spans="1:14">
      <c r="A89">
        <v>88</v>
      </c>
      <c r="B89" t="s">
        <v>28</v>
      </c>
      <c r="C89" s="5">
        <v>45306</v>
      </c>
      <c r="D89" s="8">
        <v>45306</v>
      </c>
      <c r="E89" s="8">
        <f>IF(B89="Inactive", EDATE(D89,K89), "")</f>
        <v>45397</v>
      </c>
      <c r="F89" t="s">
        <v>10</v>
      </c>
      <c r="G89">
        <v>20</v>
      </c>
      <c r="H89" t="str" cm="1">
        <f t="array" ref="H89">_xlfn.IFS(G89&gt;=20,"20-25", G89&gt;=15,"15-20", G89&gt;=10,"10-15", G89&gt;=5,"5-10", G89&gt;=1,"1-5", G89&lt;1,"Less than 1")</f>
        <v>20-25</v>
      </c>
      <c r="I89">
        <v>0</v>
      </c>
      <c r="J89">
        <v>2</v>
      </c>
      <c r="K89" s="6">
        <v>3</v>
      </c>
      <c r="L89" s="2">
        <v>6.99</v>
      </c>
      <c r="M89" s="6">
        <v>34</v>
      </c>
      <c r="N89" t="str" cm="1">
        <f t="array" ref="N89">_xlfn.IFS(M89&gt;=50,"50-60 Days", M89&gt;=40,"40-50 Days", M89&gt;=30, "30-40 Days", M89&gt;=20, "20-30 Days", M89&gt;=10, "10-20 Days", M89&gt;=0, "0-10 Days")</f>
        <v>30-40 Days</v>
      </c>
    </row>
    <row r="90" spans="1:14">
      <c r="A90">
        <v>89</v>
      </c>
      <c r="B90" t="s">
        <v>28</v>
      </c>
      <c r="C90" s="5">
        <v>45370</v>
      </c>
      <c r="D90" s="8">
        <v>45370</v>
      </c>
      <c r="E90" s="8">
        <f>IF(B90="Inactive", EDATE(D90,K90), "")</f>
        <v>45707</v>
      </c>
      <c r="F90" t="s">
        <v>12</v>
      </c>
      <c r="G90">
        <v>16.399999999999999</v>
      </c>
      <c r="H90" t="str" cm="1">
        <f t="array" ref="H90">_xlfn.IFS(G90&gt;=20,"20-25", G90&gt;=15,"15-20", G90&gt;=10,"10-15", G90&gt;=5,"5-10", G90&gt;=1,"1-5", G90&lt;1,"Less than 1")</f>
        <v>15-20</v>
      </c>
      <c r="I90">
        <v>0</v>
      </c>
      <c r="J90">
        <v>3</v>
      </c>
      <c r="K90" s="6">
        <v>11</v>
      </c>
      <c r="L90" s="2">
        <v>1.99</v>
      </c>
      <c r="M90" s="6">
        <v>52</v>
      </c>
      <c r="N90" t="str" cm="1">
        <f t="array" ref="N90">_xlfn.IFS(M90&gt;=50,"50-60 Days", M90&gt;=40,"40-50 Days", M90&gt;=30, "30-40 Days", M90&gt;=20, "20-30 Days", M90&gt;=10, "10-20 Days", M90&gt;=0, "0-10 Days")</f>
        <v>50-60 Days</v>
      </c>
    </row>
    <row r="91" spans="1:14">
      <c r="A91">
        <v>90</v>
      </c>
      <c r="B91" t="s">
        <v>29</v>
      </c>
      <c r="C91" s="5">
        <v>45593</v>
      </c>
      <c r="D91" s="8">
        <v>45593</v>
      </c>
      <c r="E91" s="8" t="str">
        <f>IF(B91="Inactive", EDATE(D91,K91), "")</f>
        <v/>
      </c>
      <c r="F91" t="s">
        <v>14</v>
      </c>
      <c r="G91">
        <v>17.8</v>
      </c>
      <c r="H91" t="str" cm="1">
        <f t="array" ref="H91">_xlfn.IFS(G91&gt;=20,"20-25", G91&gt;=15,"15-20", G91&gt;=10,"10-15", G91&gt;=5,"5-10", G91&gt;=1,"1-5", G91&lt;1,"Less than 1")</f>
        <v>15-20</v>
      </c>
      <c r="I91">
        <v>6</v>
      </c>
      <c r="J91">
        <v>1</v>
      </c>
      <c r="K91" s="6">
        <v>10</v>
      </c>
      <c r="L91" s="2">
        <v>3.99</v>
      </c>
      <c r="M91" s="6">
        <v>46</v>
      </c>
      <c r="N91" t="str" cm="1">
        <f t="array" ref="N91">_xlfn.IFS(M91&gt;=50,"50-60 Days", M91&gt;=40,"40-50 Days", M91&gt;=30, "30-40 Days", M91&gt;=20, "20-30 Days", M91&gt;=10, "10-20 Days", M91&gt;=0, "0-10 Days")</f>
        <v>40-50 Days</v>
      </c>
    </row>
    <row r="92" spans="1:14">
      <c r="A92">
        <v>91</v>
      </c>
      <c r="B92" t="s">
        <v>28</v>
      </c>
      <c r="C92" s="5">
        <v>45201</v>
      </c>
      <c r="D92" s="8">
        <v>45201</v>
      </c>
      <c r="E92" s="8">
        <f>IF(B92="Inactive", EDATE(D92,K92), "")</f>
        <v>45567</v>
      </c>
      <c r="F92" t="s">
        <v>14</v>
      </c>
      <c r="G92">
        <v>19.5</v>
      </c>
      <c r="H92" t="str" cm="1">
        <f t="array" ref="H92">_xlfn.IFS(G92&gt;=20,"20-25", G92&gt;=15,"15-20", G92&gt;=10,"10-15", G92&gt;=5,"5-10", G92&gt;=1,"1-5", G92&lt;1,"Less than 1")</f>
        <v>15-20</v>
      </c>
      <c r="I92">
        <v>7</v>
      </c>
      <c r="J92">
        <v>3</v>
      </c>
      <c r="K92" s="6">
        <v>12</v>
      </c>
      <c r="L92" s="2">
        <v>3.99</v>
      </c>
      <c r="M92" s="6">
        <v>52</v>
      </c>
      <c r="N92" t="str" cm="1">
        <f t="array" ref="N92">_xlfn.IFS(M92&gt;=50,"50-60 Days", M92&gt;=40,"40-50 Days", M92&gt;=30, "30-40 Days", M92&gt;=20, "20-30 Days", M92&gt;=10, "10-20 Days", M92&gt;=0, "0-10 Days")</f>
        <v>50-60 Days</v>
      </c>
    </row>
    <row r="93" spans="1:14">
      <c r="A93">
        <v>92</v>
      </c>
      <c r="B93" t="s">
        <v>28</v>
      </c>
      <c r="C93" s="5">
        <v>45402</v>
      </c>
      <c r="D93" s="8">
        <v>45402</v>
      </c>
      <c r="E93" s="8">
        <f>IF(B93="Inactive", EDATE(D93,K93), "")</f>
        <v>45585</v>
      </c>
      <c r="F93" t="s">
        <v>14</v>
      </c>
      <c r="G93">
        <v>20.9</v>
      </c>
      <c r="H93" t="str" cm="1">
        <f t="array" ref="H93">_xlfn.IFS(G93&gt;=20,"20-25", G93&gt;=15,"15-20", G93&gt;=10,"10-15", G93&gt;=5,"5-10", G93&gt;=1,"1-5", G93&lt;1,"Less than 1")</f>
        <v>20-25</v>
      </c>
      <c r="I93">
        <v>1</v>
      </c>
      <c r="J93">
        <v>2</v>
      </c>
      <c r="K93" s="6">
        <v>6</v>
      </c>
      <c r="L93" s="2">
        <v>3.99</v>
      </c>
      <c r="M93" s="6">
        <v>56</v>
      </c>
      <c r="N93" t="str" cm="1">
        <f t="array" ref="N93">_xlfn.IFS(M93&gt;=50,"50-60 Days", M93&gt;=40,"40-50 Days", M93&gt;=30, "30-40 Days", M93&gt;=20, "20-30 Days", M93&gt;=10, "10-20 Days", M93&gt;=0, "0-10 Days")</f>
        <v>50-60 Days</v>
      </c>
    </row>
    <row r="94" spans="1:14">
      <c r="A94">
        <v>93</v>
      </c>
      <c r="B94" t="s">
        <v>28</v>
      </c>
      <c r="C94" s="5">
        <v>45290</v>
      </c>
      <c r="D94" s="8">
        <v>45290</v>
      </c>
      <c r="E94" s="8">
        <f>IF(B94="Inactive", EDATE(D94,K94), "")</f>
        <v>45565</v>
      </c>
      <c r="F94" t="s">
        <v>10</v>
      </c>
      <c r="G94">
        <v>8.6999999999999993</v>
      </c>
      <c r="H94" t="str" cm="1">
        <f t="array" ref="H94">_xlfn.IFS(G94&gt;=20,"20-25", G94&gt;=15,"15-20", G94&gt;=10,"10-15", G94&gt;=5,"5-10", G94&gt;=1,"1-5", G94&lt;1,"Less than 1")</f>
        <v>5-10</v>
      </c>
      <c r="I94">
        <v>7</v>
      </c>
      <c r="J94">
        <v>2</v>
      </c>
      <c r="K94" s="6">
        <v>9</v>
      </c>
      <c r="L94" s="2">
        <v>6.99</v>
      </c>
      <c r="M94" s="6">
        <v>11</v>
      </c>
      <c r="N94" t="str" cm="1">
        <f t="array" ref="N94">_xlfn.IFS(M94&gt;=50,"50-60 Days", M94&gt;=40,"40-50 Days", M94&gt;=30, "30-40 Days", M94&gt;=20, "20-30 Days", M94&gt;=10, "10-20 Days", M94&gt;=0, "0-10 Days")</f>
        <v>10-20 Days</v>
      </c>
    </row>
    <row r="95" spans="1:14">
      <c r="A95">
        <v>94</v>
      </c>
      <c r="B95" t="s">
        <v>29</v>
      </c>
      <c r="C95" s="5">
        <v>45122</v>
      </c>
      <c r="D95" s="8">
        <v>45122</v>
      </c>
      <c r="E95" s="8" t="str">
        <f>IF(B95="Inactive", EDATE(D95,K95), "")</f>
        <v/>
      </c>
      <c r="F95" t="s">
        <v>14</v>
      </c>
      <c r="G95">
        <v>7.4</v>
      </c>
      <c r="H95" t="str" cm="1">
        <f t="array" ref="H95">_xlfn.IFS(G95&gt;=20,"20-25", G95&gt;=15,"15-20", G95&gt;=10,"10-15", G95&gt;=5,"5-10", G95&gt;=1,"1-5", G95&lt;1,"Less than 1")</f>
        <v>5-10</v>
      </c>
      <c r="I95">
        <v>4</v>
      </c>
      <c r="J95">
        <v>4</v>
      </c>
      <c r="K95" s="6">
        <v>8</v>
      </c>
      <c r="L95" s="2">
        <v>3.99</v>
      </c>
      <c r="M95" s="6">
        <v>0</v>
      </c>
      <c r="N95" t="str" cm="1">
        <f t="array" ref="N95">_xlfn.IFS(M95&gt;=50,"50-60 Days", M95&gt;=40,"40-50 Days", M95&gt;=30, "30-40 Days", M95&gt;=20, "20-30 Days", M95&gt;=10, "10-20 Days", M95&gt;=0, "0-10 Days")</f>
        <v>0-10 Days</v>
      </c>
    </row>
    <row r="96" spans="1:14">
      <c r="A96">
        <v>95</v>
      </c>
      <c r="B96" t="s">
        <v>28</v>
      </c>
      <c r="C96" s="5">
        <v>45414</v>
      </c>
      <c r="D96" s="8">
        <v>45414</v>
      </c>
      <c r="E96" s="8">
        <f>IF(B96="Inactive", EDATE(D96,K96), "")</f>
        <v>45598</v>
      </c>
      <c r="F96" t="s">
        <v>12</v>
      </c>
      <c r="G96">
        <v>18.100000000000001</v>
      </c>
      <c r="H96" t="str" cm="1">
        <f t="array" ref="H96">_xlfn.IFS(G96&gt;=20,"20-25", G96&gt;=15,"15-20", G96&gt;=10,"10-15", G96&gt;=5,"5-10", G96&gt;=1,"1-5", G96&lt;1,"Less than 1")</f>
        <v>15-20</v>
      </c>
      <c r="I96">
        <v>7</v>
      </c>
      <c r="J96">
        <v>4</v>
      </c>
      <c r="K96" s="6">
        <v>6</v>
      </c>
      <c r="L96" s="2">
        <v>1.99</v>
      </c>
      <c r="M96" s="6">
        <v>48</v>
      </c>
      <c r="N96" t="str" cm="1">
        <f t="array" ref="N96">_xlfn.IFS(M96&gt;=50,"50-60 Days", M96&gt;=40,"40-50 Days", M96&gt;=30, "30-40 Days", M96&gt;=20, "20-30 Days", M96&gt;=10, "10-20 Days", M96&gt;=0, "0-10 Days")</f>
        <v>40-50 Days</v>
      </c>
    </row>
    <row r="97" spans="1:14">
      <c r="A97">
        <v>96</v>
      </c>
      <c r="B97" t="s">
        <v>29</v>
      </c>
      <c r="C97" s="5">
        <v>45635</v>
      </c>
      <c r="D97" s="8">
        <v>45635</v>
      </c>
      <c r="E97" s="8" t="str">
        <f>IF(B97="Inactive", EDATE(D97,K97), "")</f>
        <v/>
      </c>
      <c r="F97" t="s">
        <v>10</v>
      </c>
      <c r="G97">
        <v>11.5</v>
      </c>
      <c r="H97" t="str" cm="1">
        <f t="array" ref="H97">_xlfn.IFS(G97&gt;=20,"20-25", G97&gt;=15,"15-20", G97&gt;=10,"10-15", G97&gt;=5,"5-10", G97&gt;=1,"1-5", G97&lt;1,"Less than 1")</f>
        <v>10-15</v>
      </c>
      <c r="I97">
        <v>0</v>
      </c>
      <c r="J97">
        <v>0</v>
      </c>
      <c r="K97" s="6">
        <v>11</v>
      </c>
      <c r="L97" s="2">
        <v>6.99</v>
      </c>
      <c r="M97" s="6">
        <v>18</v>
      </c>
      <c r="N97" t="str" cm="1">
        <f t="array" ref="N97">_xlfn.IFS(M97&gt;=50,"50-60 Days", M97&gt;=40,"40-50 Days", M97&gt;=30, "30-40 Days", M97&gt;=20, "20-30 Days", M97&gt;=10, "10-20 Days", M97&gt;=0, "0-10 Days")</f>
        <v>10-20 Days</v>
      </c>
    </row>
    <row r="98" spans="1:14">
      <c r="A98">
        <v>97</v>
      </c>
      <c r="B98" t="s">
        <v>28</v>
      </c>
      <c r="C98" s="5">
        <v>45362</v>
      </c>
      <c r="D98" s="8">
        <v>45362</v>
      </c>
      <c r="E98" s="8">
        <f>IF(B98="Inactive", EDATE(D98,K98), "")</f>
        <v>45576</v>
      </c>
      <c r="F98" t="s">
        <v>12</v>
      </c>
      <c r="G98">
        <v>16.8</v>
      </c>
      <c r="H98" t="str" cm="1">
        <f t="array" ref="H98">_xlfn.IFS(G98&gt;=20,"20-25", G98&gt;=15,"15-20", G98&gt;=10,"10-15", G98&gt;=5,"5-10", G98&gt;=1,"1-5", G98&lt;1,"Less than 1")</f>
        <v>15-20</v>
      </c>
      <c r="I98">
        <v>5</v>
      </c>
      <c r="J98">
        <v>3</v>
      </c>
      <c r="K98" s="6">
        <v>7</v>
      </c>
      <c r="L98" s="2">
        <v>1.99</v>
      </c>
      <c r="M98" s="6">
        <v>35</v>
      </c>
      <c r="N98" t="str" cm="1">
        <f t="array" ref="N98">_xlfn.IFS(M98&gt;=50,"50-60 Days", M98&gt;=40,"40-50 Days", M98&gt;=30, "30-40 Days", M98&gt;=20, "20-30 Days", M98&gt;=10, "10-20 Days", M98&gt;=0, "0-10 Days")</f>
        <v>30-40 Days</v>
      </c>
    </row>
    <row r="99" spans="1:14">
      <c r="A99">
        <v>98</v>
      </c>
      <c r="B99" t="s">
        <v>28</v>
      </c>
      <c r="C99" s="5">
        <v>45050</v>
      </c>
      <c r="D99" s="8">
        <v>45050</v>
      </c>
      <c r="E99" s="8">
        <f>IF(B99="Inactive", EDATE(D99,K99), "")</f>
        <v>45416</v>
      </c>
      <c r="F99" t="s">
        <v>10</v>
      </c>
      <c r="G99">
        <v>8.6</v>
      </c>
      <c r="H99" t="str" cm="1">
        <f t="array" ref="H99">_xlfn.IFS(G99&gt;=20,"20-25", G99&gt;=15,"15-20", G99&gt;=10,"10-15", G99&gt;=5,"5-10", G99&gt;=1,"1-5", G99&lt;1,"Less than 1")</f>
        <v>5-10</v>
      </c>
      <c r="I99">
        <v>7</v>
      </c>
      <c r="J99">
        <v>2</v>
      </c>
      <c r="K99" s="6">
        <v>12</v>
      </c>
      <c r="L99" s="2">
        <v>6.99</v>
      </c>
      <c r="M99" s="6">
        <v>19</v>
      </c>
      <c r="N99" t="str" cm="1">
        <f t="array" ref="N99">_xlfn.IFS(M99&gt;=50,"50-60 Days", M99&gt;=40,"40-50 Days", M99&gt;=30, "30-40 Days", M99&gt;=20, "20-30 Days", M99&gt;=10, "10-20 Days", M99&gt;=0, "0-10 Days")</f>
        <v>10-20 Days</v>
      </c>
    </row>
    <row r="100" spans="1:14">
      <c r="A100">
        <v>99</v>
      </c>
      <c r="B100" t="s">
        <v>28</v>
      </c>
      <c r="C100" s="5">
        <v>45422</v>
      </c>
      <c r="D100" s="8">
        <v>45422</v>
      </c>
      <c r="E100" s="8">
        <f>IF(B100="Inactive", EDATE(D100,K100), "")</f>
        <v>45575</v>
      </c>
      <c r="F100" t="s">
        <v>10</v>
      </c>
      <c r="G100">
        <v>8.1999999999999993</v>
      </c>
      <c r="H100" t="str" cm="1">
        <f t="array" ref="H100">_xlfn.IFS(G100&gt;=20,"20-25", G100&gt;=15,"15-20", G100&gt;=10,"10-15", G100&gt;=5,"5-10", G100&gt;=1,"1-5", G100&lt;1,"Less than 1")</f>
        <v>5-10</v>
      </c>
      <c r="I100">
        <v>8</v>
      </c>
      <c r="J100">
        <v>5</v>
      </c>
      <c r="K100" s="6">
        <v>5</v>
      </c>
      <c r="L100" s="2">
        <v>6.99</v>
      </c>
      <c r="M100" s="6">
        <v>11</v>
      </c>
      <c r="N100" t="str" cm="1">
        <f t="array" ref="N100">_xlfn.IFS(M100&gt;=50,"50-60 Days", M100&gt;=40,"40-50 Days", M100&gt;=30, "30-40 Days", M100&gt;=20, "20-30 Days", M100&gt;=10, "10-20 Days", M100&gt;=0, "0-10 Days")</f>
        <v>10-20 Days</v>
      </c>
    </row>
    <row r="101" spans="1:14">
      <c r="A101">
        <v>100</v>
      </c>
      <c r="B101" t="s">
        <v>29</v>
      </c>
      <c r="C101" s="5">
        <v>45110</v>
      </c>
      <c r="D101" s="8">
        <v>45110</v>
      </c>
      <c r="E101" s="8" t="str">
        <f>IF(B101="Inactive", EDATE(D101,K101), "")</f>
        <v/>
      </c>
      <c r="F101" t="s">
        <v>14</v>
      </c>
      <c r="G101">
        <v>15.1</v>
      </c>
      <c r="H101" t="str" cm="1">
        <f t="array" ref="H101">_xlfn.IFS(G101&gt;=20,"20-25", G101&gt;=15,"15-20", G101&gt;=10,"10-15", G101&gt;=5,"5-10", G101&gt;=1,"1-5", G101&lt;1,"Less than 1")</f>
        <v>15-20</v>
      </c>
      <c r="I101">
        <v>1</v>
      </c>
      <c r="J101">
        <v>1</v>
      </c>
      <c r="K101" s="6">
        <v>12</v>
      </c>
      <c r="L101" s="2">
        <v>3.99</v>
      </c>
      <c r="M101" s="6">
        <v>18</v>
      </c>
      <c r="N101" t="str" cm="1">
        <f t="array" ref="N101">_xlfn.IFS(M101&gt;=50,"50-60 Days", M101&gt;=40,"40-50 Days", M101&gt;=30, "30-40 Days", M101&gt;=20, "20-30 Days", M101&gt;=10, "10-20 Days", M101&gt;=0, "0-10 Days")</f>
        <v>10-20 Days</v>
      </c>
    </row>
    <row r="102" spans="1:14">
      <c r="A102">
        <v>101</v>
      </c>
      <c r="B102" t="s">
        <v>29</v>
      </c>
      <c r="C102" s="5">
        <v>45493</v>
      </c>
      <c r="D102" s="8">
        <v>45493</v>
      </c>
      <c r="E102" s="8" t="str">
        <f>IF(B102="Inactive", EDATE(D102,K102), "")</f>
        <v/>
      </c>
      <c r="F102" t="s">
        <v>14</v>
      </c>
      <c r="G102">
        <v>17.8</v>
      </c>
      <c r="H102" t="str" cm="1">
        <f t="array" ref="H102">_xlfn.IFS(G102&gt;=20,"20-25", G102&gt;=15,"15-20", G102&gt;=10,"10-15", G102&gt;=5,"5-10", G102&gt;=1,"1-5", G102&lt;1,"Less than 1")</f>
        <v>15-20</v>
      </c>
      <c r="I102">
        <v>2</v>
      </c>
      <c r="J102">
        <v>2</v>
      </c>
      <c r="K102" s="6">
        <v>1</v>
      </c>
      <c r="L102" s="2">
        <v>3.99</v>
      </c>
      <c r="M102" s="6">
        <v>2</v>
      </c>
      <c r="N102" t="str" cm="1">
        <f t="array" ref="N102">_xlfn.IFS(M102&gt;=50,"50-60 Days", M102&gt;=40,"40-50 Days", M102&gt;=30, "30-40 Days", M102&gt;=20, "20-30 Days", M102&gt;=10, "10-20 Days", M102&gt;=0, "0-10 Days")</f>
        <v>0-10 Days</v>
      </c>
    </row>
    <row r="103" spans="1:14">
      <c r="A103">
        <v>102</v>
      </c>
      <c r="B103" t="s">
        <v>28</v>
      </c>
      <c r="C103" s="5">
        <v>45218</v>
      </c>
      <c r="D103" s="8">
        <v>45218</v>
      </c>
      <c r="E103" s="8">
        <f>IF(B103="Inactive", EDATE(D103,K103), "")</f>
        <v>45310</v>
      </c>
      <c r="F103" t="s">
        <v>14</v>
      </c>
      <c r="G103">
        <v>16.100000000000001</v>
      </c>
      <c r="H103" t="str" cm="1">
        <f t="array" ref="H103">_xlfn.IFS(G103&gt;=20,"20-25", G103&gt;=15,"15-20", G103&gt;=10,"10-15", G103&gt;=5,"5-10", G103&gt;=1,"1-5", G103&lt;1,"Less than 1")</f>
        <v>15-20</v>
      </c>
      <c r="I103">
        <v>7</v>
      </c>
      <c r="J103">
        <v>0</v>
      </c>
      <c r="K103" s="6">
        <v>3</v>
      </c>
      <c r="L103" s="2">
        <v>3.99</v>
      </c>
      <c r="M103" s="6">
        <v>55</v>
      </c>
      <c r="N103" t="str" cm="1">
        <f t="array" ref="N103">_xlfn.IFS(M103&gt;=50,"50-60 Days", M103&gt;=40,"40-50 Days", M103&gt;=30, "30-40 Days", M103&gt;=20, "20-30 Days", M103&gt;=10, "10-20 Days", M103&gt;=0, "0-10 Days")</f>
        <v>50-60 Days</v>
      </c>
    </row>
    <row r="104" spans="1:14">
      <c r="A104">
        <v>103</v>
      </c>
      <c r="B104" t="s">
        <v>29</v>
      </c>
      <c r="C104" s="5">
        <v>45416</v>
      </c>
      <c r="D104" s="8">
        <v>45416</v>
      </c>
      <c r="E104" s="8" t="str">
        <f>IF(B104="Inactive", EDATE(D104,K104), "")</f>
        <v/>
      </c>
      <c r="F104" t="s">
        <v>14</v>
      </c>
      <c r="G104">
        <v>11.3</v>
      </c>
      <c r="H104" t="str" cm="1">
        <f t="array" ref="H104">_xlfn.IFS(G104&gt;=20,"20-25", G104&gt;=15,"15-20", G104&gt;=10,"10-15", G104&gt;=5,"5-10", G104&gt;=1,"1-5", G104&lt;1,"Less than 1")</f>
        <v>10-15</v>
      </c>
      <c r="I104">
        <v>2</v>
      </c>
      <c r="J104">
        <v>0</v>
      </c>
      <c r="K104" s="6">
        <v>11</v>
      </c>
      <c r="L104" s="2">
        <v>3.99</v>
      </c>
      <c r="M104" s="6">
        <v>16</v>
      </c>
      <c r="N104" t="str" cm="1">
        <f t="array" ref="N104">_xlfn.IFS(M104&gt;=50,"50-60 Days", M104&gt;=40,"40-50 Days", M104&gt;=30, "30-40 Days", M104&gt;=20, "20-30 Days", M104&gt;=10, "10-20 Days", M104&gt;=0, "0-10 Days")</f>
        <v>10-20 Days</v>
      </c>
    </row>
    <row r="105" spans="1:14">
      <c r="A105">
        <v>104</v>
      </c>
      <c r="B105" t="s">
        <v>29</v>
      </c>
      <c r="C105" s="5">
        <v>45082</v>
      </c>
      <c r="D105" s="8">
        <v>45082</v>
      </c>
      <c r="E105" s="8" t="str">
        <f>IF(B105="Inactive", EDATE(D105,K105), "")</f>
        <v/>
      </c>
      <c r="F105" t="s">
        <v>12</v>
      </c>
      <c r="G105">
        <v>10.3</v>
      </c>
      <c r="H105" t="str" cm="1">
        <f t="array" ref="H105">_xlfn.IFS(G105&gt;=20,"20-25", G105&gt;=15,"15-20", G105&gt;=10,"10-15", G105&gt;=5,"5-10", G105&gt;=1,"1-5", G105&lt;1,"Less than 1")</f>
        <v>10-15</v>
      </c>
      <c r="I105">
        <v>1</v>
      </c>
      <c r="J105">
        <v>4</v>
      </c>
      <c r="K105" s="6">
        <v>2</v>
      </c>
      <c r="L105" s="2">
        <v>1.99</v>
      </c>
      <c r="M105" s="6">
        <v>40</v>
      </c>
      <c r="N105" t="str" cm="1">
        <f t="array" ref="N105">_xlfn.IFS(M105&gt;=50,"50-60 Days", M105&gt;=40,"40-50 Days", M105&gt;=30, "30-40 Days", M105&gt;=20, "20-30 Days", M105&gt;=10, "10-20 Days", M105&gt;=0, "0-10 Days")</f>
        <v>40-50 Days</v>
      </c>
    </row>
    <row r="106" spans="1:14">
      <c r="A106">
        <v>105</v>
      </c>
      <c r="B106" t="s">
        <v>29</v>
      </c>
      <c r="C106" s="5">
        <v>45547</v>
      </c>
      <c r="D106" s="8">
        <v>45547</v>
      </c>
      <c r="E106" s="8" t="str">
        <f>IF(B106="Inactive", EDATE(D106,K106), "")</f>
        <v/>
      </c>
      <c r="F106" t="s">
        <v>12</v>
      </c>
      <c r="G106">
        <v>2.6</v>
      </c>
      <c r="H106" t="str" cm="1">
        <f t="array" ref="H106">_xlfn.IFS(G106&gt;=20,"20-25", G106&gt;=15,"15-20", G106&gt;=10,"10-15", G106&gt;=5,"5-10", G106&gt;=1,"1-5", G106&lt;1,"Less than 1")</f>
        <v>1-5</v>
      </c>
      <c r="I106">
        <v>3</v>
      </c>
      <c r="J106">
        <v>0</v>
      </c>
      <c r="K106" s="6">
        <v>7</v>
      </c>
      <c r="L106" s="2">
        <v>1.99</v>
      </c>
      <c r="M106" s="6">
        <v>35</v>
      </c>
      <c r="N106" t="str" cm="1">
        <f t="array" ref="N106">_xlfn.IFS(M106&gt;=50,"50-60 Days", M106&gt;=40,"40-50 Days", M106&gt;=30, "30-40 Days", M106&gt;=20, "20-30 Days", M106&gt;=10, "10-20 Days", M106&gt;=0, "0-10 Days")</f>
        <v>30-40 Days</v>
      </c>
    </row>
    <row r="107" spans="1:14">
      <c r="A107">
        <v>106</v>
      </c>
      <c r="B107" t="s">
        <v>28</v>
      </c>
      <c r="C107" s="5">
        <v>45529</v>
      </c>
      <c r="D107" s="8">
        <v>45529</v>
      </c>
      <c r="E107" s="8">
        <f>IF(B107="Inactive", EDATE(D107,K107), "")</f>
        <v>45682</v>
      </c>
      <c r="F107" t="s">
        <v>10</v>
      </c>
      <c r="G107">
        <v>19.5</v>
      </c>
      <c r="H107" t="str" cm="1">
        <f t="array" ref="H107">_xlfn.IFS(G107&gt;=20,"20-25", G107&gt;=15,"15-20", G107&gt;=10,"10-15", G107&gt;=5,"5-10", G107&gt;=1,"1-5", G107&lt;1,"Less than 1")</f>
        <v>15-20</v>
      </c>
      <c r="I107">
        <v>6</v>
      </c>
      <c r="J107">
        <v>3</v>
      </c>
      <c r="K107" s="6">
        <v>5</v>
      </c>
      <c r="L107" s="2">
        <v>6.99</v>
      </c>
      <c r="M107" s="6">
        <v>58</v>
      </c>
      <c r="N107" t="str" cm="1">
        <f t="array" ref="N107">_xlfn.IFS(M107&gt;=50,"50-60 Days", M107&gt;=40,"40-50 Days", M107&gt;=30, "30-40 Days", M107&gt;=20, "20-30 Days", M107&gt;=10, "10-20 Days", M107&gt;=0, "0-10 Days")</f>
        <v>50-60 Days</v>
      </c>
    </row>
    <row r="108" spans="1:14">
      <c r="A108">
        <v>107</v>
      </c>
      <c r="B108" t="s">
        <v>28</v>
      </c>
      <c r="C108" s="5">
        <v>45139</v>
      </c>
      <c r="D108" s="8">
        <v>45139</v>
      </c>
      <c r="E108" s="8">
        <f>IF(B108="Inactive", EDATE(D108,K108), "")</f>
        <v>45352</v>
      </c>
      <c r="F108" t="s">
        <v>14</v>
      </c>
      <c r="G108">
        <v>14.4</v>
      </c>
      <c r="H108" t="str" cm="1">
        <f t="array" ref="H108">_xlfn.IFS(G108&gt;=20,"20-25", G108&gt;=15,"15-20", G108&gt;=10,"10-15", G108&gt;=5,"5-10", G108&gt;=1,"1-5", G108&lt;1,"Less than 1")</f>
        <v>10-15</v>
      </c>
      <c r="I108">
        <v>0</v>
      </c>
      <c r="J108">
        <v>4</v>
      </c>
      <c r="K108" s="6">
        <v>7</v>
      </c>
      <c r="L108" s="2">
        <v>3.99</v>
      </c>
      <c r="M108" s="6">
        <v>47</v>
      </c>
      <c r="N108" t="str" cm="1">
        <f t="array" ref="N108">_xlfn.IFS(M108&gt;=50,"50-60 Days", M108&gt;=40,"40-50 Days", M108&gt;=30, "30-40 Days", M108&gt;=20, "20-30 Days", M108&gt;=10, "10-20 Days", M108&gt;=0, "0-10 Days")</f>
        <v>40-50 Days</v>
      </c>
    </row>
    <row r="109" spans="1:14">
      <c r="A109">
        <v>108</v>
      </c>
      <c r="B109" t="s">
        <v>29</v>
      </c>
      <c r="C109" s="5">
        <v>45003</v>
      </c>
      <c r="D109" s="8">
        <v>45003</v>
      </c>
      <c r="E109" s="8" t="str">
        <f>IF(B109="Inactive", EDATE(D109,K109), "")</f>
        <v/>
      </c>
      <c r="F109" t="s">
        <v>10</v>
      </c>
      <c r="G109">
        <v>7</v>
      </c>
      <c r="H109" t="str" cm="1">
        <f t="array" ref="H109">_xlfn.IFS(G109&gt;=20,"20-25", G109&gt;=15,"15-20", G109&gt;=10,"10-15", G109&gt;=5,"5-10", G109&gt;=1,"1-5", G109&lt;1,"Less than 1")</f>
        <v>5-10</v>
      </c>
      <c r="I109">
        <v>1</v>
      </c>
      <c r="J109">
        <v>1</v>
      </c>
      <c r="K109" s="6">
        <v>5</v>
      </c>
      <c r="L109" s="2">
        <v>6.99</v>
      </c>
      <c r="M109" s="6">
        <v>15</v>
      </c>
      <c r="N109" t="str" cm="1">
        <f t="array" ref="N109">_xlfn.IFS(M109&gt;=50,"50-60 Days", M109&gt;=40,"40-50 Days", M109&gt;=30, "30-40 Days", M109&gt;=20, "20-30 Days", M109&gt;=10, "10-20 Days", M109&gt;=0, "0-10 Days")</f>
        <v>10-20 Days</v>
      </c>
    </row>
    <row r="110" spans="1:14">
      <c r="A110">
        <v>109</v>
      </c>
      <c r="B110" t="s">
        <v>28</v>
      </c>
      <c r="C110" s="5">
        <v>45650</v>
      </c>
      <c r="D110" s="8">
        <v>45650</v>
      </c>
      <c r="E110" s="8">
        <f>IF(B110="Inactive", EDATE(D110,K110), "")</f>
        <v>45681</v>
      </c>
      <c r="F110" t="s">
        <v>12</v>
      </c>
      <c r="G110">
        <v>10.5</v>
      </c>
      <c r="H110" t="str" cm="1">
        <f t="array" ref="H110">_xlfn.IFS(G110&gt;=20,"20-25", G110&gt;=15,"15-20", G110&gt;=10,"10-15", G110&gt;=5,"5-10", G110&gt;=1,"1-5", G110&lt;1,"Less than 1")</f>
        <v>10-15</v>
      </c>
      <c r="I110">
        <v>7</v>
      </c>
      <c r="J110">
        <v>2</v>
      </c>
      <c r="K110" s="6">
        <v>1</v>
      </c>
      <c r="L110" s="2">
        <v>1.99</v>
      </c>
      <c r="M110" s="6">
        <v>2</v>
      </c>
      <c r="N110" t="str" cm="1">
        <f t="array" ref="N110">_xlfn.IFS(M110&gt;=50,"50-60 Days", M110&gt;=40,"40-50 Days", M110&gt;=30, "30-40 Days", M110&gt;=20, "20-30 Days", M110&gt;=10, "10-20 Days", M110&gt;=0, "0-10 Days")</f>
        <v>0-10 Days</v>
      </c>
    </row>
    <row r="111" spans="1:14">
      <c r="A111">
        <v>110</v>
      </c>
      <c r="B111" t="s">
        <v>28</v>
      </c>
      <c r="C111" s="5">
        <v>45530</v>
      </c>
      <c r="D111" s="8">
        <v>45530</v>
      </c>
      <c r="E111" s="8">
        <f>IF(B111="Inactive", EDATE(D111,K111), "")</f>
        <v>45834</v>
      </c>
      <c r="F111" t="s">
        <v>14</v>
      </c>
      <c r="G111">
        <v>2.2000000000000002</v>
      </c>
      <c r="H111" t="str" cm="1">
        <f t="array" ref="H111">_xlfn.IFS(G111&gt;=20,"20-25", G111&gt;=15,"15-20", G111&gt;=10,"10-15", G111&gt;=5,"5-10", G111&gt;=1,"1-5", G111&lt;1,"Less than 1")</f>
        <v>1-5</v>
      </c>
      <c r="I111">
        <v>3</v>
      </c>
      <c r="J111">
        <v>2</v>
      </c>
      <c r="K111" s="6">
        <v>10</v>
      </c>
      <c r="L111" s="2">
        <v>3.99</v>
      </c>
      <c r="M111" s="6">
        <v>50</v>
      </c>
      <c r="N111" t="str" cm="1">
        <f t="array" ref="N111">_xlfn.IFS(M111&gt;=50,"50-60 Days", M111&gt;=40,"40-50 Days", M111&gt;=30, "30-40 Days", M111&gt;=20, "20-30 Days", M111&gt;=10, "10-20 Days", M111&gt;=0, "0-10 Days")</f>
        <v>50-60 Days</v>
      </c>
    </row>
    <row r="112" spans="1:14">
      <c r="A112">
        <v>111</v>
      </c>
      <c r="B112" t="s">
        <v>28</v>
      </c>
      <c r="C112" s="5">
        <v>45199</v>
      </c>
      <c r="D112" s="8">
        <v>45199</v>
      </c>
      <c r="E112" s="8">
        <f>IF(B112="Inactive", EDATE(D112,K112), "")</f>
        <v>45351</v>
      </c>
      <c r="F112" t="s">
        <v>10</v>
      </c>
      <c r="G112">
        <v>10.9</v>
      </c>
      <c r="H112" t="str" cm="1">
        <f t="array" ref="H112">_xlfn.IFS(G112&gt;=20,"20-25", G112&gt;=15,"15-20", G112&gt;=10,"10-15", G112&gt;=5,"5-10", G112&gt;=1,"1-5", G112&lt;1,"Less than 1")</f>
        <v>10-15</v>
      </c>
      <c r="I112">
        <v>8</v>
      </c>
      <c r="J112">
        <v>1</v>
      </c>
      <c r="K112" s="6">
        <v>5</v>
      </c>
      <c r="L112" s="2">
        <v>6.99</v>
      </c>
      <c r="M112" s="6">
        <v>41</v>
      </c>
      <c r="N112" t="str" cm="1">
        <f t="array" ref="N112">_xlfn.IFS(M112&gt;=50,"50-60 Days", M112&gt;=40,"40-50 Days", M112&gt;=30, "30-40 Days", M112&gt;=20, "20-30 Days", M112&gt;=10, "10-20 Days", M112&gt;=0, "0-10 Days")</f>
        <v>40-50 Days</v>
      </c>
    </row>
    <row r="113" spans="1:14">
      <c r="A113">
        <v>112</v>
      </c>
      <c r="B113" t="s">
        <v>28</v>
      </c>
      <c r="C113" s="5">
        <v>45222</v>
      </c>
      <c r="D113" s="8">
        <v>45222</v>
      </c>
      <c r="E113" s="8">
        <f>IF(B113="Inactive", EDATE(D113,K113), "")</f>
        <v>45283</v>
      </c>
      <c r="F113" t="s">
        <v>12</v>
      </c>
      <c r="G113">
        <v>2</v>
      </c>
      <c r="H113" t="str" cm="1">
        <f t="array" ref="H113">_xlfn.IFS(G113&gt;=20,"20-25", G113&gt;=15,"15-20", G113&gt;=10,"10-15", G113&gt;=5,"5-10", G113&gt;=1,"1-5", G113&lt;1,"Less than 1")</f>
        <v>1-5</v>
      </c>
      <c r="I113">
        <v>4</v>
      </c>
      <c r="J113">
        <v>4</v>
      </c>
      <c r="K113" s="6">
        <v>2</v>
      </c>
      <c r="L113" s="2">
        <v>1.99</v>
      </c>
      <c r="M113" s="6">
        <v>47</v>
      </c>
      <c r="N113" t="str" cm="1">
        <f t="array" ref="N113">_xlfn.IFS(M113&gt;=50,"50-60 Days", M113&gt;=40,"40-50 Days", M113&gt;=30, "30-40 Days", M113&gt;=20, "20-30 Days", M113&gt;=10, "10-20 Days", M113&gt;=0, "0-10 Days")</f>
        <v>40-50 Days</v>
      </c>
    </row>
    <row r="114" spans="1:14">
      <c r="A114">
        <v>113</v>
      </c>
      <c r="B114" t="s">
        <v>29</v>
      </c>
      <c r="C114" s="5">
        <v>45439</v>
      </c>
      <c r="D114" s="8">
        <v>45439</v>
      </c>
      <c r="E114" s="8" t="str">
        <f>IF(B114="Inactive", EDATE(D114,K114), "")</f>
        <v/>
      </c>
      <c r="F114" t="s">
        <v>14</v>
      </c>
      <c r="G114">
        <v>12</v>
      </c>
      <c r="H114" t="str" cm="1">
        <f t="array" ref="H114">_xlfn.IFS(G114&gt;=20,"20-25", G114&gt;=15,"15-20", G114&gt;=10,"10-15", G114&gt;=5,"5-10", G114&gt;=1,"1-5", G114&lt;1,"Less than 1")</f>
        <v>10-15</v>
      </c>
      <c r="I114">
        <v>4</v>
      </c>
      <c r="J114">
        <v>5</v>
      </c>
      <c r="K114" s="6">
        <v>3</v>
      </c>
      <c r="L114" s="2">
        <v>3.99</v>
      </c>
      <c r="M114" s="6">
        <v>25</v>
      </c>
      <c r="N114" t="str" cm="1">
        <f t="array" ref="N114">_xlfn.IFS(M114&gt;=50,"50-60 Days", M114&gt;=40,"40-50 Days", M114&gt;=30, "30-40 Days", M114&gt;=20, "20-30 Days", M114&gt;=10, "10-20 Days", M114&gt;=0, "0-10 Days")</f>
        <v>20-30 Days</v>
      </c>
    </row>
    <row r="115" spans="1:14">
      <c r="A115">
        <v>114</v>
      </c>
      <c r="B115" t="s">
        <v>28</v>
      </c>
      <c r="C115" s="5">
        <v>45183</v>
      </c>
      <c r="D115" s="8">
        <v>45183</v>
      </c>
      <c r="E115" s="8">
        <f>IF(B115="Inactive", EDATE(D115,K115), "")</f>
        <v>45518</v>
      </c>
      <c r="F115" t="s">
        <v>10</v>
      </c>
      <c r="G115">
        <v>11.2</v>
      </c>
      <c r="H115" t="str" cm="1">
        <f t="array" ref="H115">_xlfn.IFS(G115&gt;=20,"20-25", G115&gt;=15,"15-20", G115&gt;=10,"10-15", G115&gt;=5,"5-10", G115&gt;=1,"1-5", G115&lt;1,"Less than 1")</f>
        <v>10-15</v>
      </c>
      <c r="I115">
        <v>0</v>
      </c>
      <c r="J115">
        <v>3</v>
      </c>
      <c r="K115" s="6">
        <v>11</v>
      </c>
      <c r="L115" s="2">
        <v>6.99</v>
      </c>
      <c r="M115" s="6">
        <v>47</v>
      </c>
      <c r="N115" t="str" cm="1">
        <f t="array" ref="N115">_xlfn.IFS(M115&gt;=50,"50-60 Days", M115&gt;=40,"40-50 Days", M115&gt;=30, "30-40 Days", M115&gt;=20, "20-30 Days", M115&gt;=10, "10-20 Days", M115&gt;=0, "0-10 Days")</f>
        <v>40-50 Days</v>
      </c>
    </row>
    <row r="116" spans="1:14">
      <c r="A116">
        <v>115</v>
      </c>
      <c r="B116" t="s">
        <v>28</v>
      </c>
      <c r="C116" s="5">
        <v>44968</v>
      </c>
      <c r="D116" s="8">
        <v>44968</v>
      </c>
      <c r="E116" s="8">
        <f>IF(B116="Inactive", EDATE(D116,K116), "")</f>
        <v>45027</v>
      </c>
      <c r="F116" t="s">
        <v>12</v>
      </c>
      <c r="G116">
        <v>6.1</v>
      </c>
      <c r="H116" t="str" cm="1">
        <f t="array" ref="H116">_xlfn.IFS(G116&gt;=20,"20-25", G116&gt;=15,"15-20", G116&gt;=10,"10-15", G116&gt;=5,"5-10", G116&gt;=1,"1-5", G116&lt;1,"Less than 1")</f>
        <v>5-10</v>
      </c>
      <c r="I116">
        <v>0</v>
      </c>
      <c r="J116">
        <v>5</v>
      </c>
      <c r="K116" s="6">
        <v>2</v>
      </c>
      <c r="L116" s="2">
        <v>1.99</v>
      </c>
      <c r="M116" s="6">
        <v>52</v>
      </c>
      <c r="N116" t="str" cm="1">
        <f t="array" ref="N116">_xlfn.IFS(M116&gt;=50,"50-60 Days", M116&gt;=40,"40-50 Days", M116&gt;=30, "30-40 Days", M116&gt;=20, "20-30 Days", M116&gt;=10, "10-20 Days", M116&gt;=0, "0-10 Days")</f>
        <v>50-60 Days</v>
      </c>
    </row>
    <row r="117" spans="1:14">
      <c r="A117">
        <v>116</v>
      </c>
      <c r="B117" t="s">
        <v>29</v>
      </c>
      <c r="C117" s="5">
        <v>45373</v>
      </c>
      <c r="D117" s="8">
        <v>45373</v>
      </c>
      <c r="E117" s="8" t="str">
        <f>IF(B117="Inactive", EDATE(D117,K117), "")</f>
        <v/>
      </c>
      <c r="F117" t="s">
        <v>12</v>
      </c>
      <c r="G117">
        <v>13.2</v>
      </c>
      <c r="H117" t="str" cm="1">
        <f t="array" ref="H117">_xlfn.IFS(G117&gt;=20,"20-25", G117&gt;=15,"15-20", G117&gt;=10,"10-15", G117&gt;=5,"5-10", G117&gt;=1,"1-5", G117&lt;1,"Less than 1")</f>
        <v>10-15</v>
      </c>
      <c r="I117">
        <v>7</v>
      </c>
      <c r="J117">
        <v>2</v>
      </c>
      <c r="K117" s="6">
        <v>11</v>
      </c>
      <c r="L117" s="2">
        <v>1.99</v>
      </c>
      <c r="M117" s="6">
        <v>11</v>
      </c>
      <c r="N117" t="str" cm="1">
        <f t="array" ref="N117">_xlfn.IFS(M117&gt;=50,"50-60 Days", M117&gt;=40,"40-50 Days", M117&gt;=30, "30-40 Days", M117&gt;=20, "20-30 Days", M117&gt;=10, "10-20 Days", M117&gt;=0, "0-10 Days")</f>
        <v>10-20 Days</v>
      </c>
    </row>
    <row r="118" spans="1:14">
      <c r="A118">
        <v>117</v>
      </c>
      <c r="B118" t="s">
        <v>28</v>
      </c>
      <c r="C118" s="5">
        <v>45613</v>
      </c>
      <c r="D118" s="8">
        <v>45613</v>
      </c>
      <c r="E118" s="8">
        <f>IF(B118="Inactive", EDATE(D118,K118), "")</f>
        <v>45947</v>
      </c>
      <c r="F118" t="s">
        <v>10</v>
      </c>
      <c r="G118">
        <v>24.2</v>
      </c>
      <c r="H118" t="str" cm="1">
        <f t="array" ref="H118">_xlfn.IFS(G118&gt;=20,"20-25", G118&gt;=15,"15-20", G118&gt;=10,"10-15", G118&gt;=5,"5-10", G118&gt;=1,"1-5", G118&lt;1,"Less than 1")</f>
        <v>20-25</v>
      </c>
      <c r="I118">
        <v>7</v>
      </c>
      <c r="J118">
        <v>2</v>
      </c>
      <c r="K118" s="6">
        <v>11</v>
      </c>
      <c r="L118" s="2">
        <v>6.99</v>
      </c>
      <c r="M118" s="6">
        <v>26</v>
      </c>
      <c r="N118" t="str" cm="1">
        <f t="array" ref="N118">_xlfn.IFS(M118&gt;=50,"50-60 Days", M118&gt;=40,"40-50 Days", M118&gt;=30, "30-40 Days", M118&gt;=20, "20-30 Days", M118&gt;=10, "10-20 Days", M118&gt;=0, "0-10 Days")</f>
        <v>20-30 Days</v>
      </c>
    </row>
    <row r="119" spans="1:14">
      <c r="A119">
        <v>118</v>
      </c>
      <c r="B119" t="s">
        <v>29</v>
      </c>
      <c r="C119" s="5">
        <v>45490</v>
      </c>
      <c r="D119" s="8">
        <v>45490</v>
      </c>
      <c r="E119" s="8" t="str">
        <f>IF(B119="Inactive", EDATE(D119,K119), "")</f>
        <v/>
      </c>
      <c r="F119" t="s">
        <v>12</v>
      </c>
      <c r="G119">
        <v>8.6</v>
      </c>
      <c r="H119" t="str" cm="1">
        <f t="array" ref="H119">_xlfn.IFS(G119&gt;=20,"20-25", G119&gt;=15,"15-20", G119&gt;=10,"10-15", G119&gt;=5,"5-10", G119&gt;=1,"1-5", G119&lt;1,"Less than 1")</f>
        <v>5-10</v>
      </c>
      <c r="I119">
        <v>7</v>
      </c>
      <c r="J119">
        <v>2</v>
      </c>
      <c r="K119" s="6">
        <v>4</v>
      </c>
      <c r="L119" s="2">
        <v>1.99</v>
      </c>
      <c r="M119" s="6">
        <v>42</v>
      </c>
      <c r="N119" t="str" cm="1">
        <f t="array" ref="N119">_xlfn.IFS(M119&gt;=50,"50-60 Days", M119&gt;=40,"40-50 Days", M119&gt;=30, "30-40 Days", M119&gt;=20, "20-30 Days", M119&gt;=10, "10-20 Days", M119&gt;=0, "0-10 Days")</f>
        <v>40-50 Days</v>
      </c>
    </row>
    <row r="120" spans="1:14">
      <c r="A120">
        <v>119</v>
      </c>
      <c r="B120" t="s">
        <v>29</v>
      </c>
      <c r="C120" s="5">
        <v>45340</v>
      </c>
      <c r="D120" s="8">
        <v>45340</v>
      </c>
      <c r="E120" s="8" t="str">
        <f>IF(B120="Inactive", EDATE(D120,K120), "")</f>
        <v/>
      </c>
      <c r="F120" t="s">
        <v>12</v>
      </c>
      <c r="G120">
        <v>2.7</v>
      </c>
      <c r="H120" t="str" cm="1">
        <f t="array" ref="H120">_xlfn.IFS(G120&gt;=20,"20-25", G120&gt;=15,"15-20", G120&gt;=10,"10-15", G120&gt;=5,"5-10", G120&gt;=1,"1-5", G120&lt;1,"Less than 1")</f>
        <v>1-5</v>
      </c>
      <c r="I120">
        <v>4</v>
      </c>
      <c r="J120">
        <v>2</v>
      </c>
      <c r="K120" s="6">
        <v>10</v>
      </c>
      <c r="L120" s="2">
        <v>1.99</v>
      </c>
      <c r="M120" s="6">
        <v>7</v>
      </c>
      <c r="N120" t="str" cm="1">
        <f t="array" ref="N120">_xlfn.IFS(M120&gt;=50,"50-60 Days", M120&gt;=40,"40-50 Days", M120&gt;=30, "30-40 Days", M120&gt;=20, "20-30 Days", M120&gt;=10, "10-20 Days", M120&gt;=0, "0-10 Days")</f>
        <v>0-10 Days</v>
      </c>
    </row>
    <row r="121" spans="1:14">
      <c r="A121">
        <v>120</v>
      </c>
      <c r="B121" t="s">
        <v>28</v>
      </c>
      <c r="C121" s="5">
        <v>45457</v>
      </c>
      <c r="D121" s="8">
        <v>45457</v>
      </c>
      <c r="E121" s="8">
        <f>IF(B121="Inactive", EDATE(D121,K121), "")</f>
        <v>45487</v>
      </c>
      <c r="F121" t="s">
        <v>10</v>
      </c>
      <c r="G121">
        <v>16.600000000000001</v>
      </c>
      <c r="H121" t="str" cm="1">
        <f t="array" ref="H121">_xlfn.IFS(G121&gt;=20,"20-25", G121&gt;=15,"15-20", G121&gt;=10,"10-15", G121&gt;=5,"5-10", G121&gt;=1,"1-5", G121&lt;1,"Less than 1")</f>
        <v>15-20</v>
      </c>
      <c r="I121">
        <v>8</v>
      </c>
      <c r="J121">
        <v>3</v>
      </c>
      <c r="K121" s="6">
        <v>1</v>
      </c>
      <c r="L121" s="2">
        <v>6.99</v>
      </c>
      <c r="M121" s="6">
        <v>26</v>
      </c>
      <c r="N121" t="str" cm="1">
        <f t="array" ref="N121">_xlfn.IFS(M121&gt;=50,"50-60 Days", M121&gt;=40,"40-50 Days", M121&gt;=30, "30-40 Days", M121&gt;=20, "20-30 Days", M121&gt;=10, "10-20 Days", M121&gt;=0, "0-10 Days")</f>
        <v>20-30 Days</v>
      </c>
    </row>
    <row r="122" spans="1:14">
      <c r="A122">
        <v>121</v>
      </c>
      <c r="B122" t="s">
        <v>29</v>
      </c>
      <c r="C122" s="5">
        <v>45221</v>
      </c>
      <c r="D122" s="8">
        <v>45221</v>
      </c>
      <c r="E122" s="8" t="str">
        <f>IF(B122="Inactive", EDATE(D122,K122), "")</f>
        <v/>
      </c>
      <c r="F122" t="s">
        <v>14</v>
      </c>
      <c r="G122">
        <v>15.8</v>
      </c>
      <c r="H122" t="str" cm="1">
        <f t="array" ref="H122">_xlfn.IFS(G122&gt;=20,"20-25", G122&gt;=15,"15-20", G122&gt;=10,"10-15", G122&gt;=5,"5-10", G122&gt;=1,"1-5", G122&lt;1,"Less than 1")</f>
        <v>15-20</v>
      </c>
      <c r="I122">
        <v>0</v>
      </c>
      <c r="J122">
        <v>1</v>
      </c>
      <c r="K122" s="6">
        <v>11</v>
      </c>
      <c r="L122" s="2">
        <v>3.99</v>
      </c>
      <c r="M122" s="6">
        <v>17</v>
      </c>
      <c r="N122" t="str" cm="1">
        <f t="array" ref="N122">_xlfn.IFS(M122&gt;=50,"50-60 Days", M122&gt;=40,"40-50 Days", M122&gt;=30, "30-40 Days", M122&gt;=20, "20-30 Days", M122&gt;=10, "10-20 Days", M122&gt;=0, "0-10 Days")</f>
        <v>10-20 Days</v>
      </c>
    </row>
    <row r="123" spans="1:14">
      <c r="A123">
        <v>122</v>
      </c>
      <c r="B123" t="s">
        <v>28</v>
      </c>
      <c r="C123" s="5">
        <v>44941</v>
      </c>
      <c r="D123" s="8">
        <v>44941</v>
      </c>
      <c r="E123" s="8">
        <f>IF(B123="Inactive", EDATE(D123,K123), "")</f>
        <v>45275</v>
      </c>
      <c r="F123" t="s">
        <v>14</v>
      </c>
      <c r="G123">
        <v>3.5</v>
      </c>
      <c r="H123" t="str" cm="1">
        <f t="array" ref="H123">_xlfn.IFS(G123&gt;=20,"20-25", G123&gt;=15,"15-20", G123&gt;=10,"10-15", G123&gt;=5,"5-10", G123&gt;=1,"1-5", G123&lt;1,"Less than 1")</f>
        <v>1-5</v>
      </c>
      <c r="I123">
        <v>3</v>
      </c>
      <c r="J123">
        <v>5</v>
      </c>
      <c r="K123" s="6">
        <v>11</v>
      </c>
      <c r="L123" s="2">
        <v>3.99</v>
      </c>
      <c r="M123" s="6">
        <v>10</v>
      </c>
      <c r="N123" t="str" cm="1">
        <f t="array" ref="N123">_xlfn.IFS(M123&gt;=50,"50-60 Days", M123&gt;=40,"40-50 Days", M123&gt;=30, "30-40 Days", M123&gt;=20, "20-30 Days", M123&gt;=10, "10-20 Days", M123&gt;=0, "0-10 Days")</f>
        <v>10-20 Days</v>
      </c>
    </row>
    <row r="124" spans="1:14">
      <c r="A124">
        <v>123</v>
      </c>
      <c r="B124" t="s">
        <v>28</v>
      </c>
      <c r="C124" s="5">
        <v>45084</v>
      </c>
      <c r="D124" s="8">
        <v>45084</v>
      </c>
      <c r="E124" s="8">
        <f>IF(B124="Inactive", EDATE(D124,K124), "")</f>
        <v>45358</v>
      </c>
      <c r="F124" t="s">
        <v>10</v>
      </c>
      <c r="G124">
        <v>2.8</v>
      </c>
      <c r="H124" t="str" cm="1">
        <f t="array" ref="H124">_xlfn.IFS(G124&gt;=20,"20-25", G124&gt;=15,"15-20", G124&gt;=10,"10-15", G124&gt;=5,"5-10", G124&gt;=1,"1-5", G124&lt;1,"Less than 1")</f>
        <v>1-5</v>
      </c>
      <c r="I124">
        <v>1</v>
      </c>
      <c r="J124">
        <v>3</v>
      </c>
      <c r="K124" s="6">
        <v>9</v>
      </c>
      <c r="L124" s="2">
        <v>6.99</v>
      </c>
      <c r="M124" s="6">
        <v>60</v>
      </c>
      <c r="N124" t="str" cm="1">
        <f t="array" ref="N124">_xlfn.IFS(M124&gt;=50,"50-60 Days", M124&gt;=40,"40-50 Days", M124&gt;=30, "30-40 Days", M124&gt;=20, "20-30 Days", M124&gt;=10, "10-20 Days", M124&gt;=0, "0-10 Days")</f>
        <v>50-60 Days</v>
      </c>
    </row>
    <row r="125" spans="1:14">
      <c r="A125">
        <v>124</v>
      </c>
      <c r="B125" t="s">
        <v>28</v>
      </c>
      <c r="C125" s="5">
        <v>45410</v>
      </c>
      <c r="D125" s="8">
        <v>45410</v>
      </c>
      <c r="E125" s="8">
        <f>IF(B125="Inactive", EDATE(D125,K125), "")</f>
        <v>45624</v>
      </c>
      <c r="F125" t="s">
        <v>14</v>
      </c>
      <c r="G125">
        <v>13</v>
      </c>
      <c r="H125" t="str" cm="1">
        <f t="array" ref="H125">_xlfn.IFS(G125&gt;=20,"20-25", G125&gt;=15,"15-20", G125&gt;=10,"10-15", G125&gt;=5,"5-10", G125&gt;=1,"1-5", G125&lt;1,"Less than 1")</f>
        <v>10-15</v>
      </c>
      <c r="I125">
        <v>4</v>
      </c>
      <c r="J125">
        <v>3</v>
      </c>
      <c r="K125" s="6">
        <v>7</v>
      </c>
      <c r="L125" s="2">
        <v>3.99</v>
      </c>
      <c r="M125" s="6">
        <v>53</v>
      </c>
      <c r="N125" t="str" cm="1">
        <f t="array" ref="N125">_xlfn.IFS(M125&gt;=50,"50-60 Days", M125&gt;=40,"40-50 Days", M125&gt;=30, "30-40 Days", M125&gt;=20, "20-30 Days", M125&gt;=10, "10-20 Days", M125&gt;=0, "0-10 Days")</f>
        <v>50-60 Days</v>
      </c>
    </row>
    <row r="126" spans="1:14">
      <c r="A126">
        <v>125</v>
      </c>
      <c r="B126" t="s">
        <v>29</v>
      </c>
      <c r="C126" s="5">
        <v>45066</v>
      </c>
      <c r="D126" s="8">
        <v>45066</v>
      </c>
      <c r="E126" s="8" t="str">
        <f>IF(B126="Inactive", EDATE(D126,K126), "")</f>
        <v/>
      </c>
      <c r="F126" t="s">
        <v>12</v>
      </c>
      <c r="G126">
        <v>14</v>
      </c>
      <c r="H126" t="str" cm="1">
        <f t="array" ref="H126">_xlfn.IFS(G126&gt;=20,"20-25", G126&gt;=15,"15-20", G126&gt;=10,"10-15", G126&gt;=5,"5-10", G126&gt;=1,"1-5", G126&lt;1,"Less than 1")</f>
        <v>10-15</v>
      </c>
      <c r="I126">
        <v>6</v>
      </c>
      <c r="J126">
        <v>1</v>
      </c>
      <c r="K126" s="6">
        <v>10</v>
      </c>
      <c r="L126" s="2">
        <v>1.99</v>
      </c>
      <c r="M126" s="6">
        <v>58</v>
      </c>
      <c r="N126" t="str" cm="1">
        <f t="array" ref="N126">_xlfn.IFS(M126&gt;=50,"50-60 Days", M126&gt;=40,"40-50 Days", M126&gt;=30, "30-40 Days", M126&gt;=20, "20-30 Days", M126&gt;=10, "10-20 Days", M126&gt;=0, "0-10 Days")</f>
        <v>50-60 Days</v>
      </c>
    </row>
    <row r="127" spans="1:14">
      <c r="A127">
        <v>126</v>
      </c>
      <c r="B127" t="s">
        <v>29</v>
      </c>
      <c r="C127" s="5">
        <v>45200</v>
      </c>
      <c r="D127" s="8">
        <v>45200</v>
      </c>
      <c r="E127" s="8" t="str">
        <f>IF(B127="Inactive", EDATE(D127,K127), "")</f>
        <v/>
      </c>
      <c r="F127" t="s">
        <v>12</v>
      </c>
      <c r="G127">
        <v>19.399999999999999</v>
      </c>
      <c r="H127" t="str" cm="1">
        <f t="array" ref="H127">_xlfn.IFS(G127&gt;=20,"20-25", G127&gt;=15,"15-20", G127&gt;=10,"10-15", G127&gt;=5,"5-10", G127&gt;=1,"1-5", G127&lt;1,"Less than 1")</f>
        <v>15-20</v>
      </c>
      <c r="I127">
        <v>6</v>
      </c>
      <c r="J127">
        <v>2</v>
      </c>
      <c r="K127" s="6">
        <v>6</v>
      </c>
      <c r="L127" s="2">
        <v>1.99</v>
      </c>
      <c r="M127" s="6">
        <v>59</v>
      </c>
      <c r="N127" t="str" cm="1">
        <f t="array" ref="N127">_xlfn.IFS(M127&gt;=50,"50-60 Days", M127&gt;=40,"40-50 Days", M127&gt;=30, "30-40 Days", M127&gt;=20, "20-30 Days", M127&gt;=10, "10-20 Days", M127&gt;=0, "0-10 Days")</f>
        <v>50-60 Days</v>
      </c>
    </row>
    <row r="128" spans="1:14">
      <c r="A128">
        <v>127</v>
      </c>
      <c r="B128" t="s">
        <v>29</v>
      </c>
      <c r="C128" s="5">
        <v>45280</v>
      </c>
      <c r="D128" s="8">
        <v>45280</v>
      </c>
      <c r="E128" s="8" t="str">
        <f>IF(B128="Inactive", EDATE(D128,K128), "")</f>
        <v/>
      </c>
      <c r="F128" t="s">
        <v>12</v>
      </c>
      <c r="G128">
        <v>18.3</v>
      </c>
      <c r="H128" t="str" cm="1">
        <f t="array" ref="H128">_xlfn.IFS(G128&gt;=20,"20-25", G128&gt;=15,"15-20", G128&gt;=10,"10-15", G128&gt;=5,"5-10", G128&gt;=1,"1-5", G128&lt;1,"Less than 1")</f>
        <v>15-20</v>
      </c>
      <c r="I128">
        <v>7</v>
      </c>
      <c r="J128">
        <v>1</v>
      </c>
      <c r="K128" s="6">
        <v>7</v>
      </c>
      <c r="L128" s="2">
        <v>1.99</v>
      </c>
      <c r="M128" s="6">
        <v>28</v>
      </c>
      <c r="N128" t="str" cm="1">
        <f t="array" ref="N128">_xlfn.IFS(M128&gt;=50,"50-60 Days", M128&gt;=40,"40-50 Days", M128&gt;=30, "30-40 Days", M128&gt;=20, "20-30 Days", M128&gt;=10, "10-20 Days", M128&gt;=0, "0-10 Days")</f>
        <v>20-30 Days</v>
      </c>
    </row>
    <row r="129" spans="1:14">
      <c r="A129">
        <v>128</v>
      </c>
      <c r="B129" t="s">
        <v>28</v>
      </c>
      <c r="C129" s="5">
        <v>45120</v>
      </c>
      <c r="D129" s="8">
        <v>45120</v>
      </c>
      <c r="E129" s="8">
        <f>IF(B129="Inactive", EDATE(D129,K129), "")</f>
        <v>45486</v>
      </c>
      <c r="F129" t="s">
        <v>14</v>
      </c>
      <c r="G129">
        <v>19.2</v>
      </c>
      <c r="H129" t="str" cm="1">
        <f t="array" ref="H129">_xlfn.IFS(G129&gt;=20,"20-25", G129&gt;=15,"15-20", G129&gt;=10,"10-15", G129&gt;=5,"5-10", G129&gt;=1,"1-5", G129&lt;1,"Less than 1")</f>
        <v>15-20</v>
      </c>
      <c r="I129">
        <v>6</v>
      </c>
      <c r="J129">
        <v>3</v>
      </c>
      <c r="K129" s="6">
        <v>12</v>
      </c>
      <c r="L129" s="2">
        <v>3.99</v>
      </c>
      <c r="M129" s="6">
        <v>59</v>
      </c>
      <c r="N129" t="str" cm="1">
        <f t="array" ref="N129">_xlfn.IFS(M129&gt;=50,"50-60 Days", M129&gt;=40,"40-50 Days", M129&gt;=30, "30-40 Days", M129&gt;=20, "20-30 Days", M129&gt;=10, "10-20 Days", M129&gt;=0, "0-10 Days")</f>
        <v>50-60 Days</v>
      </c>
    </row>
    <row r="130" spans="1:14">
      <c r="A130">
        <v>129</v>
      </c>
      <c r="B130" t="s">
        <v>28</v>
      </c>
      <c r="C130" s="5">
        <v>45411</v>
      </c>
      <c r="D130" s="8">
        <v>45411</v>
      </c>
      <c r="E130" s="8">
        <f>IF(B130="Inactive", EDATE(D130,K130), "")</f>
        <v>45594</v>
      </c>
      <c r="F130" t="s">
        <v>10</v>
      </c>
      <c r="G130">
        <v>14.5</v>
      </c>
      <c r="H130" t="str" cm="1">
        <f t="array" ref="H130">_xlfn.IFS(G130&gt;=20,"20-25", G130&gt;=15,"15-20", G130&gt;=10,"10-15", G130&gt;=5,"5-10", G130&gt;=1,"1-5", G130&lt;1,"Less than 1")</f>
        <v>10-15</v>
      </c>
      <c r="I130">
        <v>3</v>
      </c>
      <c r="J130">
        <v>3</v>
      </c>
      <c r="K130" s="6">
        <v>6</v>
      </c>
      <c r="L130" s="2">
        <v>6.99</v>
      </c>
      <c r="M130" s="6">
        <v>2</v>
      </c>
      <c r="N130" t="str" cm="1">
        <f t="array" ref="N130">_xlfn.IFS(M130&gt;=50,"50-60 Days", M130&gt;=40,"40-50 Days", M130&gt;=30, "30-40 Days", M130&gt;=20, "20-30 Days", M130&gt;=10, "10-20 Days", M130&gt;=0, "0-10 Days")</f>
        <v>0-10 Days</v>
      </c>
    </row>
    <row r="131" spans="1:14">
      <c r="A131">
        <v>130</v>
      </c>
      <c r="B131" t="s">
        <v>28</v>
      </c>
      <c r="C131" s="5">
        <v>45531</v>
      </c>
      <c r="D131" s="8">
        <v>45531</v>
      </c>
      <c r="E131" s="8">
        <f>IF(B131="Inactive", EDATE(D131,K131), "")</f>
        <v>45804</v>
      </c>
      <c r="F131" t="s">
        <v>10</v>
      </c>
      <c r="G131">
        <v>10</v>
      </c>
      <c r="H131" t="str" cm="1">
        <f t="array" ref="H131">_xlfn.IFS(G131&gt;=20,"20-25", G131&gt;=15,"15-20", G131&gt;=10,"10-15", G131&gt;=5,"5-10", G131&gt;=1,"1-5", G131&lt;1,"Less than 1")</f>
        <v>10-15</v>
      </c>
      <c r="I131">
        <v>2</v>
      </c>
      <c r="J131">
        <v>3</v>
      </c>
      <c r="K131" s="6">
        <v>9</v>
      </c>
      <c r="L131" s="2">
        <v>6.99</v>
      </c>
      <c r="M131" s="6">
        <v>2</v>
      </c>
      <c r="N131" t="str" cm="1">
        <f t="array" ref="N131">_xlfn.IFS(M131&gt;=50,"50-60 Days", M131&gt;=40,"40-50 Days", M131&gt;=30, "30-40 Days", M131&gt;=20, "20-30 Days", M131&gt;=10, "10-20 Days", M131&gt;=0, "0-10 Days")</f>
        <v>0-10 Days</v>
      </c>
    </row>
    <row r="132" spans="1:14">
      <c r="A132">
        <v>131</v>
      </c>
      <c r="B132" t="s">
        <v>29</v>
      </c>
      <c r="C132" s="5">
        <v>44942</v>
      </c>
      <c r="D132" s="8">
        <v>44942</v>
      </c>
      <c r="E132" s="8" t="str">
        <f>IF(B132="Inactive", EDATE(D132,K132), "")</f>
        <v/>
      </c>
      <c r="F132" t="s">
        <v>14</v>
      </c>
      <c r="G132">
        <v>21.9</v>
      </c>
      <c r="H132" t="str" cm="1">
        <f t="array" ref="H132">_xlfn.IFS(G132&gt;=20,"20-25", G132&gt;=15,"15-20", G132&gt;=10,"10-15", G132&gt;=5,"5-10", G132&gt;=1,"1-5", G132&lt;1,"Less than 1")</f>
        <v>20-25</v>
      </c>
      <c r="I132">
        <v>7</v>
      </c>
      <c r="J132">
        <v>0</v>
      </c>
      <c r="K132" s="6">
        <v>3</v>
      </c>
      <c r="L132" s="2">
        <v>3.99</v>
      </c>
      <c r="M132" s="6">
        <v>33</v>
      </c>
      <c r="N132" t="str" cm="1">
        <f t="array" ref="N132">_xlfn.IFS(M132&gt;=50,"50-60 Days", M132&gt;=40,"40-50 Days", M132&gt;=30, "30-40 Days", M132&gt;=20, "20-30 Days", M132&gt;=10, "10-20 Days", M132&gt;=0, "0-10 Days")</f>
        <v>30-40 Days</v>
      </c>
    </row>
    <row r="133" spans="1:14">
      <c r="A133">
        <v>132</v>
      </c>
      <c r="B133" t="s">
        <v>29</v>
      </c>
      <c r="C133" s="5">
        <v>45198</v>
      </c>
      <c r="D133" s="8">
        <v>45198</v>
      </c>
      <c r="E133" s="8" t="str">
        <f>IF(B133="Inactive", EDATE(D133,K133), "")</f>
        <v/>
      </c>
      <c r="F133" t="s">
        <v>10</v>
      </c>
      <c r="G133">
        <v>10.5</v>
      </c>
      <c r="H133" t="str" cm="1">
        <f t="array" ref="H133">_xlfn.IFS(G133&gt;=20,"20-25", G133&gt;=15,"15-20", G133&gt;=10,"10-15", G133&gt;=5,"5-10", G133&gt;=1,"1-5", G133&lt;1,"Less than 1")</f>
        <v>10-15</v>
      </c>
      <c r="I133">
        <v>2</v>
      </c>
      <c r="J133">
        <v>0</v>
      </c>
      <c r="K133" s="6">
        <v>4</v>
      </c>
      <c r="L133" s="2">
        <v>6.99</v>
      </c>
      <c r="M133" s="6">
        <v>30</v>
      </c>
      <c r="N133" t="str" cm="1">
        <f t="array" ref="N133">_xlfn.IFS(M133&gt;=50,"50-60 Days", M133&gt;=40,"40-50 Days", M133&gt;=30, "30-40 Days", M133&gt;=20, "20-30 Days", M133&gt;=10, "10-20 Days", M133&gt;=0, "0-10 Days")</f>
        <v>30-40 Days</v>
      </c>
    </row>
    <row r="134" spans="1:14">
      <c r="A134">
        <v>133</v>
      </c>
      <c r="B134" t="s">
        <v>28</v>
      </c>
      <c r="C134" s="5">
        <v>45251</v>
      </c>
      <c r="D134" s="8">
        <v>45251</v>
      </c>
      <c r="E134" s="8">
        <f>IF(B134="Inactive", EDATE(D134,K134), "")</f>
        <v>45525</v>
      </c>
      <c r="F134" t="s">
        <v>14</v>
      </c>
      <c r="G134">
        <v>16.399999999999999</v>
      </c>
      <c r="H134" t="str" cm="1">
        <f t="array" ref="H134">_xlfn.IFS(G134&gt;=20,"20-25", G134&gt;=15,"15-20", G134&gt;=10,"10-15", G134&gt;=5,"5-10", G134&gt;=1,"1-5", G134&lt;1,"Less than 1")</f>
        <v>15-20</v>
      </c>
      <c r="I134">
        <v>5</v>
      </c>
      <c r="J134">
        <v>5</v>
      </c>
      <c r="K134" s="6">
        <v>9</v>
      </c>
      <c r="L134" s="2">
        <v>3.99</v>
      </c>
      <c r="M134" s="6">
        <v>54</v>
      </c>
      <c r="N134" t="str" cm="1">
        <f t="array" ref="N134">_xlfn.IFS(M134&gt;=50,"50-60 Days", M134&gt;=40,"40-50 Days", M134&gt;=30, "30-40 Days", M134&gt;=20, "20-30 Days", M134&gt;=10, "10-20 Days", M134&gt;=0, "0-10 Days")</f>
        <v>50-60 Days</v>
      </c>
    </row>
    <row r="135" spans="1:14">
      <c r="A135">
        <v>134</v>
      </c>
      <c r="B135" t="s">
        <v>28</v>
      </c>
      <c r="C135" s="5">
        <v>45627</v>
      </c>
      <c r="D135" s="8">
        <v>45627</v>
      </c>
      <c r="E135" s="8">
        <f>IF(B135="Inactive", EDATE(D135,K135), "")</f>
        <v>45962</v>
      </c>
      <c r="F135" t="s">
        <v>10</v>
      </c>
      <c r="G135">
        <v>21.9</v>
      </c>
      <c r="H135" t="str" cm="1">
        <f t="array" ref="H135">_xlfn.IFS(G135&gt;=20,"20-25", G135&gt;=15,"15-20", G135&gt;=10,"10-15", G135&gt;=5,"5-10", G135&gt;=1,"1-5", G135&lt;1,"Less than 1")</f>
        <v>20-25</v>
      </c>
      <c r="I135">
        <v>0</v>
      </c>
      <c r="J135">
        <v>4</v>
      </c>
      <c r="K135" s="6">
        <v>11</v>
      </c>
      <c r="L135" s="2">
        <v>6.99</v>
      </c>
      <c r="M135" s="6">
        <v>4</v>
      </c>
      <c r="N135" t="str" cm="1">
        <f t="array" ref="N135">_xlfn.IFS(M135&gt;=50,"50-60 Days", M135&gt;=40,"40-50 Days", M135&gt;=30, "30-40 Days", M135&gt;=20, "20-30 Days", M135&gt;=10, "10-20 Days", M135&gt;=0, "0-10 Days")</f>
        <v>0-10 Days</v>
      </c>
    </row>
    <row r="136" spans="1:14">
      <c r="A136">
        <v>135</v>
      </c>
      <c r="B136" t="s">
        <v>29</v>
      </c>
      <c r="C136" s="5">
        <v>45029</v>
      </c>
      <c r="D136" s="8">
        <v>45029</v>
      </c>
      <c r="E136" s="8" t="str">
        <f>IF(B136="Inactive", EDATE(D136,K136), "")</f>
        <v/>
      </c>
      <c r="F136" t="s">
        <v>14</v>
      </c>
      <c r="G136">
        <v>18.8</v>
      </c>
      <c r="H136" t="str" cm="1">
        <f t="array" ref="H136">_xlfn.IFS(G136&gt;=20,"20-25", G136&gt;=15,"15-20", G136&gt;=10,"10-15", G136&gt;=5,"5-10", G136&gt;=1,"1-5", G136&lt;1,"Less than 1")</f>
        <v>15-20</v>
      </c>
      <c r="I136">
        <v>6</v>
      </c>
      <c r="J136">
        <v>0</v>
      </c>
      <c r="K136" s="6">
        <v>5</v>
      </c>
      <c r="L136" s="2">
        <v>3.99</v>
      </c>
      <c r="M136" s="6">
        <v>48</v>
      </c>
      <c r="N136" t="str" cm="1">
        <f t="array" ref="N136">_xlfn.IFS(M136&gt;=50,"50-60 Days", M136&gt;=40,"40-50 Days", M136&gt;=30, "30-40 Days", M136&gt;=20, "20-30 Days", M136&gt;=10, "10-20 Days", M136&gt;=0, "0-10 Days")</f>
        <v>40-50 Days</v>
      </c>
    </row>
    <row r="137" spans="1:14">
      <c r="A137">
        <v>136</v>
      </c>
      <c r="B137" t="s">
        <v>29</v>
      </c>
      <c r="C137" s="5">
        <v>45227</v>
      </c>
      <c r="D137" s="8">
        <v>45227</v>
      </c>
      <c r="E137" s="8" t="str">
        <f>IF(B137="Inactive", EDATE(D137,K137), "")</f>
        <v/>
      </c>
      <c r="F137" t="s">
        <v>14</v>
      </c>
      <c r="G137">
        <v>17.5</v>
      </c>
      <c r="H137" t="str" cm="1">
        <f t="array" ref="H137">_xlfn.IFS(G137&gt;=20,"20-25", G137&gt;=15,"15-20", G137&gt;=10,"10-15", G137&gt;=5,"5-10", G137&gt;=1,"1-5", G137&lt;1,"Less than 1")</f>
        <v>15-20</v>
      </c>
      <c r="I137">
        <v>0</v>
      </c>
      <c r="J137">
        <v>0</v>
      </c>
      <c r="K137" s="6">
        <v>4</v>
      </c>
      <c r="L137" s="2">
        <v>3.99</v>
      </c>
      <c r="M137" s="6">
        <v>20</v>
      </c>
      <c r="N137" t="str" cm="1">
        <f t="array" ref="N137">_xlfn.IFS(M137&gt;=50,"50-60 Days", M137&gt;=40,"40-50 Days", M137&gt;=30, "30-40 Days", M137&gt;=20, "20-30 Days", M137&gt;=10, "10-20 Days", M137&gt;=0, "0-10 Days")</f>
        <v>20-30 Days</v>
      </c>
    </row>
    <row r="138" spans="1:14">
      <c r="A138">
        <v>137</v>
      </c>
      <c r="B138" t="s">
        <v>28</v>
      </c>
      <c r="C138" s="5">
        <v>45111</v>
      </c>
      <c r="D138" s="8">
        <v>45111</v>
      </c>
      <c r="E138" s="8">
        <f>IF(B138="Inactive", EDATE(D138,K138), "")</f>
        <v>45355</v>
      </c>
      <c r="F138" t="s">
        <v>14</v>
      </c>
      <c r="G138">
        <v>11.1</v>
      </c>
      <c r="H138" t="str" cm="1">
        <f t="array" ref="H138">_xlfn.IFS(G138&gt;=20,"20-25", G138&gt;=15,"15-20", G138&gt;=10,"10-15", G138&gt;=5,"5-10", G138&gt;=1,"1-5", G138&lt;1,"Less than 1")</f>
        <v>10-15</v>
      </c>
      <c r="I138">
        <v>3</v>
      </c>
      <c r="J138">
        <v>4</v>
      </c>
      <c r="K138" s="6">
        <v>8</v>
      </c>
      <c r="L138" s="2">
        <v>3.99</v>
      </c>
      <c r="M138" s="6">
        <v>26</v>
      </c>
      <c r="N138" t="str" cm="1">
        <f t="array" ref="N138">_xlfn.IFS(M138&gt;=50,"50-60 Days", M138&gt;=40,"40-50 Days", M138&gt;=30, "30-40 Days", M138&gt;=20, "20-30 Days", M138&gt;=10, "10-20 Days", M138&gt;=0, "0-10 Days")</f>
        <v>20-30 Days</v>
      </c>
    </row>
    <row r="139" spans="1:14">
      <c r="A139">
        <v>138</v>
      </c>
      <c r="B139" t="s">
        <v>28</v>
      </c>
      <c r="C139" s="5">
        <v>45524</v>
      </c>
      <c r="D139" s="8">
        <v>45524</v>
      </c>
      <c r="E139" s="8">
        <f>IF(B139="Inactive", EDATE(D139,K139), "")</f>
        <v>45646</v>
      </c>
      <c r="F139" t="s">
        <v>12</v>
      </c>
      <c r="G139">
        <v>2.4</v>
      </c>
      <c r="H139" t="str" cm="1">
        <f t="array" ref="H139">_xlfn.IFS(G139&gt;=20,"20-25", G139&gt;=15,"15-20", G139&gt;=10,"10-15", G139&gt;=5,"5-10", G139&gt;=1,"1-5", G139&lt;1,"Less than 1")</f>
        <v>1-5</v>
      </c>
      <c r="I139">
        <v>6</v>
      </c>
      <c r="J139">
        <v>4</v>
      </c>
      <c r="K139" s="6">
        <v>4</v>
      </c>
      <c r="L139" s="2">
        <v>1.99</v>
      </c>
      <c r="M139" s="6">
        <v>43</v>
      </c>
      <c r="N139" t="str" cm="1">
        <f t="array" ref="N139">_xlfn.IFS(M139&gt;=50,"50-60 Days", M139&gt;=40,"40-50 Days", M139&gt;=30, "30-40 Days", M139&gt;=20, "20-30 Days", M139&gt;=10, "10-20 Days", M139&gt;=0, "0-10 Days")</f>
        <v>40-50 Days</v>
      </c>
    </row>
    <row r="140" spans="1:14">
      <c r="A140">
        <v>139</v>
      </c>
      <c r="B140" t="s">
        <v>29</v>
      </c>
      <c r="C140" s="5">
        <v>45403</v>
      </c>
      <c r="D140" s="8">
        <v>45403</v>
      </c>
      <c r="E140" s="8" t="str">
        <f>IF(B140="Inactive", EDATE(D140,K140), "")</f>
        <v/>
      </c>
      <c r="F140" t="s">
        <v>12</v>
      </c>
      <c r="G140">
        <v>11.8</v>
      </c>
      <c r="H140" t="str" cm="1">
        <f t="array" ref="H140">_xlfn.IFS(G140&gt;=20,"20-25", G140&gt;=15,"15-20", G140&gt;=10,"10-15", G140&gt;=5,"5-10", G140&gt;=1,"1-5", G140&lt;1,"Less than 1")</f>
        <v>10-15</v>
      </c>
      <c r="I140">
        <v>4</v>
      </c>
      <c r="J140">
        <v>3</v>
      </c>
      <c r="K140" s="6">
        <v>5</v>
      </c>
      <c r="L140" s="2">
        <v>1.99</v>
      </c>
      <c r="M140" s="6">
        <v>16</v>
      </c>
      <c r="N140" t="str" cm="1">
        <f t="array" ref="N140">_xlfn.IFS(M140&gt;=50,"50-60 Days", M140&gt;=40,"40-50 Days", M140&gt;=30, "30-40 Days", M140&gt;=20, "20-30 Days", M140&gt;=10, "10-20 Days", M140&gt;=0, "0-10 Days")</f>
        <v>10-20 Days</v>
      </c>
    </row>
    <row r="141" spans="1:14">
      <c r="A141">
        <v>140</v>
      </c>
      <c r="B141" t="s">
        <v>28</v>
      </c>
      <c r="C141" s="5">
        <v>45361</v>
      </c>
      <c r="D141" s="8">
        <v>45361</v>
      </c>
      <c r="E141" s="8">
        <f>IF(B141="Inactive", EDATE(D141,K141), "")</f>
        <v>45726</v>
      </c>
      <c r="F141" t="s">
        <v>14</v>
      </c>
      <c r="G141">
        <v>4.4000000000000004</v>
      </c>
      <c r="H141" t="str" cm="1">
        <f t="array" ref="H141">_xlfn.IFS(G141&gt;=20,"20-25", G141&gt;=15,"15-20", G141&gt;=10,"10-15", G141&gt;=5,"5-10", G141&gt;=1,"1-5", G141&lt;1,"Less than 1")</f>
        <v>1-5</v>
      </c>
      <c r="I141">
        <v>7</v>
      </c>
      <c r="J141">
        <v>2</v>
      </c>
      <c r="K141" s="6">
        <v>12</v>
      </c>
      <c r="L141" s="2">
        <v>3.99</v>
      </c>
      <c r="M141" s="6">
        <v>37</v>
      </c>
      <c r="N141" t="str" cm="1">
        <f t="array" ref="N141">_xlfn.IFS(M141&gt;=50,"50-60 Days", M141&gt;=40,"40-50 Days", M141&gt;=30, "30-40 Days", M141&gt;=20, "20-30 Days", M141&gt;=10, "10-20 Days", M141&gt;=0, "0-10 Days")</f>
        <v>30-40 Days</v>
      </c>
    </row>
    <row r="142" spans="1:14">
      <c r="A142">
        <v>141</v>
      </c>
      <c r="B142" t="s">
        <v>29</v>
      </c>
      <c r="C142" s="5">
        <v>45036</v>
      </c>
      <c r="D142" s="8">
        <v>45036</v>
      </c>
      <c r="E142" s="8" t="str">
        <f>IF(B142="Inactive", EDATE(D142,K142), "")</f>
        <v/>
      </c>
      <c r="F142" t="s">
        <v>10</v>
      </c>
      <c r="G142">
        <v>11.7</v>
      </c>
      <c r="H142" t="str" cm="1">
        <f t="array" ref="H142">_xlfn.IFS(G142&gt;=20,"20-25", G142&gt;=15,"15-20", G142&gt;=10,"10-15", G142&gt;=5,"5-10", G142&gt;=1,"1-5", G142&lt;1,"Less than 1")</f>
        <v>10-15</v>
      </c>
      <c r="I142">
        <v>4</v>
      </c>
      <c r="J142">
        <v>1</v>
      </c>
      <c r="K142" s="6">
        <v>6</v>
      </c>
      <c r="L142" s="2">
        <v>6.99</v>
      </c>
      <c r="M142" s="6">
        <v>24</v>
      </c>
      <c r="N142" t="str" cm="1">
        <f t="array" ref="N142">_xlfn.IFS(M142&gt;=50,"50-60 Days", M142&gt;=40,"40-50 Days", M142&gt;=30, "30-40 Days", M142&gt;=20, "20-30 Days", M142&gt;=10, "10-20 Days", M142&gt;=0, "0-10 Days")</f>
        <v>20-30 Days</v>
      </c>
    </row>
    <row r="143" spans="1:14">
      <c r="A143">
        <v>142</v>
      </c>
      <c r="B143" t="s">
        <v>28</v>
      </c>
      <c r="C143" s="5">
        <v>45601</v>
      </c>
      <c r="D143" s="8">
        <v>45601</v>
      </c>
      <c r="E143" s="8">
        <f>IF(B143="Inactive", EDATE(D143,K143), "")</f>
        <v>45874</v>
      </c>
      <c r="F143" t="s">
        <v>12</v>
      </c>
      <c r="G143">
        <v>14.5</v>
      </c>
      <c r="H143" t="str" cm="1">
        <f t="array" ref="H143">_xlfn.IFS(G143&gt;=20,"20-25", G143&gt;=15,"15-20", G143&gt;=10,"10-15", G143&gt;=5,"5-10", G143&gt;=1,"1-5", G143&lt;1,"Less than 1")</f>
        <v>10-15</v>
      </c>
      <c r="I143">
        <v>4</v>
      </c>
      <c r="J143">
        <v>5</v>
      </c>
      <c r="K143" s="6">
        <v>9</v>
      </c>
      <c r="L143" s="2">
        <v>1.99</v>
      </c>
      <c r="M143" s="6">
        <v>18</v>
      </c>
      <c r="N143" t="str" cm="1">
        <f t="array" ref="N143">_xlfn.IFS(M143&gt;=50,"50-60 Days", M143&gt;=40,"40-50 Days", M143&gt;=30, "30-40 Days", M143&gt;=20, "20-30 Days", M143&gt;=10, "10-20 Days", M143&gt;=0, "0-10 Days")</f>
        <v>10-20 Days</v>
      </c>
    </row>
    <row r="144" spans="1:14">
      <c r="A144">
        <v>143</v>
      </c>
      <c r="B144" t="s">
        <v>28</v>
      </c>
      <c r="C144" s="5">
        <v>45220</v>
      </c>
      <c r="D144" s="8">
        <v>45220</v>
      </c>
      <c r="E144" s="8">
        <f>IF(B144="Inactive", EDATE(D144,K144), "")</f>
        <v>45403</v>
      </c>
      <c r="F144" t="s">
        <v>14</v>
      </c>
      <c r="G144">
        <v>0.7</v>
      </c>
      <c r="H144" t="str" cm="1">
        <f t="array" ref="H144">_xlfn.IFS(G144&gt;=20,"20-25", G144&gt;=15,"15-20", G144&gt;=10,"10-15", G144&gt;=5,"5-10", G144&gt;=1,"1-5", G144&lt;1,"Less than 1")</f>
        <v>Less than 1</v>
      </c>
      <c r="I144">
        <v>0</v>
      </c>
      <c r="J144">
        <v>4</v>
      </c>
      <c r="K144" s="6">
        <v>6</v>
      </c>
      <c r="L144" s="2">
        <v>3.99</v>
      </c>
      <c r="M144" s="6">
        <v>47</v>
      </c>
      <c r="N144" t="str" cm="1">
        <f t="array" ref="N144">_xlfn.IFS(M144&gt;=50,"50-60 Days", M144&gt;=40,"40-50 Days", M144&gt;=30, "30-40 Days", M144&gt;=20, "20-30 Days", M144&gt;=10, "10-20 Days", M144&gt;=0, "0-10 Days")</f>
        <v>40-50 Days</v>
      </c>
    </row>
    <row r="145" spans="1:14">
      <c r="A145">
        <v>144</v>
      </c>
      <c r="B145" t="s">
        <v>29</v>
      </c>
      <c r="C145" s="5">
        <v>45602</v>
      </c>
      <c r="D145" s="8">
        <v>45602</v>
      </c>
      <c r="E145" s="8" t="str">
        <f>IF(B145="Inactive", EDATE(D145,K145), "")</f>
        <v/>
      </c>
      <c r="F145" t="s">
        <v>12</v>
      </c>
      <c r="G145">
        <v>5.9</v>
      </c>
      <c r="H145" t="str" cm="1">
        <f t="array" ref="H145">_xlfn.IFS(G145&gt;=20,"20-25", G145&gt;=15,"15-20", G145&gt;=10,"10-15", G145&gt;=5,"5-10", G145&gt;=1,"1-5", G145&lt;1,"Less than 1")</f>
        <v>5-10</v>
      </c>
      <c r="I145">
        <v>3</v>
      </c>
      <c r="J145">
        <v>4</v>
      </c>
      <c r="K145" s="6">
        <v>8</v>
      </c>
      <c r="L145" s="2">
        <v>1.99</v>
      </c>
      <c r="M145" s="6">
        <v>16</v>
      </c>
      <c r="N145" t="str" cm="1">
        <f t="array" ref="N145">_xlfn.IFS(M145&gt;=50,"50-60 Days", M145&gt;=40,"40-50 Days", M145&gt;=30, "30-40 Days", M145&gt;=20, "20-30 Days", M145&gt;=10, "10-20 Days", M145&gt;=0, "0-10 Days")</f>
        <v>10-20 Days</v>
      </c>
    </row>
    <row r="146" spans="1:14">
      <c r="A146">
        <v>145</v>
      </c>
      <c r="B146" t="s">
        <v>28</v>
      </c>
      <c r="C146" s="5">
        <v>45520</v>
      </c>
      <c r="D146" s="8">
        <v>45520</v>
      </c>
      <c r="E146" s="8">
        <f>IF(B146="Inactive", EDATE(D146,K146), "")</f>
        <v>45612</v>
      </c>
      <c r="F146" t="s">
        <v>10</v>
      </c>
      <c r="G146">
        <v>15.9</v>
      </c>
      <c r="H146" t="str" cm="1">
        <f t="array" ref="H146">_xlfn.IFS(G146&gt;=20,"20-25", G146&gt;=15,"15-20", G146&gt;=10,"10-15", G146&gt;=5,"5-10", G146&gt;=1,"1-5", G146&lt;1,"Less than 1")</f>
        <v>15-20</v>
      </c>
      <c r="I146">
        <v>0</v>
      </c>
      <c r="J146">
        <v>2</v>
      </c>
      <c r="K146" s="6">
        <v>3</v>
      </c>
      <c r="L146" s="2">
        <v>6.99</v>
      </c>
      <c r="M146" s="6">
        <v>50</v>
      </c>
      <c r="N146" t="str" cm="1">
        <f t="array" ref="N146">_xlfn.IFS(M146&gt;=50,"50-60 Days", M146&gt;=40,"40-50 Days", M146&gt;=30, "30-40 Days", M146&gt;=20, "20-30 Days", M146&gt;=10, "10-20 Days", M146&gt;=0, "0-10 Days")</f>
        <v>50-60 Days</v>
      </c>
    </row>
    <row r="147" spans="1:14">
      <c r="A147">
        <v>146</v>
      </c>
      <c r="B147" t="s">
        <v>28</v>
      </c>
      <c r="C147" s="5">
        <v>45132</v>
      </c>
      <c r="D147" s="8">
        <v>45132</v>
      </c>
      <c r="E147" s="8">
        <f>IF(B147="Inactive", EDATE(D147,K147), "")</f>
        <v>45224</v>
      </c>
      <c r="F147" t="s">
        <v>14</v>
      </c>
      <c r="G147">
        <v>2.7</v>
      </c>
      <c r="H147" t="str" cm="1">
        <f t="array" ref="H147">_xlfn.IFS(G147&gt;=20,"20-25", G147&gt;=15,"15-20", G147&gt;=10,"10-15", G147&gt;=5,"5-10", G147&gt;=1,"1-5", G147&lt;1,"Less than 1")</f>
        <v>1-5</v>
      </c>
      <c r="I147">
        <v>4</v>
      </c>
      <c r="J147">
        <v>2</v>
      </c>
      <c r="K147" s="6">
        <v>3</v>
      </c>
      <c r="L147" s="2">
        <v>3.99</v>
      </c>
      <c r="M147" s="6">
        <v>47</v>
      </c>
      <c r="N147" t="str" cm="1">
        <f t="array" ref="N147">_xlfn.IFS(M147&gt;=50,"50-60 Days", M147&gt;=40,"40-50 Days", M147&gt;=30, "30-40 Days", M147&gt;=20, "20-30 Days", M147&gt;=10, "10-20 Days", M147&gt;=0, "0-10 Days")</f>
        <v>40-50 Days</v>
      </c>
    </row>
    <row r="148" spans="1:14">
      <c r="A148">
        <v>147</v>
      </c>
      <c r="B148" t="s">
        <v>29</v>
      </c>
      <c r="C148" s="5">
        <v>45095</v>
      </c>
      <c r="D148" s="8">
        <v>45095</v>
      </c>
      <c r="E148" s="8" t="str">
        <f>IF(B148="Inactive", EDATE(D148,K148), "")</f>
        <v/>
      </c>
      <c r="F148" t="s">
        <v>12</v>
      </c>
      <c r="G148">
        <v>22</v>
      </c>
      <c r="H148" t="str" cm="1">
        <f t="array" ref="H148">_xlfn.IFS(G148&gt;=20,"20-25", G148&gt;=15,"15-20", G148&gt;=10,"10-15", G148&gt;=5,"5-10", G148&gt;=1,"1-5", G148&lt;1,"Less than 1")</f>
        <v>20-25</v>
      </c>
      <c r="I148">
        <v>5</v>
      </c>
      <c r="J148">
        <v>4</v>
      </c>
      <c r="K148" s="6">
        <v>12</v>
      </c>
      <c r="L148" s="2">
        <v>1.99</v>
      </c>
      <c r="M148" s="6">
        <v>32</v>
      </c>
      <c r="N148" t="str" cm="1">
        <f t="array" ref="N148">_xlfn.IFS(M148&gt;=50,"50-60 Days", M148&gt;=40,"40-50 Days", M148&gt;=30, "30-40 Days", M148&gt;=20, "20-30 Days", M148&gt;=10, "10-20 Days", M148&gt;=0, "0-10 Days")</f>
        <v>30-40 Days</v>
      </c>
    </row>
    <row r="149" spans="1:14">
      <c r="A149">
        <v>148</v>
      </c>
      <c r="B149" t="s">
        <v>28</v>
      </c>
      <c r="C149" s="5">
        <v>45044</v>
      </c>
      <c r="D149" s="8">
        <v>45044</v>
      </c>
      <c r="E149" s="8">
        <f>IF(B149="Inactive", EDATE(D149,K149), "")</f>
        <v>45379</v>
      </c>
      <c r="F149" t="s">
        <v>14</v>
      </c>
      <c r="G149">
        <v>24.2</v>
      </c>
      <c r="H149" t="str" cm="1">
        <f t="array" ref="H149">_xlfn.IFS(G149&gt;=20,"20-25", G149&gt;=15,"15-20", G149&gt;=10,"10-15", G149&gt;=5,"5-10", G149&gt;=1,"1-5", G149&lt;1,"Less than 1")</f>
        <v>20-25</v>
      </c>
      <c r="I149">
        <v>4</v>
      </c>
      <c r="J149">
        <v>5</v>
      </c>
      <c r="K149" s="6">
        <v>11</v>
      </c>
      <c r="L149" s="2">
        <v>3.99</v>
      </c>
      <c r="M149" s="6">
        <v>55</v>
      </c>
      <c r="N149" t="str" cm="1">
        <f t="array" ref="N149">_xlfn.IFS(M149&gt;=50,"50-60 Days", M149&gt;=40,"40-50 Days", M149&gt;=30, "30-40 Days", M149&gt;=20, "20-30 Days", M149&gt;=10, "10-20 Days", M149&gt;=0, "0-10 Days")</f>
        <v>50-60 Days</v>
      </c>
    </row>
    <row r="150" spans="1:14">
      <c r="A150">
        <v>149</v>
      </c>
      <c r="B150" t="s">
        <v>28</v>
      </c>
      <c r="C150" s="5">
        <v>45333</v>
      </c>
      <c r="D150" s="8">
        <v>45333</v>
      </c>
      <c r="E150" s="8">
        <f>IF(B150="Inactive", EDATE(D150,K150), "")</f>
        <v>45393</v>
      </c>
      <c r="F150" t="s">
        <v>14</v>
      </c>
      <c r="G150">
        <v>3.9</v>
      </c>
      <c r="H150" t="str" cm="1">
        <f t="array" ref="H150">_xlfn.IFS(G150&gt;=20,"20-25", G150&gt;=15,"15-20", G150&gt;=10,"10-15", G150&gt;=5,"5-10", G150&gt;=1,"1-5", G150&lt;1,"Less than 1")</f>
        <v>1-5</v>
      </c>
      <c r="I150">
        <v>3</v>
      </c>
      <c r="J150">
        <v>5</v>
      </c>
      <c r="K150" s="6">
        <v>2</v>
      </c>
      <c r="L150" s="2">
        <v>3.99</v>
      </c>
      <c r="M150" s="6">
        <v>46</v>
      </c>
      <c r="N150" t="str" cm="1">
        <f t="array" ref="N150">_xlfn.IFS(M150&gt;=50,"50-60 Days", M150&gt;=40,"40-50 Days", M150&gt;=30, "30-40 Days", M150&gt;=20, "20-30 Days", M150&gt;=10, "10-20 Days", M150&gt;=0, "0-10 Days")</f>
        <v>40-50 Days</v>
      </c>
    </row>
    <row r="151" spans="1:14">
      <c r="A151">
        <v>150</v>
      </c>
      <c r="B151" t="s">
        <v>29</v>
      </c>
      <c r="C151" s="5">
        <v>45392</v>
      </c>
      <c r="D151" s="8">
        <v>45392</v>
      </c>
      <c r="E151" s="8" t="str">
        <f>IF(B151="Inactive", EDATE(D151,K151), "")</f>
        <v/>
      </c>
      <c r="F151" t="s">
        <v>10</v>
      </c>
      <c r="G151">
        <v>2.7</v>
      </c>
      <c r="H151" t="str" cm="1">
        <f t="array" ref="H151">_xlfn.IFS(G151&gt;=20,"20-25", G151&gt;=15,"15-20", G151&gt;=10,"10-15", G151&gt;=5,"5-10", G151&gt;=1,"1-5", G151&lt;1,"Less than 1")</f>
        <v>1-5</v>
      </c>
      <c r="I151">
        <v>6</v>
      </c>
      <c r="J151">
        <v>0</v>
      </c>
      <c r="K151" s="6">
        <v>8</v>
      </c>
      <c r="L151" s="2">
        <v>6.99</v>
      </c>
      <c r="M151" s="6">
        <v>16</v>
      </c>
      <c r="N151" t="str" cm="1">
        <f t="array" ref="N151">_xlfn.IFS(M151&gt;=50,"50-60 Days", M151&gt;=40,"40-50 Days", M151&gt;=30, "30-40 Days", M151&gt;=20, "20-30 Days", M151&gt;=10, "10-20 Days", M151&gt;=0, "0-10 Days")</f>
        <v>10-20 Days</v>
      </c>
    </row>
    <row r="152" spans="1:14">
      <c r="A152">
        <v>151</v>
      </c>
      <c r="B152" t="s">
        <v>28</v>
      </c>
      <c r="C152" s="5">
        <v>44952</v>
      </c>
      <c r="D152" s="8">
        <v>44952</v>
      </c>
      <c r="E152" s="8">
        <f>IF(B152="Inactive", EDATE(D152,K152), "")</f>
        <v>45133</v>
      </c>
      <c r="F152" t="s">
        <v>14</v>
      </c>
      <c r="G152">
        <v>14.8</v>
      </c>
      <c r="H152" t="str" cm="1">
        <f t="array" ref="H152">_xlfn.IFS(G152&gt;=20,"20-25", G152&gt;=15,"15-20", G152&gt;=10,"10-15", G152&gt;=5,"5-10", G152&gt;=1,"1-5", G152&lt;1,"Less than 1")</f>
        <v>10-15</v>
      </c>
      <c r="I152">
        <v>5</v>
      </c>
      <c r="J152">
        <v>0</v>
      </c>
      <c r="K152" s="6">
        <v>6</v>
      </c>
      <c r="L152" s="2">
        <v>3.99</v>
      </c>
      <c r="M152" s="6">
        <v>43</v>
      </c>
      <c r="N152" t="str" cm="1">
        <f t="array" ref="N152">_xlfn.IFS(M152&gt;=50,"50-60 Days", M152&gt;=40,"40-50 Days", M152&gt;=30, "30-40 Days", M152&gt;=20, "20-30 Days", M152&gt;=10, "10-20 Days", M152&gt;=0, "0-10 Days")</f>
        <v>40-50 Days</v>
      </c>
    </row>
    <row r="153" spans="1:14">
      <c r="A153">
        <v>152</v>
      </c>
      <c r="B153" t="s">
        <v>29</v>
      </c>
      <c r="C153" s="5">
        <v>45402</v>
      </c>
      <c r="D153" s="8">
        <v>45402</v>
      </c>
      <c r="E153" s="8" t="str">
        <f>IF(B153="Inactive", EDATE(D153,K153), "")</f>
        <v/>
      </c>
      <c r="F153" t="s">
        <v>10</v>
      </c>
      <c r="G153">
        <v>8.5</v>
      </c>
      <c r="H153" t="str" cm="1">
        <f t="array" ref="H153">_xlfn.IFS(G153&gt;=20,"20-25", G153&gt;=15,"15-20", G153&gt;=10,"10-15", G153&gt;=5,"5-10", G153&gt;=1,"1-5", G153&lt;1,"Less than 1")</f>
        <v>5-10</v>
      </c>
      <c r="I153">
        <v>3</v>
      </c>
      <c r="J153">
        <v>5</v>
      </c>
      <c r="K153" s="6">
        <v>12</v>
      </c>
      <c r="L153" s="2">
        <v>6.99</v>
      </c>
      <c r="M153" s="6">
        <v>4</v>
      </c>
      <c r="N153" t="str" cm="1">
        <f t="array" ref="N153">_xlfn.IFS(M153&gt;=50,"50-60 Days", M153&gt;=40,"40-50 Days", M153&gt;=30, "30-40 Days", M153&gt;=20, "20-30 Days", M153&gt;=10, "10-20 Days", M153&gt;=0, "0-10 Days")</f>
        <v>0-10 Days</v>
      </c>
    </row>
    <row r="154" spans="1:14">
      <c r="A154">
        <v>153</v>
      </c>
      <c r="B154" t="s">
        <v>29</v>
      </c>
      <c r="C154" s="5">
        <v>45238</v>
      </c>
      <c r="D154" s="8">
        <v>45238</v>
      </c>
      <c r="E154" s="8" t="str">
        <f>IF(B154="Inactive", EDATE(D154,K154), "")</f>
        <v/>
      </c>
      <c r="F154" t="s">
        <v>10</v>
      </c>
      <c r="G154">
        <v>16.399999999999999</v>
      </c>
      <c r="H154" t="str" cm="1">
        <f t="array" ref="H154">_xlfn.IFS(G154&gt;=20,"20-25", G154&gt;=15,"15-20", G154&gt;=10,"10-15", G154&gt;=5,"5-10", G154&gt;=1,"1-5", G154&lt;1,"Less than 1")</f>
        <v>15-20</v>
      </c>
      <c r="I154">
        <v>1</v>
      </c>
      <c r="J154">
        <v>1</v>
      </c>
      <c r="K154" s="6">
        <v>7</v>
      </c>
      <c r="L154" s="2">
        <v>6.99</v>
      </c>
      <c r="M154" s="6">
        <v>2</v>
      </c>
      <c r="N154" t="str" cm="1">
        <f t="array" ref="N154">_xlfn.IFS(M154&gt;=50,"50-60 Days", M154&gt;=40,"40-50 Days", M154&gt;=30, "30-40 Days", M154&gt;=20, "20-30 Days", M154&gt;=10, "10-20 Days", M154&gt;=0, "0-10 Days")</f>
        <v>0-10 Days</v>
      </c>
    </row>
    <row r="155" spans="1:14">
      <c r="A155">
        <v>154</v>
      </c>
      <c r="B155" t="s">
        <v>28</v>
      </c>
      <c r="C155" s="5">
        <v>45613</v>
      </c>
      <c r="D155" s="8">
        <v>45613</v>
      </c>
      <c r="E155" s="8">
        <f>IF(B155="Inactive", EDATE(D155,K155), "")</f>
        <v>45705</v>
      </c>
      <c r="F155" t="s">
        <v>14</v>
      </c>
      <c r="G155">
        <v>2.9</v>
      </c>
      <c r="H155" t="str" cm="1">
        <f t="array" ref="H155">_xlfn.IFS(G155&gt;=20,"20-25", G155&gt;=15,"15-20", G155&gt;=10,"10-15", G155&gt;=5,"5-10", G155&gt;=1,"1-5", G155&lt;1,"Less than 1")</f>
        <v>1-5</v>
      </c>
      <c r="I155">
        <v>8</v>
      </c>
      <c r="J155">
        <v>1</v>
      </c>
      <c r="K155" s="6">
        <v>3</v>
      </c>
      <c r="L155" s="2">
        <v>3.99</v>
      </c>
      <c r="M155" s="6">
        <v>24</v>
      </c>
      <c r="N155" t="str" cm="1">
        <f t="array" ref="N155">_xlfn.IFS(M155&gt;=50,"50-60 Days", M155&gt;=40,"40-50 Days", M155&gt;=30, "30-40 Days", M155&gt;=20, "20-30 Days", M155&gt;=10, "10-20 Days", M155&gt;=0, "0-10 Days")</f>
        <v>20-30 Days</v>
      </c>
    </row>
    <row r="156" spans="1:14">
      <c r="A156">
        <v>155</v>
      </c>
      <c r="B156" t="s">
        <v>28</v>
      </c>
      <c r="C156" s="5">
        <v>45428</v>
      </c>
      <c r="D156" s="8">
        <v>45428</v>
      </c>
      <c r="E156" s="8">
        <f>IF(B156="Inactive", EDATE(D156,K156), "")</f>
        <v>45793</v>
      </c>
      <c r="F156" t="s">
        <v>10</v>
      </c>
      <c r="G156">
        <v>10.8</v>
      </c>
      <c r="H156" t="str" cm="1">
        <f t="array" ref="H156">_xlfn.IFS(G156&gt;=20,"20-25", G156&gt;=15,"15-20", G156&gt;=10,"10-15", G156&gt;=5,"5-10", G156&gt;=1,"1-5", G156&lt;1,"Less than 1")</f>
        <v>10-15</v>
      </c>
      <c r="I156">
        <v>2</v>
      </c>
      <c r="J156">
        <v>3</v>
      </c>
      <c r="K156" s="6">
        <v>12</v>
      </c>
      <c r="L156" s="2">
        <v>6.99</v>
      </c>
      <c r="M156" s="6">
        <v>41</v>
      </c>
      <c r="N156" t="str" cm="1">
        <f t="array" ref="N156">_xlfn.IFS(M156&gt;=50,"50-60 Days", M156&gt;=40,"40-50 Days", M156&gt;=30, "30-40 Days", M156&gt;=20, "20-30 Days", M156&gt;=10, "10-20 Days", M156&gt;=0, "0-10 Days")</f>
        <v>40-50 Days</v>
      </c>
    </row>
    <row r="157" spans="1:14">
      <c r="A157">
        <v>156</v>
      </c>
      <c r="B157" t="s">
        <v>28</v>
      </c>
      <c r="C157" s="5">
        <v>45381</v>
      </c>
      <c r="D157" s="8">
        <v>45381</v>
      </c>
      <c r="E157" s="8">
        <f>IF(B157="Inactive", EDATE(D157,K157), "")</f>
        <v>45656</v>
      </c>
      <c r="F157" t="s">
        <v>10</v>
      </c>
      <c r="G157">
        <v>23.5</v>
      </c>
      <c r="H157" t="str" cm="1">
        <f t="array" ref="H157">_xlfn.IFS(G157&gt;=20,"20-25", G157&gt;=15,"15-20", G157&gt;=10,"10-15", G157&gt;=5,"5-10", G157&gt;=1,"1-5", G157&lt;1,"Less than 1")</f>
        <v>20-25</v>
      </c>
      <c r="I157">
        <v>4</v>
      </c>
      <c r="J157">
        <v>0</v>
      </c>
      <c r="K157" s="6">
        <v>9</v>
      </c>
      <c r="L157" s="2">
        <v>6.99</v>
      </c>
      <c r="M157" s="6">
        <v>44</v>
      </c>
      <c r="N157" t="str" cm="1">
        <f t="array" ref="N157">_xlfn.IFS(M157&gt;=50,"50-60 Days", M157&gt;=40,"40-50 Days", M157&gt;=30, "30-40 Days", M157&gt;=20, "20-30 Days", M157&gt;=10, "10-20 Days", M157&gt;=0, "0-10 Days")</f>
        <v>40-50 Days</v>
      </c>
    </row>
    <row r="158" spans="1:14">
      <c r="A158">
        <v>157</v>
      </c>
      <c r="B158" t="s">
        <v>28</v>
      </c>
      <c r="C158" s="5">
        <v>45587</v>
      </c>
      <c r="D158" s="8">
        <v>45587</v>
      </c>
      <c r="E158" s="8">
        <f>IF(B158="Inactive", EDATE(D158,K158), "")</f>
        <v>45769</v>
      </c>
      <c r="F158" t="s">
        <v>14</v>
      </c>
      <c r="G158">
        <v>21.5</v>
      </c>
      <c r="H158" t="str" cm="1">
        <f t="array" ref="H158">_xlfn.IFS(G158&gt;=20,"20-25", G158&gt;=15,"15-20", G158&gt;=10,"10-15", G158&gt;=5,"5-10", G158&gt;=1,"1-5", G158&lt;1,"Less than 1")</f>
        <v>20-25</v>
      </c>
      <c r="I158">
        <v>1</v>
      </c>
      <c r="J158">
        <v>5</v>
      </c>
      <c r="K158" s="6">
        <v>6</v>
      </c>
      <c r="L158" s="2">
        <v>3.99</v>
      </c>
      <c r="M158" s="6">
        <v>23</v>
      </c>
      <c r="N158" t="str" cm="1">
        <f t="array" ref="N158">_xlfn.IFS(M158&gt;=50,"50-60 Days", M158&gt;=40,"40-50 Days", M158&gt;=30, "30-40 Days", M158&gt;=20, "20-30 Days", M158&gt;=10, "10-20 Days", M158&gt;=0, "0-10 Days")</f>
        <v>20-30 Days</v>
      </c>
    </row>
    <row r="159" spans="1:14">
      <c r="A159">
        <v>158</v>
      </c>
      <c r="B159" t="s">
        <v>29</v>
      </c>
      <c r="C159" s="5">
        <v>45392</v>
      </c>
      <c r="D159" s="8">
        <v>45392</v>
      </c>
      <c r="E159" s="8" t="str">
        <f>IF(B159="Inactive", EDATE(D159,K159), "")</f>
        <v/>
      </c>
      <c r="F159" t="s">
        <v>14</v>
      </c>
      <c r="G159">
        <v>10.3</v>
      </c>
      <c r="H159" t="str" cm="1">
        <f t="array" ref="H159">_xlfn.IFS(G159&gt;=20,"20-25", G159&gt;=15,"15-20", G159&gt;=10,"10-15", G159&gt;=5,"5-10", G159&gt;=1,"1-5", G159&lt;1,"Less than 1")</f>
        <v>10-15</v>
      </c>
      <c r="I159">
        <v>3</v>
      </c>
      <c r="J159">
        <v>0</v>
      </c>
      <c r="K159" s="6">
        <v>2</v>
      </c>
      <c r="L159" s="2">
        <v>3.99</v>
      </c>
      <c r="M159" s="6">
        <v>60</v>
      </c>
      <c r="N159" t="str" cm="1">
        <f t="array" ref="N159">_xlfn.IFS(M159&gt;=50,"50-60 Days", M159&gt;=40,"40-50 Days", M159&gt;=30, "30-40 Days", M159&gt;=20, "20-30 Days", M159&gt;=10, "10-20 Days", M159&gt;=0, "0-10 Days")</f>
        <v>50-60 Days</v>
      </c>
    </row>
    <row r="160" spans="1:14">
      <c r="A160">
        <v>159</v>
      </c>
      <c r="B160" t="s">
        <v>28</v>
      </c>
      <c r="C160" s="5">
        <v>45055</v>
      </c>
      <c r="D160" s="8">
        <v>45055</v>
      </c>
      <c r="E160" s="8">
        <f>IF(B160="Inactive", EDATE(D160,K160), "")</f>
        <v>45208</v>
      </c>
      <c r="F160" t="s">
        <v>12</v>
      </c>
      <c r="G160">
        <v>16.2</v>
      </c>
      <c r="H160" t="str" cm="1">
        <f t="array" ref="H160">_xlfn.IFS(G160&gt;=20,"20-25", G160&gt;=15,"15-20", G160&gt;=10,"10-15", G160&gt;=5,"5-10", G160&gt;=1,"1-5", G160&lt;1,"Less than 1")</f>
        <v>15-20</v>
      </c>
      <c r="I160">
        <v>0</v>
      </c>
      <c r="J160">
        <v>0</v>
      </c>
      <c r="K160" s="6">
        <v>5</v>
      </c>
      <c r="L160" s="2">
        <v>1.99</v>
      </c>
      <c r="M160" s="6">
        <v>50</v>
      </c>
      <c r="N160" t="str" cm="1">
        <f t="array" ref="N160">_xlfn.IFS(M160&gt;=50,"50-60 Days", M160&gt;=40,"40-50 Days", M160&gt;=30, "30-40 Days", M160&gt;=20, "20-30 Days", M160&gt;=10, "10-20 Days", M160&gt;=0, "0-10 Days")</f>
        <v>50-60 Days</v>
      </c>
    </row>
    <row r="161" spans="1:14">
      <c r="A161">
        <v>160</v>
      </c>
      <c r="B161" t="s">
        <v>28</v>
      </c>
      <c r="C161" s="5">
        <v>45165</v>
      </c>
      <c r="D161" s="8">
        <v>45165</v>
      </c>
      <c r="E161" s="8">
        <f>IF(B161="Inactive", EDATE(D161,K161), "")</f>
        <v>45318</v>
      </c>
      <c r="F161" t="s">
        <v>10</v>
      </c>
      <c r="G161">
        <v>2.2000000000000002</v>
      </c>
      <c r="H161" t="str" cm="1">
        <f t="array" ref="H161">_xlfn.IFS(G161&gt;=20,"20-25", G161&gt;=15,"15-20", G161&gt;=10,"10-15", G161&gt;=5,"5-10", G161&gt;=1,"1-5", G161&lt;1,"Less than 1")</f>
        <v>1-5</v>
      </c>
      <c r="I161">
        <v>8</v>
      </c>
      <c r="J161">
        <v>1</v>
      </c>
      <c r="K161" s="6">
        <v>5</v>
      </c>
      <c r="L161" s="2">
        <v>6.99</v>
      </c>
      <c r="M161" s="6">
        <v>37</v>
      </c>
      <c r="N161" t="str" cm="1">
        <f t="array" ref="N161">_xlfn.IFS(M161&gt;=50,"50-60 Days", M161&gt;=40,"40-50 Days", M161&gt;=30, "30-40 Days", M161&gt;=20, "20-30 Days", M161&gt;=10, "10-20 Days", M161&gt;=0, "0-10 Days")</f>
        <v>30-40 Days</v>
      </c>
    </row>
    <row r="162" spans="1:14">
      <c r="A162">
        <v>161</v>
      </c>
      <c r="B162" t="s">
        <v>29</v>
      </c>
      <c r="C162" s="5">
        <v>45060</v>
      </c>
      <c r="D162" s="8">
        <v>45060</v>
      </c>
      <c r="E162" s="8" t="str">
        <f>IF(B162="Inactive", EDATE(D162,K162), "")</f>
        <v/>
      </c>
      <c r="F162" t="s">
        <v>14</v>
      </c>
      <c r="G162">
        <v>19.8</v>
      </c>
      <c r="H162" t="str" cm="1">
        <f t="array" ref="H162">_xlfn.IFS(G162&gt;=20,"20-25", G162&gt;=15,"15-20", G162&gt;=10,"10-15", G162&gt;=5,"5-10", G162&gt;=1,"1-5", G162&lt;1,"Less than 1")</f>
        <v>15-20</v>
      </c>
      <c r="I162">
        <v>0</v>
      </c>
      <c r="J162">
        <v>2</v>
      </c>
      <c r="K162" s="6">
        <v>4</v>
      </c>
      <c r="L162" s="2">
        <v>3.99</v>
      </c>
      <c r="M162" s="6">
        <v>54</v>
      </c>
      <c r="N162" t="str" cm="1">
        <f t="array" ref="N162">_xlfn.IFS(M162&gt;=50,"50-60 Days", M162&gt;=40,"40-50 Days", M162&gt;=30, "30-40 Days", M162&gt;=20, "20-30 Days", M162&gt;=10, "10-20 Days", M162&gt;=0, "0-10 Days")</f>
        <v>50-60 Days</v>
      </c>
    </row>
    <row r="163" spans="1:14">
      <c r="A163">
        <v>162</v>
      </c>
      <c r="B163" t="s">
        <v>28</v>
      </c>
      <c r="C163" s="5">
        <v>44942</v>
      </c>
      <c r="D163" s="8">
        <v>44942</v>
      </c>
      <c r="E163" s="8">
        <f>IF(B163="Inactive", EDATE(D163,K163), "")</f>
        <v>45123</v>
      </c>
      <c r="F163" t="s">
        <v>10</v>
      </c>
      <c r="G163">
        <v>20.100000000000001</v>
      </c>
      <c r="H163" t="str" cm="1">
        <f t="array" ref="H163">_xlfn.IFS(G163&gt;=20,"20-25", G163&gt;=15,"15-20", G163&gt;=10,"10-15", G163&gt;=5,"5-10", G163&gt;=1,"1-5", G163&lt;1,"Less than 1")</f>
        <v>20-25</v>
      </c>
      <c r="I163">
        <v>1</v>
      </c>
      <c r="J163">
        <v>5</v>
      </c>
      <c r="K163" s="6">
        <v>6</v>
      </c>
      <c r="L163" s="2">
        <v>6.99</v>
      </c>
      <c r="M163" s="6">
        <v>55</v>
      </c>
      <c r="N163" t="str" cm="1">
        <f t="array" ref="N163">_xlfn.IFS(M163&gt;=50,"50-60 Days", M163&gt;=40,"40-50 Days", M163&gt;=30, "30-40 Days", M163&gt;=20, "20-30 Days", M163&gt;=10, "10-20 Days", M163&gt;=0, "0-10 Days")</f>
        <v>50-60 Days</v>
      </c>
    </row>
    <row r="164" spans="1:14">
      <c r="A164">
        <v>163</v>
      </c>
      <c r="B164" t="s">
        <v>28</v>
      </c>
      <c r="C164" s="5">
        <v>45358</v>
      </c>
      <c r="D164" s="8">
        <v>45358</v>
      </c>
      <c r="E164" s="8">
        <f>IF(B164="Inactive", EDATE(D164,K164), "")</f>
        <v>45542</v>
      </c>
      <c r="F164" t="s">
        <v>14</v>
      </c>
      <c r="G164">
        <v>14.9</v>
      </c>
      <c r="H164" t="str" cm="1">
        <f t="array" ref="H164">_xlfn.IFS(G164&gt;=20,"20-25", G164&gt;=15,"15-20", G164&gt;=10,"10-15", G164&gt;=5,"5-10", G164&gt;=1,"1-5", G164&lt;1,"Less than 1")</f>
        <v>10-15</v>
      </c>
      <c r="I164">
        <v>0</v>
      </c>
      <c r="J164">
        <v>1</v>
      </c>
      <c r="K164" s="6">
        <v>6</v>
      </c>
      <c r="L164" s="2">
        <v>3.99</v>
      </c>
      <c r="M164" s="6">
        <v>16</v>
      </c>
      <c r="N164" t="str" cm="1">
        <f t="array" ref="N164">_xlfn.IFS(M164&gt;=50,"50-60 Days", M164&gt;=40,"40-50 Days", M164&gt;=30, "30-40 Days", M164&gt;=20, "20-30 Days", M164&gt;=10, "10-20 Days", M164&gt;=0, "0-10 Days")</f>
        <v>10-20 Days</v>
      </c>
    </row>
    <row r="165" spans="1:14">
      <c r="A165">
        <v>164</v>
      </c>
      <c r="B165" t="s">
        <v>28</v>
      </c>
      <c r="C165" s="5">
        <v>45534</v>
      </c>
      <c r="D165" s="8">
        <v>45534</v>
      </c>
      <c r="E165" s="8">
        <f>IF(B165="Inactive", EDATE(D165,K165), "")</f>
        <v>45626</v>
      </c>
      <c r="F165" t="s">
        <v>10</v>
      </c>
      <c r="G165">
        <v>18.8</v>
      </c>
      <c r="H165" t="str" cm="1">
        <f t="array" ref="H165">_xlfn.IFS(G165&gt;=20,"20-25", G165&gt;=15,"15-20", G165&gt;=10,"10-15", G165&gt;=5,"5-10", G165&gt;=1,"1-5", G165&lt;1,"Less than 1")</f>
        <v>15-20</v>
      </c>
      <c r="I165">
        <v>7</v>
      </c>
      <c r="J165">
        <v>3</v>
      </c>
      <c r="K165" s="6">
        <v>3</v>
      </c>
      <c r="L165" s="2">
        <v>6.99</v>
      </c>
      <c r="M165" s="6">
        <v>49</v>
      </c>
      <c r="N165" t="str" cm="1">
        <f t="array" ref="N165">_xlfn.IFS(M165&gt;=50,"50-60 Days", M165&gt;=40,"40-50 Days", M165&gt;=30, "30-40 Days", M165&gt;=20, "20-30 Days", M165&gt;=10, "10-20 Days", M165&gt;=0, "0-10 Days")</f>
        <v>40-50 Days</v>
      </c>
    </row>
    <row r="166" spans="1:14">
      <c r="A166">
        <v>165</v>
      </c>
      <c r="B166" t="s">
        <v>29</v>
      </c>
      <c r="C166" s="5">
        <v>45601</v>
      </c>
      <c r="D166" s="8">
        <v>45601</v>
      </c>
      <c r="E166" s="8" t="str">
        <f>IF(B166="Inactive", EDATE(D166,K166), "")</f>
        <v/>
      </c>
      <c r="F166" t="s">
        <v>12</v>
      </c>
      <c r="G166">
        <v>12.8</v>
      </c>
      <c r="H166" t="str" cm="1">
        <f t="array" ref="H166">_xlfn.IFS(G166&gt;=20,"20-25", G166&gt;=15,"15-20", G166&gt;=10,"10-15", G166&gt;=5,"5-10", G166&gt;=1,"1-5", G166&lt;1,"Less than 1")</f>
        <v>10-15</v>
      </c>
      <c r="I166">
        <v>0</v>
      </c>
      <c r="J166">
        <v>5</v>
      </c>
      <c r="K166" s="6">
        <v>10</v>
      </c>
      <c r="L166" s="2">
        <v>1.99</v>
      </c>
      <c r="M166" s="6">
        <v>50</v>
      </c>
      <c r="N166" t="str" cm="1">
        <f t="array" ref="N166">_xlfn.IFS(M166&gt;=50,"50-60 Days", M166&gt;=40,"40-50 Days", M166&gt;=30, "30-40 Days", M166&gt;=20, "20-30 Days", M166&gt;=10, "10-20 Days", M166&gt;=0, "0-10 Days")</f>
        <v>50-60 Days</v>
      </c>
    </row>
    <row r="167" spans="1:14">
      <c r="A167">
        <v>166</v>
      </c>
      <c r="B167" t="s">
        <v>29</v>
      </c>
      <c r="C167" s="5">
        <v>45363</v>
      </c>
      <c r="D167" s="8">
        <v>45363</v>
      </c>
      <c r="E167" s="8" t="str">
        <f>IF(B167="Inactive", EDATE(D167,K167), "")</f>
        <v/>
      </c>
      <c r="F167" t="s">
        <v>10</v>
      </c>
      <c r="G167">
        <v>11.7</v>
      </c>
      <c r="H167" t="str" cm="1">
        <f t="array" ref="H167">_xlfn.IFS(G167&gt;=20,"20-25", G167&gt;=15,"15-20", G167&gt;=10,"10-15", G167&gt;=5,"5-10", G167&gt;=1,"1-5", G167&lt;1,"Less than 1")</f>
        <v>10-15</v>
      </c>
      <c r="I167">
        <v>0</v>
      </c>
      <c r="J167">
        <v>0</v>
      </c>
      <c r="K167" s="6">
        <v>7</v>
      </c>
      <c r="L167" s="2">
        <v>6.99</v>
      </c>
      <c r="M167" s="6">
        <v>30</v>
      </c>
      <c r="N167" t="str" cm="1">
        <f t="array" ref="N167">_xlfn.IFS(M167&gt;=50,"50-60 Days", M167&gt;=40,"40-50 Days", M167&gt;=30, "30-40 Days", M167&gt;=20, "20-30 Days", M167&gt;=10, "10-20 Days", M167&gt;=0, "0-10 Days")</f>
        <v>30-40 Days</v>
      </c>
    </row>
    <row r="168" spans="1:14">
      <c r="A168">
        <v>167</v>
      </c>
      <c r="B168" t="s">
        <v>28</v>
      </c>
      <c r="C168" s="5">
        <v>45549</v>
      </c>
      <c r="D168" s="8">
        <v>45549</v>
      </c>
      <c r="E168" s="8">
        <f>IF(B168="Inactive", EDATE(D168,K168), "")</f>
        <v>45640</v>
      </c>
      <c r="F168" t="s">
        <v>10</v>
      </c>
      <c r="G168">
        <v>12.5</v>
      </c>
      <c r="H168" t="str" cm="1">
        <f t="array" ref="H168">_xlfn.IFS(G168&gt;=20,"20-25", G168&gt;=15,"15-20", G168&gt;=10,"10-15", G168&gt;=5,"5-10", G168&gt;=1,"1-5", G168&lt;1,"Less than 1")</f>
        <v>10-15</v>
      </c>
      <c r="I168">
        <v>7</v>
      </c>
      <c r="J168">
        <v>0</v>
      </c>
      <c r="K168" s="6">
        <v>3</v>
      </c>
      <c r="L168" s="2">
        <v>6.99</v>
      </c>
      <c r="M168" s="6">
        <v>57</v>
      </c>
      <c r="N168" t="str" cm="1">
        <f t="array" ref="N168">_xlfn.IFS(M168&gt;=50,"50-60 Days", M168&gt;=40,"40-50 Days", M168&gt;=30, "30-40 Days", M168&gt;=20, "20-30 Days", M168&gt;=10, "10-20 Days", M168&gt;=0, "0-10 Days")</f>
        <v>50-60 Days</v>
      </c>
    </row>
    <row r="169" spans="1:14">
      <c r="A169">
        <v>168</v>
      </c>
      <c r="B169" t="s">
        <v>28</v>
      </c>
      <c r="C169" s="5">
        <v>45538</v>
      </c>
      <c r="D169" s="8">
        <v>45538</v>
      </c>
      <c r="E169" s="8">
        <f>IF(B169="Inactive", EDATE(D169,K169), "")</f>
        <v>45599</v>
      </c>
      <c r="F169" t="s">
        <v>12</v>
      </c>
      <c r="G169">
        <v>3.6</v>
      </c>
      <c r="H169" t="str" cm="1">
        <f t="array" ref="H169">_xlfn.IFS(G169&gt;=20,"20-25", G169&gt;=15,"15-20", G169&gt;=10,"10-15", G169&gt;=5,"5-10", G169&gt;=1,"1-5", G169&lt;1,"Less than 1")</f>
        <v>1-5</v>
      </c>
      <c r="I169">
        <v>8</v>
      </c>
      <c r="J169">
        <v>5</v>
      </c>
      <c r="K169" s="6">
        <v>2</v>
      </c>
      <c r="L169" s="2">
        <v>1.99</v>
      </c>
      <c r="M169" s="6">
        <v>20</v>
      </c>
      <c r="N169" t="str" cm="1">
        <f t="array" ref="N169">_xlfn.IFS(M169&gt;=50,"50-60 Days", M169&gt;=40,"40-50 Days", M169&gt;=30, "30-40 Days", M169&gt;=20, "20-30 Days", M169&gt;=10, "10-20 Days", M169&gt;=0, "0-10 Days")</f>
        <v>20-30 Days</v>
      </c>
    </row>
    <row r="170" spans="1:14">
      <c r="A170">
        <v>169</v>
      </c>
      <c r="B170" t="s">
        <v>29</v>
      </c>
      <c r="C170" s="5">
        <v>45597</v>
      </c>
      <c r="D170" s="8">
        <v>45597</v>
      </c>
      <c r="E170" s="8" t="str">
        <f>IF(B170="Inactive", EDATE(D170,K170), "")</f>
        <v/>
      </c>
      <c r="F170" t="s">
        <v>10</v>
      </c>
      <c r="G170">
        <v>11.6</v>
      </c>
      <c r="H170" t="str" cm="1">
        <f t="array" ref="H170">_xlfn.IFS(G170&gt;=20,"20-25", G170&gt;=15,"15-20", G170&gt;=10,"10-15", G170&gt;=5,"5-10", G170&gt;=1,"1-5", G170&lt;1,"Less than 1")</f>
        <v>10-15</v>
      </c>
      <c r="I170">
        <v>6</v>
      </c>
      <c r="J170">
        <v>0</v>
      </c>
      <c r="K170" s="6">
        <v>7</v>
      </c>
      <c r="L170" s="2">
        <v>6.99</v>
      </c>
      <c r="M170" s="6">
        <v>50</v>
      </c>
      <c r="N170" t="str" cm="1">
        <f t="array" ref="N170">_xlfn.IFS(M170&gt;=50,"50-60 Days", M170&gt;=40,"40-50 Days", M170&gt;=30, "30-40 Days", M170&gt;=20, "20-30 Days", M170&gt;=10, "10-20 Days", M170&gt;=0, "0-10 Days")</f>
        <v>50-60 Days</v>
      </c>
    </row>
    <row r="171" spans="1:14">
      <c r="A171">
        <v>170</v>
      </c>
      <c r="B171" t="s">
        <v>29</v>
      </c>
      <c r="C171" s="5">
        <v>45350</v>
      </c>
      <c r="D171" s="8">
        <v>45350</v>
      </c>
      <c r="E171" s="8" t="str">
        <f>IF(B171="Inactive", EDATE(D171,K171), "")</f>
        <v/>
      </c>
      <c r="F171" t="s">
        <v>10</v>
      </c>
      <c r="G171">
        <v>18.2</v>
      </c>
      <c r="H171" t="str" cm="1">
        <f t="array" ref="H171">_xlfn.IFS(G171&gt;=20,"20-25", G171&gt;=15,"15-20", G171&gt;=10,"10-15", G171&gt;=5,"5-10", G171&gt;=1,"1-5", G171&lt;1,"Less than 1")</f>
        <v>15-20</v>
      </c>
      <c r="I171">
        <v>3</v>
      </c>
      <c r="J171">
        <v>3</v>
      </c>
      <c r="K171" s="6">
        <v>12</v>
      </c>
      <c r="L171" s="2">
        <v>6.99</v>
      </c>
      <c r="M171" s="6">
        <v>28</v>
      </c>
      <c r="N171" t="str" cm="1">
        <f t="array" ref="N171">_xlfn.IFS(M171&gt;=50,"50-60 Days", M171&gt;=40,"40-50 Days", M171&gt;=30, "30-40 Days", M171&gt;=20, "20-30 Days", M171&gt;=10, "10-20 Days", M171&gt;=0, "0-10 Days")</f>
        <v>20-30 Days</v>
      </c>
    </row>
    <row r="172" spans="1:14">
      <c r="A172">
        <v>171</v>
      </c>
      <c r="B172" t="s">
        <v>28</v>
      </c>
      <c r="C172" s="5">
        <v>45188</v>
      </c>
      <c r="D172" s="8">
        <v>45188</v>
      </c>
      <c r="E172" s="8">
        <f>IF(B172="Inactive", EDATE(D172,K172), "")</f>
        <v>45492</v>
      </c>
      <c r="F172" t="s">
        <v>14</v>
      </c>
      <c r="G172">
        <v>10.3</v>
      </c>
      <c r="H172" t="str" cm="1">
        <f t="array" ref="H172">_xlfn.IFS(G172&gt;=20,"20-25", G172&gt;=15,"15-20", G172&gt;=10,"10-15", G172&gt;=5,"5-10", G172&gt;=1,"1-5", G172&lt;1,"Less than 1")</f>
        <v>10-15</v>
      </c>
      <c r="I172">
        <v>1</v>
      </c>
      <c r="J172">
        <v>2</v>
      </c>
      <c r="K172" s="6">
        <v>10</v>
      </c>
      <c r="L172" s="2">
        <v>3.99</v>
      </c>
      <c r="M172" s="6">
        <v>27</v>
      </c>
      <c r="N172" t="str" cm="1">
        <f t="array" ref="N172">_xlfn.IFS(M172&gt;=50,"50-60 Days", M172&gt;=40,"40-50 Days", M172&gt;=30, "30-40 Days", M172&gt;=20, "20-30 Days", M172&gt;=10, "10-20 Days", M172&gt;=0, "0-10 Days")</f>
        <v>20-30 Days</v>
      </c>
    </row>
    <row r="173" spans="1:14">
      <c r="A173">
        <v>172</v>
      </c>
      <c r="B173" t="s">
        <v>29</v>
      </c>
      <c r="C173" s="5">
        <v>45022</v>
      </c>
      <c r="D173" s="8">
        <v>45022</v>
      </c>
      <c r="E173" s="8" t="str">
        <f>IF(B173="Inactive", EDATE(D173,K173), "")</f>
        <v/>
      </c>
      <c r="F173" t="s">
        <v>14</v>
      </c>
      <c r="G173">
        <v>17.3</v>
      </c>
      <c r="H173" t="str" cm="1">
        <f t="array" ref="H173">_xlfn.IFS(G173&gt;=20,"20-25", G173&gt;=15,"15-20", G173&gt;=10,"10-15", G173&gt;=5,"5-10", G173&gt;=1,"1-5", G173&lt;1,"Less than 1")</f>
        <v>15-20</v>
      </c>
      <c r="I173">
        <v>7</v>
      </c>
      <c r="J173">
        <v>0</v>
      </c>
      <c r="K173" s="6">
        <v>4</v>
      </c>
      <c r="L173" s="2">
        <v>3.99</v>
      </c>
      <c r="M173" s="6">
        <v>5</v>
      </c>
      <c r="N173" t="str" cm="1">
        <f t="array" ref="N173">_xlfn.IFS(M173&gt;=50,"50-60 Days", M173&gt;=40,"40-50 Days", M173&gt;=30, "30-40 Days", M173&gt;=20, "20-30 Days", M173&gt;=10, "10-20 Days", M173&gt;=0, "0-10 Days")</f>
        <v>0-10 Days</v>
      </c>
    </row>
    <row r="174" spans="1:14">
      <c r="A174">
        <v>173</v>
      </c>
      <c r="B174" t="s">
        <v>28</v>
      </c>
      <c r="C174" s="5">
        <v>45502</v>
      </c>
      <c r="D174" s="8">
        <v>45502</v>
      </c>
      <c r="E174" s="8">
        <f>IF(B174="Inactive", EDATE(D174,K174), "")</f>
        <v>45594</v>
      </c>
      <c r="F174" t="s">
        <v>14</v>
      </c>
      <c r="G174">
        <v>18.7</v>
      </c>
      <c r="H174" t="str" cm="1">
        <f t="array" ref="H174">_xlfn.IFS(G174&gt;=20,"20-25", G174&gt;=15,"15-20", G174&gt;=10,"10-15", G174&gt;=5,"5-10", G174&gt;=1,"1-5", G174&lt;1,"Less than 1")</f>
        <v>15-20</v>
      </c>
      <c r="I174">
        <v>5</v>
      </c>
      <c r="J174">
        <v>1</v>
      </c>
      <c r="K174" s="6">
        <v>3</v>
      </c>
      <c r="L174" s="2">
        <v>3.99</v>
      </c>
      <c r="M174" s="6">
        <v>35</v>
      </c>
      <c r="N174" t="str" cm="1">
        <f t="array" ref="N174">_xlfn.IFS(M174&gt;=50,"50-60 Days", M174&gt;=40,"40-50 Days", M174&gt;=30, "30-40 Days", M174&gt;=20, "20-30 Days", M174&gt;=10, "10-20 Days", M174&gt;=0, "0-10 Days")</f>
        <v>30-40 Days</v>
      </c>
    </row>
    <row r="175" spans="1:14">
      <c r="A175">
        <v>174</v>
      </c>
      <c r="B175" t="s">
        <v>28</v>
      </c>
      <c r="C175" s="5">
        <v>45360</v>
      </c>
      <c r="D175" s="8">
        <v>45360</v>
      </c>
      <c r="E175" s="8">
        <f>IF(B175="Inactive", EDATE(D175,K175), "")</f>
        <v>45605</v>
      </c>
      <c r="F175" t="s">
        <v>10</v>
      </c>
      <c r="G175">
        <v>16.899999999999999</v>
      </c>
      <c r="H175" t="str" cm="1">
        <f t="array" ref="H175">_xlfn.IFS(G175&gt;=20,"20-25", G175&gt;=15,"15-20", G175&gt;=10,"10-15", G175&gt;=5,"5-10", G175&gt;=1,"1-5", G175&lt;1,"Less than 1")</f>
        <v>15-20</v>
      </c>
      <c r="I175">
        <v>6</v>
      </c>
      <c r="J175">
        <v>2</v>
      </c>
      <c r="K175" s="6">
        <v>8</v>
      </c>
      <c r="L175" s="2">
        <v>6.99</v>
      </c>
      <c r="M175" s="6">
        <v>55</v>
      </c>
      <c r="N175" t="str" cm="1">
        <f t="array" ref="N175">_xlfn.IFS(M175&gt;=50,"50-60 Days", M175&gt;=40,"40-50 Days", M175&gt;=30, "30-40 Days", M175&gt;=20, "20-30 Days", M175&gt;=10, "10-20 Days", M175&gt;=0, "0-10 Days")</f>
        <v>50-60 Days</v>
      </c>
    </row>
    <row r="176" spans="1:14">
      <c r="A176">
        <v>175</v>
      </c>
      <c r="B176" t="s">
        <v>29</v>
      </c>
      <c r="C176" s="5">
        <v>45144</v>
      </c>
      <c r="D176" s="8">
        <v>45144</v>
      </c>
      <c r="E176" s="8" t="str">
        <f>IF(B176="Inactive", EDATE(D176,K176), "")</f>
        <v/>
      </c>
      <c r="F176" t="s">
        <v>10</v>
      </c>
      <c r="G176">
        <v>24.2</v>
      </c>
      <c r="H176" t="str" cm="1">
        <f t="array" ref="H176">_xlfn.IFS(G176&gt;=20,"20-25", G176&gt;=15,"15-20", G176&gt;=10,"10-15", G176&gt;=5,"5-10", G176&gt;=1,"1-5", G176&lt;1,"Less than 1")</f>
        <v>20-25</v>
      </c>
      <c r="I176">
        <v>4</v>
      </c>
      <c r="J176">
        <v>2</v>
      </c>
      <c r="K176" s="6">
        <v>2</v>
      </c>
      <c r="L176" s="2">
        <v>6.99</v>
      </c>
      <c r="M176" s="6">
        <v>6</v>
      </c>
      <c r="N176" t="str" cm="1">
        <f t="array" ref="N176">_xlfn.IFS(M176&gt;=50,"50-60 Days", M176&gt;=40,"40-50 Days", M176&gt;=30, "30-40 Days", M176&gt;=20, "20-30 Days", M176&gt;=10, "10-20 Days", M176&gt;=0, "0-10 Days")</f>
        <v>0-10 Days</v>
      </c>
    </row>
    <row r="177" spans="1:14">
      <c r="A177">
        <v>176</v>
      </c>
      <c r="B177" t="s">
        <v>28</v>
      </c>
      <c r="C177" s="5">
        <v>45044</v>
      </c>
      <c r="D177" s="8">
        <v>45044</v>
      </c>
      <c r="E177" s="8">
        <f>IF(B177="Inactive", EDATE(D177,K177), "")</f>
        <v>45379</v>
      </c>
      <c r="F177" t="s">
        <v>12</v>
      </c>
      <c r="G177">
        <v>6</v>
      </c>
      <c r="H177" t="str" cm="1">
        <f t="array" ref="H177">_xlfn.IFS(G177&gt;=20,"20-25", G177&gt;=15,"15-20", G177&gt;=10,"10-15", G177&gt;=5,"5-10", G177&gt;=1,"1-5", G177&lt;1,"Less than 1")</f>
        <v>5-10</v>
      </c>
      <c r="I177">
        <v>1</v>
      </c>
      <c r="J177">
        <v>2</v>
      </c>
      <c r="K177" s="6">
        <v>11</v>
      </c>
      <c r="L177" s="2">
        <v>1.99</v>
      </c>
      <c r="M177" s="6">
        <v>54</v>
      </c>
      <c r="N177" t="str" cm="1">
        <f t="array" ref="N177">_xlfn.IFS(M177&gt;=50,"50-60 Days", M177&gt;=40,"40-50 Days", M177&gt;=30, "30-40 Days", M177&gt;=20, "20-30 Days", M177&gt;=10, "10-20 Days", M177&gt;=0, "0-10 Days")</f>
        <v>50-60 Days</v>
      </c>
    </row>
    <row r="178" spans="1:14">
      <c r="A178">
        <v>177</v>
      </c>
      <c r="B178" t="s">
        <v>28</v>
      </c>
      <c r="C178" s="5">
        <v>45497</v>
      </c>
      <c r="D178" s="8">
        <v>45497</v>
      </c>
      <c r="E178" s="8">
        <f>IF(B178="Inactive", EDATE(D178,K178), "")</f>
        <v>45650</v>
      </c>
      <c r="F178" t="s">
        <v>14</v>
      </c>
      <c r="G178">
        <v>20.3</v>
      </c>
      <c r="H178" t="str" cm="1">
        <f t="array" ref="H178">_xlfn.IFS(G178&gt;=20,"20-25", G178&gt;=15,"15-20", G178&gt;=10,"10-15", G178&gt;=5,"5-10", G178&gt;=1,"1-5", G178&lt;1,"Less than 1")</f>
        <v>20-25</v>
      </c>
      <c r="I178">
        <v>8</v>
      </c>
      <c r="J178">
        <v>4</v>
      </c>
      <c r="K178" s="6">
        <v>5</v>
      </c>
      <c r="L178" s="2">
        <v>3.99</v>
      </c>
      <c r="M178" s="6">
        <v>39</v>
      </c>
      <c r="N178" t="str" cm="1">
        <f t="array" ref="N178">_xlfn.IFS(M178&gt;=50,"50-60 Days", M178&gt;=40,"40-50 Days", M178&gt;=30, "30-40 Days", M178&gt;=20, "20-30 Days", M178&gt;=10, "10-20 Days", M178&gt;=0, "0-10 Days")</f>
        <v>30-40 Days</v>
      </c>
    </row>
    <row r="179" spans="1:14">
      <c r="A179">
        <v>178</v>
      </c>
      <c r="B179" t="s">
        <v>28</v>
      </c>
      <c r="C179" s="5">
        <v>45274</v>
      </c>
      <c r="D179" s="8">
        <v>45274</v>
      </c>
      <c r="E179" s="8">
        <f>IF(B179="Inactive", EDATE(D179,K179), "")</f>
        <v>45457</v>
      </c>
      <c r="F179" t="s">
        <v>12</v>
      </c>
      <c r="G179">
        <v>1.2</v>
      </c>
      <c r="H179" t="str" cm="1">
        <f t="array" ref="H179">_xlfn.IFS(G179&gt;=20,"20-25", G179&gt;=15,"15-20", G179&gt;=10,"10-15", G179&gt;=5,"5-10", G179&gt;=1,"1-5", G179&lt;1,"Less than 1")</f>
        <v>1-5</v>
      </c>
      <c r="I179">
        <v>4</v>
      </c>
      <c r="J179">
        <v>5</v>
      </c>
      <c r="K179" s="6">
        <v>6</v>
      </c>
      <c r="L179" s="2">
        <v>1.99</v>
      </c>
      <c r="M179" s="6">
        <v>48</v>
      </c>
      <c r="N179" t="str" cm="1">
        <f t="array" ref="N179">_xlfn.IFS(M179&gt;=50,"50-60 Days", M179&gt;=40,"40-50 Days", M179&gt;=30, "30-40 Days", M179&gt;=20, "20-30 Days", M179&gt;=10, "10-20 Days", M179&gt;=0, "0-10 Days")</f>
        <v>40-50 Days</v>
      </c>
    </row>
    <row r="180" spans="1:14">
      <c r="A180">
        <v>179</v>
      </c>
      <c r="B180" t="s">
        <v>28</v>
      </c>
      <c r="C180" s="5">
        <v>45072</v>
      </c>
      <c r="D180" s="8">
        <v>45072</v>
      </c>
      <c r="E180" s="8">
        <f>IF(B180="Inactive", EDATE(D180,K180), "")</f>
        <v>45103</v>
      </c>
      <c r="F180" t="s">
        <v>14</v>
      </c>
      <c r="G180">
        <v>4.9000000000000004</v>
      </c>
      <c r="H180" t="str" cm="1">
        <f t="array" ref="H180">_xlfn.IFS(G180&gt;=20,"20-25", G180&gt;=15,"15-20", G180&gt;=10,"10-15", G180&gt;=5,"5-10", G180&gt;=1,"1-5", G180&lt;1,"Less than 1")</f>
        <v>1-5</v>
      </c>
      <c r="I180">
        <v>2</v>
      </c>
      <c r="J180">
        <v>4</v>
      </c>
      <c r="K180" s="6">
        <v>1</v>
      </c>
      <c r="L180" s="2">
        <v>3.99</v>
      </c>
      <c r="M180" s="6">
        <v>42</v>
      </c>
      <c r="N180" t="str" cm="1">
        <f t="array" ref="N180">_xlfn.IFS(M180&gt;=50,"50-60 Days", M180&gt;=40,"40-50 Days", M180&gt;=30, "30-40 Days", M180&gt;=20, "20-30 Days", M180&gt;=10, "10-20 Days", M180&gt;=0, "0-10 Days")</f>
        <v>40-50 Days</v>
      </c>
    </row>
    <row r="181" spans="1:14">
      <c r="A181">
        <v>180</v>
      </c>
      <c r="B181" t="s">
        <v>28</v>
      </c>
      <c r="C181" s="5">
        <v>45276</v>
      </c>
      <c r="D181" s="8">
        <v>45276</v>
      </c>
      <c r="E181" s="8">
        <f>IF(B181="Inactive", EDATE(D181,K181), "")</f>
        <v>45307</v>
      </c>
      <c r="F181" t="s">
        <v>10</v>
      </c>
      <c r="G181">
        <v>2.7</v>
      </c>
      <c r="H181" t="str" cm="1">
        <f t="array" ref="H181">_xlfn.IFS(G181&gt;=20,"20-25", G181&gt;=15,"15-20", G181&gt;=10,"10-15", G181&gt;=5,"5-10", G181&gt;=1,"1-5", G181&lt;1,"Less than 1")</f>
        <v>1-5</v>
      </c>
      <c r="I181">
        <v>8</v>
      </c>
      <c r="J181">
        <v>1</v>
      </c>
      <c r="K181" s="6">
        <v>1</v>
      </c>
      <c r="L181" s="2">
        <v>6.99</v>
      </c>
      <c r="M181" s="6">
        <v>24</v>
      </c>
      <c r="N181" t="str" cm="1">
        <f t="array" ref="N181">_xlfn.IFS(M181&gt;=50,"50-60 Days", M181&gt;=40,"40-50 Days", M181&gt;=30, "30-40 Days", M181&gt;=20, "20-30 Days", M181&gt;=10, "10-20 Days", M181&gt;=0, "0-10 Days")</f>
        <v>20-30 Days</v>
      </c>
    </row>
    <row r="182" spans="1:14">
      <c r="A182">
        <v>181</v>
      </c>
      <c r="B182" t="s">
        <v>28</v>
      </c>
      <c r="C182" s="5">
        <v>44980</v>
      </c>
      <c r="D182" s="8">
        <v>44980</v>
      </c>
      <c r="E182" s="8">
        <f>IF(B182="Inactive", EDATE(D182,K182), "")</f>
        <v>45222</v>
      </c>
      <c r="F182" t="s">
        <v>12</v>
      </c>
      <c r="G182">
        <v>8.1</v>
      </c>
      <c r="H182" t="str" cm="1">
        <f t="array" ref="H182">_xlfn.IFS(G182&gt;=20,"20-25", G182&gt;=15,"15-20", G182&gt;=10,"10-15", G182&gt;=5,"5-10", G182&gt;=1,"1-5", G182&lt;1,"Less than 1")</f>
        <v>5-10</v>
      </c>
      <c r="I182">
        <v>5</v>
      </c>
      <c r="J182">
        <v>4</v>
      </c>
      <c r="K182" s="6">
        <v>8</v>
      </c>
      <c r="L182" s="2">
        <v>1.99</v>
      </c>
      <c r="M182" s="6">
        <v>38</v>
      </c>
      <c r="N182" t="str" cm="1">
        <f t="array" ref="N182">_xlfn.IFS(M182&gt;=50,"50-60 Days", M182&gt;=40,"40-50 Days", M182&gt;=30, "30-40 Days", M182&gt;=20, "20-30 Days", M182&gt;=10, "10-20 Days", M182&gt;=0, "0-10 Days")</f>
        <v>30-40 Days</v>
      </c>
    </row>
    <row r="183" spans="1:14">
      <c r="A183">
        <v>182</v>
      </c>
      <c r="B183" t="s">
        <v>28</v>
      </c>
      <c r="C183" s="5">
        <v>45604</v>
      </c>
      <c r="D183" s="8">
        <v>45604</v>
      </c>
      <c r="E183" s="8">
        <f>IF(B183="Inactive", EDATE(D183,K183), "")</f>
        <v>45724</v>
      </c>
      <c r="F183" t="s">
        <v>12</v>
      </c>
      <c r="G183">
        <v>19</v>
      </c>
      <c r="H183" t="str" cm="1">
        <f t="array" ref="H183">_xlfn.IFS(G183&gt;=20,"20-25", G183&gt;=15,"15-20", G183&gt;=10,"10-15", G183&gt;=5,"5-10", G183&gt;=1,"1-5", G183&lt;1,"Less than 1")</f>
        <v>15-20</v>
      </c>
      <c r="I183">
        <v>0</v>
      </c>
      <c r="J183">
        <v>5</v>
      </c>
      <c r="K183" s="6">
        <v>4</v>
      </c>
      <c r="L183" s="2">
        <v>1.99</v>
      </c>
      <c r="M183" s="6">
        <v>5</v>
      </c>
      <c r="N183" t="str" cm="1">
        <f t="array" ref="N183">_xlfn.IFS(M183&gt;=50,"50-60 Days", M183&gt;=40,"40-50 Days", M183&gt;=30, "30-40 Days", M183&gt;=20, "20-30 Days", M183&gt;=10, "10-20 Days", M183&gt;=0, "0-10 Days")</f>
        <v>0-10 Days</v>
      </c>
    </row>
    <row r="184" spans="1:14">
      <c r="A184">
        <v>183</v>
      </c>
      <c r="B184" t="s">
        <v>29</v>
      </c>
      <c r="C184" s="5">
        <v>45043</v>
      </c>
      <c r="D184" s="8">
        <v>45043</v>
      </c>
      <c r="E184" s="8" t="str">
        <f>IF(B184="Inactive", EDATE(D184,K184), "")</f>
        <v/>
      </c>
      <c r="F184" t="s">
        <v>14</v>
      </c>
      <c r="G184">
        <v>15.4</v>
      </c>
      <c r="H184" t="str" cm="1">
        <f t="array" ref="H184">_xlfn.IFS(G184&gt;=20,"20-25", G184&gt;=15,"15-20", G184&gt;=10,"10-15", G184&gt;=5,"5-10", G184&gt;=1,"1-5", G184&lt;1,"Less than 1")</f>
        <v>15-20</v>
      </c>
      <c r="I184">
        <v>6</v>
      </c>
      <c r="J184">
        <v>2</v>
      </c>
      <c r="K184" s="6">
        <v>11</v>
      </c>
      <c r="L184" s="2">
        <v>3.99</v>
      </c>
      <c r="M184" s="6">
        <v>13</v>
      </c>
      <c r="N184" t="str" cm="1">
        <f t="array" ref="N184">_xlfn.IFS(M184&gt;=50,"50-60 Days", M184&gt;=40,"40-50 Days", M184&gt;=30, "30-40 Days", M184&gt;=20, "20-30 Days", M184&gt;=10, "10-20 Days", M184&gt;=0, "0-10 Days")</f>
        <v>10-20 Days</v>
      </c>
    </row>
    <row r="185" spans="1:14">
      <c r="A185">
        <v>184</v>
      </c>
      <c r="B185" t="s">
        <v>28</v>
      </c>
      <c r="C185" s="5">
        <v>45152</v>
      </c>
      <c r="D185" s="8">
        <v>45152</v>
      </c>
      <c r="E185" s="8">
        <f>IF(B185="Inactive", EDATE(D185,K185), "")</f>
        <v>45457</v>
      </c>
      <c r="F185" t="s">
        <v>14</v>
      </c>
      <c r="G185">
        <v>3.2</v>
      </c>
      <c r="H185" t="str" cm="1">
        <f t="array" ref="H185">_xlfn.IFS(G185&gt;=20,"20-25", G185&gt;=15,"15-20", G185&gt;=10,"10-15", G185&gt;=5,"5-10", G185&gt;=1,"1-5", G185&lt;1,"Less than 1")</f>
        <v>1-5</v>
      </c>
      <c r="I185">
        <v>7</v>
      </c>
      <c r="J185">
        <v>4</v>
      </c>
      <c r="K185" s="6">
        <v>10</v>
      </c>
      <c r="L185" s="2">
        <v>3.99</v>
      </c>
      <c r="M185" s="6">
        <v>42</v>
      </c>
      <c r="N185" t="str" cm="1">
        <f t="array" ref="N185">_xlfn.IFS(M185&gt;=50,"50-60 Days", M185&gt;=40,"40-50 Days", M185&gt;=30, "30-40 Days", M185&gt;=20, "20-30 Days", M185&gt;=10, "10-20 Days", M185&gt;=0, "0-10 Days")</f>
        <v>40-50 Days</v>
      </c>
    </row>
    <row r="186" spans="1:14">
      <c r="A186">
        <v>185</v>
      </c>
      <c r="B186" t="s">
        <v>28</v>
      </c>
      <c r="C186" s="5">
        <v>45188</v>
      </c>
      <c r="D186" s="8">
        <v>45188</v>
      </c>
      <c r="E186" s="8">
        <f>IF(B186="Inactive", EDATE(D186,K186), "")</f>
        <v>45249</v>
      </c>
      <c r="F186" t="s">
        <v>14</v>
      </c>
      <c r="G186">
        <v>0.7</v>
      </c>
      <c r="H186" t="str" cm="1">
        <f t="array" ref="H186">_xlfn.IFS(G186&gt;=20,"20-25", G186&gt;=15,"15-20", G186&gt;=10,"10-15", G186&gt;=5,"5-10", G186&gt;=1,"1-5", G186&lt;1,"Less than 1")</f>
        <v>Less than 1</v>
      </c>
      <c r="I186">
        <v>4</v>
      </c>
      <c r="J186">
        <v>1</v>
      </c>
      <c r="K186" s="6">
        <v>2</v>
      </c>
      <c r="L186" s="2">
        <v>3.99</v>
      </c>
      <c r="M186" s="6">
        <v>49</v>
      </c>
      <c r="N186" t="str" cm="1">
        <f t="array" ref="N186">_xlfn.IFS(M186&gt;=50,"50-60 Days", M186&gt;=40,"40-50 Days", M186&gt;=30, "30-40 Days", M186&gt;=20, "20-30 Days", M186&gt;=10, "10-20 Days", M186&gt;=0, "0-10 Days")</f>
        <v>40-50 Days</v>
      </c>
    </row>
    <row r="187" spans="1:14">
      <c r="A187">
        <v>186</v>
      </c>
      <c r="B187" t="s">
        <v>28</v>
      </c>
      <c r="C187" s="5">
        <v>45316</v>
      </c>
      <c r="D187" s="8">
        <v>45316</v>
      </c>
      <c r="E187" s="8">
        <f>IF(B187="Inactive", EDATE(D187,K187), "")</f>
        <v>45529</v>
      </c>
      <c r="F187" t="s">
        <v>14</v>
      </c>
      <c r="G187">
        <v>3.4</v>
      </c>
      <c r="H187" t="str" cm="1">
        <f t="array" ref="H187">_xlfn.IFS(G187&gt;=20,"20-25", G187&gt;=15,"15-20", G187&gt;=10,"10-15", G187&gt;=5,"5-10", G187&gt;=1,"1-5", G187&lt;1,"Less than 1")</f>
        <v>1-5</v>
      </c>
      <c r="I187">
        <v>7</v>
      </c>
      <c r="J187">
        <v>5</v>
      </c>
      <c r="K187" s="6">
        <v>7</v>
      </c>
      <c r="L187" s="2">
        <v>3.99</v>
      </c>
      <c r="M187" s="6">
        <v>27</v>
      </c>
      <c r="N187" t="str" cm="1">
        <f t="array" ref="N187">_xlfn.IFS(M187&gt;=50,"50-60 Days", M187&gt;=40,"40-50 Days", M187&gt;=30, "30-40 Days", M187&gt;=20, "20-30 Days", M187&gt;=10, "10-20 Days", M187&gt;=0, "0-10 Days")</f>
        <v>20-30 Days</v>
      </c>
    </row>
    <row r="188" spans="1:14">
      <c r="A188">
        <v>187</v>
      </c>
      <c r="B188" t="s">
        <v>29</v>
      </c>
      <c r="C188" s="5">
        <v>44970</v>
      </c>
      <c r="D188" s="8">
        <v>44970</v>
      </c>
      <c r="E188" s="8" t="str">
        <f>IF(B188="Inactive", EDATE(D188,K188), "")</f>
        <v/>
      </c>
      <c r="F188" t="s">
        <v>10</v>
      </c>
      <c r="G188">
        <v>12.8</v>
      </c>
      <c r="H188" t="str" cm="1">
        <f t="array" ref="H188">_xlfn.IFS(G188&gt;=20,"20-25", G188&gt;=15,"15-20", G188&gt;=10,"10-15", G188&gt;=5,"5-10", G188&gt;=1,"1-5", G188&lt;1,"Less than 1")</f>
        <v>10-15</v>
      </c>
      <c r="I188">
        <v>5</v>
      </c>
      <c r="J188">
        <v>0</v>
      </c>
      <c r="K188" s="6">
        <v>5</v>
      </c>
      <c r="L188" s="2">
        <v>6.99</v>
      </c>
      <c r="M188" s="6">
        <v>25</v>
      </c>
      <c r="N188" t="str" cm="1">
        <f t="array" ref="N188">_xlfn.IFS(M188&gt;=50,"50-60 Days", M188&gt;=40,"40-50 Days", M188&gt;=30, "30-40 Days", M188&gt;=20, "20-30 Days", M188&gt;=10, "10-20 Days", M188&gt;=0, "0-10 Days")</f>
        <v>20-30 Days</v>
      </c>
    </row>
    <row r="189" spans="1:14">
      <c r="A189">
        <v>188</v>
      </c>
      <c r="B189" t="s">
        <v>28</v>
      </c>
      <c r="C189" s="5">
        <v>45341</v>
      </c>
      <c r="D189" s="8">
        <v>45341</v>
      </c>
      <c r="E189" s="8">
        <f>IF(B189="Inactive", EDATE(D189,K189), "")</f>
        <v>45370</v>
      </c>
      <c r="F189" t="s">
        <v>14</v>
      </c>
      <c r="G189">
        <v>11.8</v>
      </c>
      <c r="H189" t="str" cm="1">
        <f t="array" ref="H189">_xlfn.IFS(G189&gt;=20,"20-25", G189&gt;=15,"15-20", G189&gt;=10,"10-15", G189&gt;=5,"5-10", G189&gt;=1,"1-5", G189&lt;1,"Less than 1")</f>
        <v>10-15</v>
      </c>
      <c r="I189">
        <v>1</v>
      </c>
      <c r="J189">
        <v>2</v>
      </c>
      <c r="K189" s="6">
        <v>1</v>
      </c>
      <c r="L189" s="2">
        <v>3.99</v>
      </c>
      <c r="M189" s="6">
        <v>36</v>
      </c>
      <c r="N189" t="str" cm="1">
        <f t="array" ref="N189">_xlfn.IFS(M189&gt;=50,"50-60 Days", M189&gt;=40,"40-50 Days", M189&gt;=30, "30-40 Days", M189&gt;=20, "20-30 Days", M189&gt;=10, "10-20 Days", M189&gt;=0, "0-10 Days")</f>
        <v>30-40 Days</v>
      </c>
    </row>
    <row r="190" spans="1:14">
      <c r="A190">
        <v>189</v>
      </c>
      <c r="B190" t="s">
        <v>28</v>
      </c>
      <c r="C190" s="5">
        <v>45559</v>
      </c>
      <c r="D190" s="8">
        <v>45559</v>
      </c>
      <c r="E190" s="8">
        <f>IF(B190="Inactive", EDATE(D190,K190), "")</f>
        <v>45832</v>
      </c>
      <c r="F190" t="s">
        <v>10</v>
      </c>
      <c r="G190">
        <v>7.6</v>
      </c>
      <c r="H190" t="str" cm="1">
        <f t="array" ref="H190">_xlfn.IFS(G190&gt;=20,"20-25", G190&gt;=15,"15-20", G190&gt;=10,"10-15", G190&gt;=5,"5-10", G190&gt;=1,"1-5", G190&lt;1,"Less than 1")</f>
        <v>5-10</v>
      </c>
      <c r="I190">
        <v>6</v>
      </c>
      <c r="J190">
        <v>0</v>
      </c>
      <c r="K190" s="6">
        <v>9</v>
      </c>
      <c r="L190" s="2">
        <v>6.99</v>
      </c>
      <c r="M190" s="6">
        <v>20</v>
      </c>
      <c r="N190" t="str" cm="1">
        <f t="array" ref="N190">_xlfn.IFS(M190&gt;=50,"50-60 Days", M190&gt;=40,"40-50 Days", M190&gt;=30, "30-40 Days", M190&gt;=20, "20-30 Days", M190&gt;=10, "10-20 Days", M190&gt;=0, "0-10 Days")</f>
        <v>20-30 Days</v>
      </c>
    </row>
    <row r="191" spans="1:14">
      <c r="A191">
        <v>190</v>
      </c>
      <c r="B191" t="s">
        <v>28</v>
      </c>
      <c r="C191" s="5">
        <v>45463</v>
      </c>
      <c r="D191" s="8">
        <v>45463</v>
      </c>
      <c r="E191" s="8">
        <f>IF(B191="Inactive", EDATE(D191,K191), "")</f>
        <v>45708</v>
      </c>
      <c r="F191" t="s">
        <v>14</v>
      </c>
      <c r="G191">
        <v>2.7</v>
      </c>
      <c r="H191" t="str" cm="1">
        <f t="array" ref="H191">_xlfn.IFS(G191&gt;=20,"20-25", G191&gt;=15,"15-20", G191&gt;=10,"10-15", G191&gt;=5,"5-10", G191&gt;=1,"1-5", G191&lt;1,"Less than 1")</f>
        <v>1-5</v>
      </c>
      <c r="I191">
        <v>1</v>
      </c>
      <c r="J191">
        <v>1</v>
      </c>
      <c r="K191" s="6">
        <v>8</v>
      </c>
      <c r="L191" s="2">
        <v>3.99</v>
      </c>
      <c r="M191" s="6">
        <v>27</v>
      </c>
      <c r="N191" t="str" cm="1">
        <f t="array" ref="N191">_xlfn.IFS(M191&gt;=50,"50-60 Days", M191&gt;=40,"40-50 Days", M191&gt;=30, "30-40 Days", M191&gt;=20, "20-30 Days", M191&gt;=10, "10-20 Days", M191&gt;=0, "0-10 Days")</f>
        <v>20-30 Days</v>
      </c>
    </row>
    <row r="192" spans="1:14">
      <c r="A192">
        <v>191</v>
      </c>
      <c r="B192" t="s">
        <v>29</v>
      </c>
      <c r="C192" s="5">
        <v>45005</v>
      </c>
      <c r="D192" s="8">
        <v>45005</v>
      </c>
      <c r="E192" s="8" t="str">
        <f>IF(B192="Inactive", EDATE(D192,K192), "")</f>
        <v/>
      </c>
      <c r="F192" t="s">
        <v>12</v>
      </c>
      <c r="G192">
        <v>21.8</v>
      </c>
      <c r="H192" t="str" cm="1">
        <f t="array" ref="H192">_xlfn.IFS(G192&gt;=20,"20-25", G192&gt;=15,"15-20", G192&gt;=10,"10-15", G192&gt;=5,"5-10", G192&gt;=1,"1-5", G192&lt;1,"Less than 1")</f>
        <v>20-25</v>
      </c>
      <c r="I192">
        <v>5</v>
      </c>
      <c r="J192">
        <v>1</v>
      </c>
      <c r="K192" s="6">
        <v>9</v>
      </c>
      <c r="L192" s="2">
        <v>1.99</v>
      </c>
      <c r="M192" s="6">
        <v>21</v>
      </c>
      <c r="N192" t="str" cm="1">
        <f t="array" ref="N192">_xlfn.IFS(M192&gt;=50,"50-60 Days", M192&gt;=40,"40-50 Days", M192&gt;=30, "30-40 Days", M192&gt;=20, "20-30 Days", M192&gt;=10, "10-20 Days", M192&gt;=0, "0-10 Days")</f>
        <v>20-30 Days</v>
      </c>
    </row>
    <row r="193" spans="1:14">
      <c r="A193">
        <v>192</v>
      </c>
      <c r="B193" t="s">
        <v>29</v>
      </c>
      <c r="C193" s="5">
        <v>45587</v>
      </c>
      <c r="D193" s="8">
        <v>45587</v>
      </c>
      <c r="E193" s="8" t="str">
        <f>IF(B193="Inactive", EDATE(D193,K193), "")</f>
        <v/>
      </c>
      <c r="F193" t="s">
        <v>10</v>
      </c>
      <c r="G193">
        <v>13.5</v>
      </c>
      <c r="H193" t="str" cm="1">
        <f t="array" ref="H193">_xlfn.IFS(G193&gt;=20,"20-25", G193&gt;=15,"15-20", G193&gt;=10,"10-15", G193&gt;=5,"5-10", G193&gt;=1,"1-5", G193&lt;1,"Less than 1")</f>
        <v>10-15</v>
      </c>
      <c r="I193">
        <v>3</v>
      </c>
      <c r="J193">
        <v>2</v>
      </c>
      <c r="K193" s="6">
        <v>3</v>
      </c>
      <c r="L193" s="2">
        <v>6.99</v>
      </c>
      <c r="M193" s="6">
        <v>22</v>
      </c>
      <c r="N193" t="str" cm="1">
        <f t="array" ref="N193">_xlfn.IFS(M193&gt;=50,"50-60 Days", M193&gt;=40,"40-50 Days", M193&gt;=30, "30-40 Days", M193&gt;=20, "20-30 Days", M193&gt;=10, "10-20 Days", M193&gt;=0, "0-10 Days")</f>
        <v>20-30 Days</v>
      </c>
    </row>
    <row r="194" spans="1:14">
      <c r="A194">
        <v>193</v>
      </c>
      <c r="B194" t="s">
        <v>29</v>
      </c>
      <c r="C194" s="5">
        <v>45598</v>
      </c>
      <c r="D194" s="8">
        <v>45598</v>
      </c>
      <c r="E194" s="8" t="str">
        <f>IF(B194="Inactive", EDATE(D194,K194), "")</f>
        <v/>
      </c>
      <c r="F194" t="s">
        <v>12</v>
      </c>
      <c r="G194">
        <v>3</v>
      </c>
      <c r="H194" t="str" cm="1">
        <f t="array" ref="H194">_xlfn.IFS(G194&gt;=20,"20-25", G194&gt;=15,"15-20", G194&gt;=10,"10-15", G194&gt;=5,"5-10", G194&gt;=1,"1-5", G194&lt;1,"Less than 1")</f>
        <v>1-5</v>
      </c>
      <c r="I194">
        <v>4</v>
      </c>
      <c r="J194">
        <v>1</v>
      </c>
      <c r="K194" s="6">
        <v>6</v>
      </c>
      <c r="L194" s="2">
        <v>1.99</v>
      </c>
      <c r="M194" s="6">
        <v>11</v>
      </c>
      <c r="N194" t="str" cm="1">
        <f t="array" ref="N194">_xlfn.IFS(M194&gt;=50,"50-60 Days", M194&gt;=40,"40-50 Days", M194&gt;=30, "30-40 Days", M194&gt;=20, "20-30 Days", M194&gt;=10, "10-20 Days", M194&gt;=0, "0-10 Days")</f>
        <v>10-20 Days</v>
      </c>
    </row>
    <row r="195" spans="1:14">
      <c r="A195">
        <v>194</v>
      </c>
      <c r="B195" t="s">
        <v>28</v>
      </c>
      <c r="C195" s="5">
        <v>45520</v>
      </c>
      <c r="D195" s="8">
        <v>45520</v>
      </c>
      <c r="E195" s="8">
        <f>IF(B195="Inactive", EDATE(D195,K195), "")</f>
        <v>45642</v>
      </c>
      <c r="F195" t="s">
        <v>12</v>
      </c>
      <c r="G195">
        <v>23.8</v>
      </c>
      <c r="H195" t="str" cm="1">
        <f t="array" ref="H195">_xlfn.IFS(G195&gt;=20,"20-25", G195&gt;=15,"15-20", G195&gt;=10,"10-15", G195&gt;=5,"5-10", G195&gt;=1,"1-5", G195&lt;1,"Less than 1")</f>
        <v>20-25</v>
      </c>
      <c r="I195">
        <v>7</v>
      </c>
      <c r="J195">
        <v>3</v>
      </c>
      <c r="K195" s="6">
        <v>4</v>
      </c>
      <c r="L195" s="2">
        <v>1.99</v>
      </c>
      <c r="M195" s="6">
        <v>48</v>
      </c>
      <c r="N195" t="str" cm="1">
        <f t="array" ref="N195">_xlfn.IFS(M195&gt;=50,"50-60 Days", M195&gt;=40,"40-50 Days", M195&gt;=30, "30-40 Days", M195&gt;=20, "20-30 Days", M195&gt;=10, "10-20 Days", M195&gt;=0, "0-10 Days")</f>
        <v>40-50 Days</v>
      </c>
    </row>
    <row r="196" spans="1:14">
      <c r="A196">
        <v>195</v>
      </c>
      <c r="B196" t="s">
        <v>28</v>
      </c>
      <c r="C196" s="5">
        <v>45379</v>
      </c>
      <c r="D196" s="8">
        <v>45379</v>
      </c>
      <c r="E196" s="8">
        <f>IF(B196="Inactive", EDATE(D196,K196), "")</f>
        <v>45593</v>
      </c>
      <c r="F196" t="s">
        <v>14</v>
      </c>
      <c r="G196">
        <v>21.7</v>
      </c>
      <c r="H196" t="str" cm="1">
        <f t="array" ref="H196">_xlfn.IFS(G196&gt;=20,"20-25", G196&gt;=15,"15-20", G196&gt;=10,"10-15", G196&gt;=5,"5-10", G196&gt;=1,"1-5", G196&lt;1,"Less than 1")</f>
        <v>20-25</v>
      </c>
      <c r="I196">
        <v>5</v>
      </c>
      <c r="J196">
        <v>1</v>
      </c>
      <c r="K196" s="6">
        <v>7</v>
      </c>
      <c r="L196" s="2">
        <v>3.99</v>
      </c>
      <c r="M196" s="6">
        <v>28</v>
      </c>
      <c r="N196" t="str" cm="1">
        <f t="array" ref="N196">_xlfn.IFS(M196&gt;=50,"50-60 Days", M196&gt;=40,"40-50 Days", M196&gt;=30, "30-40 Days", M196&gt;=20, "20-30 Days", M196&gt;=10, "10-20 Days", M196&gt;=0, "0-10 Days")</f>
        <v>20-30 Days</v>
      </c>
    </row>
    <row r="197" spans="1:14">
      <c r="A197">
        <v>196</v>
      </c>
      <c r="B197" t="s">
        <v>28</v>
      </c>
      <c r="C197" s="5">
        <v>45399</v>
      </c>
      <c r="D197" s="8">
        <v>45399</v>
      </c>
      <c r="E197" s="8">
        <f>IF(B197="Inactive", EDATE(D197,K197), "")</f>
        <v>45613</v>
      </c>
      <c r="F197" t="s">
        <v>10</v>
      </c>
      <c r="G197">
        <v>20</v>
      </c>
      <c r="H197" t="str" cm="1">
        <f t="array" ref="H197">_xlfn.IFS(G197&gt;=20,"20-25", G197&gt;=15,"15-20", G197&gt;=10,"10-15", G197&gt;=5,"5-10", G197&gt;=1,"1-5", G197&lt;1,"Less than 1")</f>
        <v>20-25</v>
      </c>
      <c r="I197">
        <v>0</v>
      </c>
      <c r="J197">
        <v>2</v>
      </c>
      <c r="K197" s="6">
        <v>7</v>
      </c>
      <c r="L197" s="2">
        <v>6.99</v>
      </c>
      <c r="M197" s="6">
        <v>32</v>
      </c>
      <c r="N197" t="str" cm="1">
        <f t="array" ref="N197">_xlfn.IFS(M197&gt;=50,"50-60 Days", M197&gt;=40,"40-50 Days", M197&gt;=30, "30-40 Days", M197&gt;=20, "20-30 Days", M197&gt;=10, "10-20 Days", M197&gt;=0, "0-10 Days")</f>
        <v>30-40 Days</v>
      </c>
    </row>
    <row r="198" spans="1:14">
      <c r="A198">
        <v>197</v>
      </c>
      <c r="B198" t="s">
        <v>29</v>
      </c>
      <c r="C198" s="5">
        <v>45019</v>
      </c>
      <c r="D198" s="8">
        <v>45019</v>
      </c>
      <c r="E198" s="8" t="str">
        <f>IF(B198="Inactive", EDATE(D198,K198), "")</f>
        <v/>
      </c>
      <c r="F198" t="s">
        <v>14</v>
      </c>
      <c r="G198">
        <v>1.9</v>
      </c>
      <c r="H198" t="str" cm="1">
        <f t="array" ref="H198">_xlfn.IFS(G198&gt;=20,"20-25", G198&gt;=15,"15-20", G198&gt;=10,"10-15", G198&gt;=5,"5-10", G198&gt;=1,"1-5", G198&lt;1,"Less than 1")</f>
        <v>1-5</v>
      </c>
      <c r="I198">
        <v>4</v>
      </c>
      <c r="J198">
        <v>0</v>
      </c>
      <c r="K198" s="6">
        <v>1</v>
      </c>
      <c r="L198" s="2">
        <v>3.99</v>
      </c>
      <c r="M198" s="6">
        <v>41</v>
      </c>
      <c r="N198" t="str" cm="1">
        <f t="array" ref="N198">_xlfn.IFS(M198&gt;=50,"50-60 Days", M198&gt;=40,"40-50 Days", M198&gt;=30, "30-40 Days", M198&gt;=20, "20-30 Days", M198&gt;=10, "10-20 Days", M198&gt;=0, "0-10 Days")</f>
        <v>40-50 Days</v>
      </c>
    </row>
    <row r="199" spans="1:14">
      <c r="A199">
        <v>198</v>
      </c>
      <c r="B199" t="s">
        <v>28</v>
      </c>
      <c r="C199" s="5">
        <v>45512</v>
      </c>
      <c r="D199" s="8">
        <v>45512</v>
      </c>
      <c r="E199" s="8">
        <f>IF(B199="Inactive", EDATE(D199,K199), "")</f>
        <v>45846</v>
      </c>
      <c r="F199" t="s">
        <v>10</v>
      </c>
      <c r="G199">
        <v>9.9</v>
      </c>
      <c r="H199" t="str" cm="1">
        <f t="array" ref="H199">_xlfn.IFS(G199&gt;=20,"20-25", G199&gt;=15,"15-20", G199&gt;=10,"10-15", G199&gt;=5,"5-10", G199&gt;=1,"1-5", G199&lt;1,"Less than 1")</f>
        <v>5-10</v>
      </c>
      <c r="I199">
        <v>8</v>
      </c>
      <c r="J199">
        <v>5</v>
      </c>
      <c r="K199" s="6">
        <v>11</v>
      </c>
      <c r="L199" s="2">
        <v>6.99</v>
      </c>
      <c r="M199" s="6">
        <v>57</v>
      </c>
      <c r="N199" t="str" cm="1">
        <f t="array" ref="N199">_xlfn.IFS(M199&gt;=50,"50-60 Days", M199&gt;=40,"40-50 Days", M199&gt;=30, "30-40 Days", M199&gt;=20, "20-30 Days", M199&gt;=10, "10-20 Days", M199&gt;=0, "0-10 Days")</f>
        <v>50-60 Days</v>
      </c>
    </row>
    <row r="200" spans="1:14">
      <c r="A200">
        <v>199</v>
      </c>
      <c r="B200" t="s">
        <v>29</v>
      </c>
      <c r="C200" s="5">
        <v>45388</v>
      </c>
      <c r="D200" s="8">
        <v>45388</v>
      </c>
      <c r="E200" s="8" t="str">
        <f>IF(B200="Inactive", EDATE(D200,K200), "")</f>
        <v/>
      </c>
      <c r="F200" t="s">
        <v>10</v>
      </c>
      <c r="G200">
        <v>8.4</v>
      </c>
      <c r="H200" t="str" cm="1">
        <f t="array" ref="H200">_xlfn.IFS(G200&gt;=20,"20-25", G200&gt;=15,"15-20", G200&gt;=10,"10-15", G200&gt;=5,"5-10", G200&gt;=1,"1-5", G200&lt;1,"Less than 1")</f>
        <v>5-10</v>
      </c>
      <c r="I200">
        <v>7</v>
      </c>
      <c r="J200">
        <v>4</v>
      </c>
      <c r="K200" s="6">
        <v>5</v>
      </c>
      <c r="L200" s="2">
        <v>6.99</v>
      </c>
      <c r="M200" s="6">
        <v>9</v>
      </c>
      <c r="N200" t="str" cm="1">
        <f t="array" ref="N200">_xlfn.IFS(M200&gt;=50,"50-60 Days", M200&gt;=40,"40-50 Days", M200&gt;=30, "30-40 Days", M200&gt;=20, "20-30 Days", M200&gt;=10, "10-20 Days", M200&gt;=0, "0-10 Days")</f>
        <v>0-10 Days</v>
      </c>
    </row>
    <row r="201" spans="1:14">
      <c r="A201">
        <v>200</v>
      </c>
      <c r="B201" t="s">
        <v>28</v>
      </c>
      <c r="C201" s="5">
        <v>45180</v>
      </c>
      <c r="D201" s="8">
        <v>45180</v>
      </c>
      <c r="E201" s="8">
        <f>IF(B201="Inactive", EDATE(D201,K201), "")</f>
        <v>45423</v>
      </c>
      <c r="F201" t="s">
        <v>12</v>
      </c>
      <c r="G201">
        <v>24.6</v>
      </c>
      <c r="H201" t="str" cm="1">
        <f t="array" ref="H201">_xlfn.IFS(G201&gt;=20,"20-25", G201&gt;=15,"15-20", G201&gt;=10,"10-15", G201&gt;=5,"5-10", G201&gt;=1,"1-5", G201&lt;1,"Less than 1")</f>
        <v>20-25</v>
      </c>
      <c r="I201">
        <v>1</v>
      </c>
      <c r="J201">
        <v>4</v>
      </c>
      <c r="K201" s="6">
        <v>8</v>
      </c>
      <c r="L201" s="2">
        <v>1.99</v>
      </c>
      <c r="M201" s="6">
        <v>41</v>
      </c>
      <c r="N201" t="str" cm="1">
        <f t="array" ref="N201">_xlfn.IFS(M201&gt;=50,"50-60 Days", M201&gt;=40,"40-50 Days", M201&gt;=30, "30-40 Days", M201&gt;=20, "20-30 Days", M201&gt;=10, "10-20 Days", M201&gt;=0, "0-10 Days")</f>
        <v>40-50 Days</v>
      </c>
    </row>
    <row r="202" spans="1:14">
      <c r="A202">
        <v>201</v>
      </c>
      <c r="B202" t="s">
        <v>28</v>
      </c>
      <c r="C202" s="5">
        <v>45308</v>
      </c>
      <c r="D202" s="8">
        <v>45308</v>
      </c>
      <c r="E202" s="8">
        <f>IF(B202="Inactive", EDATE(D202,K202), "")</f>
        <v>45613</v>
      </c>
      <c r="F202" t="s">
        <v>10</v>
      </c>
      <c r="G202">
        <v>24.8</v>
      </c>
      <c r="H202" t="str" cm="1">
        <f t="array" ref="H202">_xlfn.IFS(G202&gt;=20,"20-25", G202&gt;=15,"15-20", G202&gt;=10,"10-15", G202&gt;=5,"5-10", G202&gt;=1,"1-5", G202&lt;1,"Less than 1")</f>
        <v>20-25</v>
      </c>
      <c r="I202">
        <v>8</v>
      </c>
      <c r="J202">
        <v>4</v>
      </c>
      <c r="K202" s="6">
        <v>10</v>
      </c>
      <c r="L202" s="2">
        <v>6.99</v>
      </c>
      <c r="M202" s="6">
        <v>39</v>
      </c>
      <c r="N202" t="str" cm="1">
        <f t="array" ref="N202">_xlfn.IFS(M202&gt;=50,"50-60 Days", M202&gt;=40,"40-50 Days", M202&gt;=30, "30-40 Days", M202&gt;=20, "20-30 Days", M202&gt;=10, "10-20 Days", M202&gt;=0, "0-10 Days")</f>
        <v>30-40 Days</v>
      </c>
    </row>
    <row r="203" spans="1:14">
      <c r="A203">
        <v>202</v>
      </c>
      <c r="B203" t="s">
        <v>28</v>
      </c>
      <c r="C203" s="5">
        <v>45573</v>
      </c>
      <c r="D203" s="8">
        <v>45573</v>
      </c>
      <c r="E203" s="8">
        <f>IF(B203="Inactive", EDATE(D203,K203), "")</f>
        <v>45846</v>
      </c>
      <c r="F203" t="s">
        <v>14</v>
      </c>
      <c r="G203">
        <v>10.5</v>
      </c>
      <c r="H203" t="str" cm="1">
        <f t="array" ref="H203">_xlfn.IFS(G203&gt;=20,"20-25", G203&gt;=15,"15-20", G203&gt;=10,"10-15", G203&gt;=5,"5-10", G203&gt;=1,"1-5", G203&lt;1,"Less than 1")</f>
        <v>10-15</v>
      </c>
      <c r="I203">
        <v>5</v>
      </c>
      <c r="J203">
        <v>5</v>
      </c>
      <c r="K203" s="6">
        <v>9</v>
      </c>
      <c r="L203" s="2">
        <v>3.99</v>
      </c>
      <c r="M203" s="6">
        <v>38</v>
      </c>
      <c r="N203" t="str" cm="1">
        <f t="array" ref="N203">_xlfn.IFS(M203&gt;=50,"50-60 Days", M203&gt;=40,"40-50 Days", M203&gt;=30, "30-40 Days", M203&gt;=20, "20-30 Days", M203&gt;=10, "10-20 Days", M203&gt;=0, "0-10 Days")</f>
        <v>30-40 Days</v>
      </c>
    </row>
    <row r="204" spans="1:14">
      <c r="A204">
        <v>203</v>
      </c>
      <c r="B204" t="s">
        <v>28</v>
      </c>
      <c r="C204" s="5">
        <v>45185</v>
      </c>
      <c r="D204" s="8">
        <v>45185</v>
      </c>
      <c r="E204" s="8">
        <f>IF(B204="Inactive", EDATE(D204,K204), "")</f>
        <v>45428</v>
      </c>
      <c r="F204" t="s">
        <v>10</v>
      </c>
      <c r="G204">
        <v>2.1</v>
      </c>
      <c r="H204" t="str" cm="1">
        <f t="array" ref="H204">_xlfn.IFS(G204&gt;=20,"20-25", G204&gt;=15,"15-20", G204&gt;=10,"10-15", G204&gt;=5,"5-10", G204&gt;=1,"1-5", G204&lt;1,"Less than 1")</f>
        <v>1-5</v>
      </c>
      <c r="I204">
        <v>1</v>
      </c>
      <c r="J204">
        <v>4</v>
      </c>
      <c r="K204" s="6">
        <v>8</v>
      </c>
      <c r="L204" s="2">
        <v>6.99</v>
      </c>
      <c r="M204" s="6">
        <v>43</v>
      </c>
      <c r="N204" t="str" cm="1">
        <f t="array" ref="N204">_xlfn.IFS(M204&gt;=50,"50-60 Days", M204&gt;=40,"40-50 Days", M204&gt;=30, "30-40 Days", M204&gt;=20, "20-30 Days", M204&gt;=10, "10-20 Days", M204&gt;=0, "0-10 Days")</f>
        <v>40-50 Days</v>
      </c>
    </row>
    <row r="205" spans="1:14">
      <c r="A205">
        <v>204</v>
      </c>
      <c r="B205" t="s">
        <v>29</v>
      </c>
      <c r="C205" s="5">
        <v>45642</v>
      </c>
      <c r="D205" s="8">
        <v>45642</v>
      </c>
      <c r="E205" s="8" t="str">
        <f>IF(B205="Inactive", EDATE(D205,K205), "")</f>
        <v/>
      </c>
      <c r="F205" t="s">
        <v>10</v>
      </c>
      <c r="G205">
        <v>8.6999999999999993</v>
      </c>
      <c r="H205" t="str" cm="1">
        <f t="array" ref="H205">_xlfn.IFS(G205&gt;=20,"20-25", G205&gt;=15,"15-20", G205&gt;=10,"10-15", G205&gt;=5,"5-10", G205&gt;=1,"1-5", G205&lt;1,"Less than 1")</f>
        <v>5-10</v>
      </c>
      <c r="I205">
        <v>2</v>
      </c>
      <c r="J205">
        <v>2</v>
      </c>
      <c r="K205" s="6">
        <v>4</v>
      </c>
      <c r="L205" s="2">
        <v>6.99</v>
      </c>
      <c r="M205" s="6">
        <v>19</v>
      </c>
      <c r="N205" t="str" cm="1">
        <f t="array" ref="N205">_xlfn.IFS(M205&gt;=50,"50-60 Days", M205&gt;=40,"40-50 Days", M205&gt;=30, "30-40 Days", M205&gt;=20, "20-30 Days", M205&gt;=10, "10-20 Days", M205&gt;=0, "0-10 Days")</f>
        <v>10-20 Days</v>
      </c>
    </row>
    <row r="206" spans="1:14">
      <c r="A206">
        <v>205</v>
      </c>
      <c r="B206" t="s">
        <v>28</v>
      </c>
      <c r="C206" s="5">
        <v>45263</v>
      </c>
      <c r="D206" s="8">
        <v>45263</v>
      </c>
      <c r="E206" s="8">
        <f>IF(B206="Inactive", EDATE(D206,K206), "")</f>
        <v>45538</v>
      </c>
      <c r="F206" t="s">
        <v>10</v>
      </c>
      <c r="G206">
        <v>3.7</v>
      </c>
      <c r="H206" t="str" cm="1">
        <f t="array" ref="H206">_xlfn.IFS(G206&gt;=20,"20-25", G206&gt;=15,"15-20", G206&gt;=10,"10-15", G206&gt;=5,"5-10", G206&gt;=1,"1-5", G206&lt;1,"Less than 1")</f>
        <v>1-5</v>
      </c>
      <c r="I206">
        <v>1</v>
      </c>
      <c r="J206">
        <v>2</v>
      </c>
      <c r="K206" s="6">
        <v>9</v>
      </c>
      <c r="L206" s="2">
        <v>6.99</v>
      </c>
      <c r="M206" s="6">
        <v>35</v>
      </c>
      <c r="N206" t="str" cm="1">
        <f t="array" ref="N206">_xlfn.IFS(M206&gt;=50,"50-60 Days", M206&gt;=40,"40-50 Days", M206&gt;=30, "30-40 Days", M206&gt;=20, "20-30 Days", M206&gt;=10, "10-20 Days", M206&gt;=0, "0-10 Days")</f>
        <v>30-40 Days</v>
      </c>
    </row>
    <row r="207" spans="1:14">
      <c r="A207">
        <v>206</v>
      </c>
      <c r="B207" t="s">
        <v>28</v>
      </c>
      <c r="C207" s="5">
        <v>45243</v>
      </c>
      <c r="D207" s="8">
        <v>45243</v>
      </c>
      <c r="E207" s="8">
        <f>IF(B207="Inactive", EDATE(D207,K207), "")</f>
        <v>45609</v>
      </c>
      <c r="F207" t="s">
        <v>12</v>
      </c>
      <c r="G207">
        <v>2.8</v>
      </c>
      <c r="H207" t="str" cm="1">
        <f t="array" ref="H207">_xlfn.IFS(G207&gt;=20,"20-25", G207&gt;=15,"15-20", G207&gt;=10,"10-15", G207&gt;=5,"5-10", G207&gt;=1,"1-5", G207&lt;1,"Less than 1")</f>
        <v>1-5</v>
      </c>
      <c r="I207">
        <v>6</v>
      </c>
      <c r="J207">
        <v>4</v>
      </c>
      <c r="K207" s="6">
        <v>12</v>
      </c>
      <c r="L207" s="2">
        <v>1.99</v>
      </c>
      <c r="M207" s="6">
        <v>23</v>
      </c>
      <c r="N207" t="str" cm="1">
        <f t="array" ref="N207">_xlfn.IFS(M207&gt;=50,"50-60 Days", M207&gt;=40,"40-50 Days", M207&gt;=30, "30-40 Days", M207&gt;=20, "20-30 Days", M207&gt;=10, "10-20 Days", M207&gt;=0, "0-10 Days")</f>
        <v>20-30 Days</v>
      </c>
    </row>
    <row r="208" spans="1:14">
      <c r="A208">
        <v>207</v>
      </c>
      <c r="B208" t="s">
        <v>29</v>
      </c>
      <c r="C208" s="5">
        <v>45085</v>
      </c>
      <c r="D208" s="8">
        <v>45085</v>
      </c>
      <c r="E208" s="8" t="str">
        <f>IF(B208="Inactive", EDATE(D208,K208), "")</f>
        <v/>
      </c>
      <c r="F208" t="s">
        <v>12</v>
      </c>
      <c r="G208">
        <v>8.9</v>
      </c>
      <c r="H208" t="str" cm="1">
        <f t="array" ref="H208">_xlfn.IFS(G208&gt;=20,"20-25", G208&gt;=15,"15-20", G208&gt;=10,"10-15", G208&gt;=5,"5-10", G208&gt;=1,"1-5", G208&lt;1,"Less than 1")</f>
        <v>5-10</v>
      </c>
      <c r="I208">
        <v>7</v>
      </c>
      <c r="J208">
        <v>1</v>
      </c>
      <c r="K208" s="6">
        <v>5</v>
      </c>
      <c r="L208" s="2">
        <v>1.99</v>
      </c>
      <c r="M208" s="6">
        <v>14</v>
      </c>
      <c r="N208" t="str" cm="1">
        <f t="array" ref="N208">_xlfn.IFS(M208&gt;=50,"50-60 Days", M208&gt;=40,"40-50 Days", M208&gt;=30, "30-40 Days", M208&gt;=20, "20-30 Days", M208&gt;=10, "10-20 Days", M208&gt;=0, "0-10 Days")</f>
        <v>10-20 Days</v>
      </c>
    </row>
    <row r="209" spans="1:14">
      <c r="A209">
        <v>208</v>
      </c>
      <c r="B209" t="s">
        <v>28</v>
      </c>
      <c r="C209" s="5">
        <v>45466</v>
      </c>
      <c r="D209" s="8">
        <v>45466</v>
      </c>
      <c r="E209" s="8">
        <f>IF(B209="Inactive", EDATE(D209,K209), "")</f>
        <v>45680</v>
      </c>
      <c r="F209" t="s">
        <v>12</v>
      </c>
      <c r="G209">
        <v>21.2</v>
      </c>
      <c r="H209" t="str" cm="1">
        <f t="array" ref="H209">_xlfn.IFS(G209&gt;=20,"20-25", G209&gt;=15,"15-20", G209&gt;=10,"10-15", G209&gt;=5,"5-10", G209&gt;=1,"1-5", G209&lt;1,"Less than 1")</f>
        <v>20-25</v>
      </c>
      <c r="I209">
        <v>1</v>
      </c>
      <c r="J209">
        <v>4</v>
      </c>
      <c r="K209" s="6">
        <v>7</v>
      </c>
      <c r="L209" s="2">
        <v>1.99</v>
      </c>
      <c r="M209" s="6">
        <v>49</v>
      </c>
      <c r="N209" t="str" cm="1">
        <f t="array" ref="N209">_xlfn.IFS(M209&gt;=50,"50-60 Days", M209&gt;=40,"40-50 Days", M209&gt;=30, "30-40 Days", M209&gt;=20, "20-30 Days", M209&gt;=10, "10-20 Days", M209&gt;=0, "0-10 Days")</f>
        <v>40-50 Days</v>
      </c>
    </row>
    <row r="210" spans="1:14">
      <c r="A210">
        <v>209</v>
      </c>
      <c r="B210" t="s">
        <v>28</v>
      </c>
      <c r="C210" s="5">
        <v>45112</v>
      </c>
      <c r="D210" s="8">
        <v>45112</v>
      </c>
      <c r="E210" s="8">
        <f>IF(B210="Inactive", EDATE(D210,K210), "")</f>
        <v>45356</v>
      </c>
      <c r="F210" t="s">
        <v>12</v>
      </c>
      <c r="G210">
        <v>22</v>
      </c>
      <c r="H210" t="str" cm="1">
        <f t="array" ref="H210">_xlfn.IFS(G210&gt;=20,"20-25", G210&gt;=15,"15-20", G210&gt;=10,"10-15", G210&gt;=5,"5-10", G210&gt;=1,"1-5", G210&lt;1,"Less than 1")</f>
        <v>20-25</v>
      </c>
      <c r="I210">
        <v>2</v>
      </c>
      <c r="J210">
        <v>4</v>
      </c>
      <c r="K210" s="6">
        <v>8</v>
      </c>
      <c r="L210" s="2">
        <v>1.99</v>
      </c>
      <c r="M210" s="6">
        <v>24</v>
      </c>
      <c r="N210" t="str" cm="1">
        <f t="array" ref="N210">_xlfn.IFS(M210&gt;=50,"50-60 Days", M210&gt;=40,"40-50 Days", M210&gt;=30, "30-40 Days", M210&gt;=20, "20-30 Days", M210&gt;=10, "10-20 Days", M210&gt;=0, "0-10 Days")</f>
        <v>20-30 Days</v>
      </c>
    </row>
    <row r="211" spans="1:14">
      <c r="A211">
        <v>210</v>
      </c>
      <c r="B211" t="s">
        <v>29</v>
      </c>
      <c r="C211" s="5">
        <v>45170</v>
      </c>
      <c r="D211" s="8">
        <v>45170</v>
      </c>
      <c r="E211" s="8" t="str">
        <f>IF(B211="Inactive", EDATE(D211,K211), "")</f>
        <v/>
      </c>
      <c r="F211" t="s">
        <v>10</v>
      </c>
      <c r="G211">
        <v>18.2</v>
      </c>
      <c r="H211" t="str" cm="1">
        <f t="array" ref="H211">_xlfn.IFS(G211&gt;=20,"20-25", G211&gt;=15,"15-20", G211&gt;=10,"10-15", G211&gt;=5,"5-10", G211&gt;=1,"1-5", G211&lt;1,"Less than 1")</f>
        <v>15-20</v>
      </c>
      <c r="I211">
        <v>0</v>
      </c>
      <c r="J211">
        <v>3</v>
      </c>
      <c r="K211" s="6">
        <v>4</v>
      </c>
      <c r="L211" s="2">
        <v>6.99</v>
      </c>
      <c r="M211" s="6">
        <v>23</v>
      </c>
      <c r="N211" t="str" cm="1">
        <f t="array" ref="N211">_xlfn.IFS(M211&gt;=50,"50-60 Days", M211&gt;=40,"40-50 Days", M211&gt;=30, "30-40 Days", M211&gt;=20, "20-30 Days", M211&gt;=10, "10-20 Days", M211&gt;=0, "0-10 Days")</f>
        <v>20-30 Days</v>
      </c>
    </row>
    <row r="212" spans="1:14">
      <c r="A212">
        <v>211</v>
      </c>
      <c r="B212" t="s">
        <v>28</v>
      </c>
      <c r="C212" s="5">
        <v>45407</v>
      </c>
      <c r="D212" s="8">
        <v>45407</v>
      </c>
      <c r="E212" s="8">
        <f>IF(B212="Inactive", EDATE(D212,K212), "")</f>
        <v>45621</v>
      </c>
      <c r="F212" t="s">
        <v>14</v>
      </c>
      <c r="G212">
        <v>18.899999999999999</v>
      </c>
      <c r="H212" t="str" cm="1">
        <f t="array" ref="H212">_xlfn.IFS(G212&gt;=20,"20-25", G212&gt;=15,"15-20", G212&gt;=10,"10-15", G212&gt;=5,"5-10", G212&gt;=1,"1-5", G212&lt;1,"Less than 1")</f>
        <v>15-20</v>
      </c>
      <c r="I212">
        <v>7</v>
      </c>
      <c r="J212">
        <v>1</v>
      </c>
      <c r="K212" s="6">
        <v>7</v>
      </c>
      <c r="L212" s="2">
        <v>3.99</v>
      </c>
      <c r="M212" s="6">
        <v>34</v>
      </c>
      <c r="N212" t="str" cm="1">
        <f t="array" ref="N212">_xlfn.IFS(M212&gt;=50,"50-60 Days", M212&gt;=40,"40-50 Days", M212&gt;=30, "30-40 Days", M212&gt;=20, "20-30 Days", M212&gt;=10, "10-20 Days", M212&gt;=0, "0-10 Days")</f>
        <v>30-40 Days</v>
      </c>
    </row>
    <row r="213" spans="1:14">
      <c r="A213">
        <v>212</v>
      </c>
      <c r="B213" t="s">
        <v>28</v>
      </c>
      <c r="C213" s="5">
        <v>45318</v>
      </c>
      <c r="D213" s="8">
        <v>45318</v>
      </c>
      <c r="E213" s="8">
        <f>IF(B213="Inactive", EDATE(D213,K213), "")</f>
        <v>45562</v>
      </c>
      <c r="F213" t="s">
        <v>12</v>
      </c>
      <c r="G213">
        <v>17.100000000000001</v>
      </c>
      <c r="H213" t="str" cm="1">
        <f t="array" ref="H213">_xlfn.IFS(G213&gt;=20,"20-25", G213&gt;=15,"15-20", G213&gt;=10,"10-15", G213&gt;=5,"5-10", G213&gt;=1,"1-5", G213&lt;1,"Less than 1")</f>
        <v>15-20</v>
      </c>
      <c r="I213">
        <v>7</v>
      </c>
      <c r="J213">
        <v>3</v>
      </c>
      <c r="K213" s="6">
        <v>8</v>
      </c>
      <c r="L213" s="2">
        <v>1.99</v>
      </c>
      <c r="M213" s="6">
        <v>49</v>
      </c>
      <c r="N213" t="str" cm="1">
        <f t="array" ref="N213">_xlfn.IFS(M213&gt;=50,"50-60 Days", M213&gt;=40,"40-50 Days", M213&gt;=30, "30-40 Days", M213&gt;=20, "20-30 Days", M213&gt;=10, "10-20 Days", M213&gt;=0, "0-10 Days")</f>
        <v>40-50 Days</v>
      </c>
    </row>
    <row r="214" spans="1:14">
      <c r="A214">
        <v>213</v>
      </c>
      <c r="B214" t="s">
        <v>29</v>
      </c>
      <c r="C214" s="5">
        <v>45183</v>
      </c>
      <c r="D214" s="8">
        <v>45183</v>
      </c>
      <c r="E214" s="8" t="str">
        <f>IF(B214="Inactive", EDATE(D214,K214), "")</f>
        <v/>
      </c>
      <c r="F214" t="s">
        <v>10</v>
      </c>
      <c r="G214">
        <v>10.8</v>
      </c>
      <c r="H214" t="str" cm="1">
        <f t="array" ref="H214">_xlfn.IFS(G214&gt;=20,"20-25", G214&gt;=15,"15-20", G214&gt;=10,"10-15", G214&gt;=5,"5-10", G214&gt;=1,"1-5", G214&lt;1,"Less than 1")</f>
        <v>10-15</v>
      </c>
      <c r="I214">
        <v>2</v>
      </c>
      <c r="J214">
        <v>1</v>
      </c>
      <c r="K214" s="6">
        <v>12</v>
      </c>
      <c r="L214" s="2">
        <v>6.99</v>
      </c>
      <c r="M214" s="6">
        <v>51</v>
      </c>
      <c r="N214" t="str" cm="1">
        <f t="array" ref="N214">_xlfn.IFS(M214&gt;=50,"50-60 Days", M214&gt;=40,"40-50 Days", M214&gt;=30, "30-40 Days", M214&gt;=20, "20-30 Days", M214&gt;=10, "10-20 Days", M214&gt;=0, "0-10 Days")</f>
        <v>50-60 Days</v>
      </c>
    </row>
    <row r="215" spans="1:14">
      <c r="A215">
        <v>214</v>
      </c>
      <c r="B215" t="s">
        <v>29</v>
      </c>
      <c r="C215" s="5">
        <v>45054</v>
      </c>
      <c r="D215" s="8">
        <v>45054</v>
      </c>
      <c r="E215" s="8" t="str">
        <f>IF(B215="Inactive", EDATE(D215,K215), "")</f>
        <v/>
      </c>
      <c r="F215" t="s">
        <v>12</v>
      </c>
      <c r="G215">
        <v>21.9</v>
      </c>
      <c r="H215" t="str" cm="1">
        <f t="array" ref="H215">_xlfn.IFS(G215&gt;=20,"20-25", G215&gt;=15,"15-20", G215&gt;=10,"10-15", G215&gt;=5,"5-10", G215&gt;=1,"1-5", G215&lt;1,"Less than 1")</f>
        <v>20-25</v>
      </c>
      <c r="I215">
        <v>8</v>
      </c>
      <c r="J215">
        <v>0</v>
      </c>
      <c r="K215" s="6">
        <v>11</v>
      </c>
      <c r="L215" s="2">
        <v>1.99</v>
      </c>
      <c r="M215" s="6">
        <v>45</v>
      </c>
      <c r="N215" t="str" cm="1">
        <f t="array" ref="N215">_xlfn.IFS(M215&gt;=50,"50-60 Days", M215&gt;=40,"40-50 Days", M215&gt;=30, "30-40 Days", M215&gt;=20, "20-30 Days", M215&gt;=10, "10-20 Days", M215&gt;=0, "0-10 Days")</f>
        <v>40-50 Days</v>
      </c>
    </row>
    <row r="216" spans="1:14">
      <c r="A216">
        <v>215</v>
      </c>
      <c r="B216" t="s">
        <v>28</v>
      </c>
      <c r="C216" s="5">
        <v>45374</v>
      </c>
      <c r="D216" s="8">
        <v>45374</v>
      </c>
      <c r="E216" s="8">
        <f>IF(B216="Inactive", EDATE(D216,K216), "")</f>
        <v>45435</v>
      </c>
      <c r="F216" t="s">
        <v>14</v>
      </c>
      <c r="G216">
        <v>19.2</v>
      </c>
      <c r="H216" t="str" cm="1">
        <f t="array" ref="H216">_xlfn.IFS(G216&gt;=20,"20-25", G216&gt;=15,"15-20", G216&gt;=10,"10-15", G216&gt;=5,"5-10", G216&gt;=1,"1-5", G216&lt;1,"Less than 1")</f>
        <v>15-20</v>
      </c>
      <c r="I216">
        <v>4</v>
      </c>
      <c r="J216">
        <v>3</v>
      </c>
      <c r="K216" s="6">
        <v>2</v>
      </c>
      <c r="L216" s="2">
        <v>3.99</v>
      </c>
      <c r="M216" s="6">
        <v>57</v>
      </c>
      <c r="N216" t="str" cm="1">
        <f t="array" ref="N216">_xlfn.IFS(M216&gt;=50,"50-60 Days", M216&gt;=40,"40-50 Days", M216&gt;=30, "30-40 Days", M216&gt;=20, "20-30 Days", M216&gt;=10, "10-20 Days", M216&gt;=0, "0-10 Days")</f>
        <v>50-60 Days</v>
      </c>
    </row>
    <row r="217" spans="1:14">
      <c r="A217">
        <v>216</v>
      </c>
      <c r="B217" t="s">
        <v>28</v>
      </c>
      <c r="C217" s="5">
        <v>45441</v>
      </c>
      <c r="D217" s="8">
        <v>45441</v>
      </c>
      <c r="E217" s="8">
        <f>IF(B217="Inactive", EDATE(D217,K217), "")</f>
        <v>45594</v>
      </c>
      <c r="F217" t="s">
        <v>12</v>
      </c>
      <c r="G217">
        <v>20.5</v>
      </c>
      <c r="H217" t="str" cm="1">
        <f t="array" ref="H217">_xlfn.IFS(G217&gt;=20,"20-25", G217&gt;=15,"15-20", G217&gt;=10,"10-15", G217&gt;=5,"5-10", G217&gt;=1,"1-5", G217&lt;1,"Less than 1")</f>
        <v>20-25</v>
      </c>
      <c r="I217">
        <v>5</v>
      </c>
      <c r="J217">
        <v>0</v>
      </c>
      <c r="K217" s="6">
        <v>5</v>
      </c>
      <c r="L217" s="2">
        <v>1.99</v>
      </c>
      <c r="M217" s="6">
        <v>26</v>
      </c>
      <c r="N217" t="str" cm="1">
        <f t="array" ref="N217">_xlfn.IFS(M217&gt;=50,"50-60 Days", M217&gt;=40,"40-50 Days", M217&gt;=30, "30-40 Days", M217&gt;=20, "20-30 Days", M217&gt;=10, "10-20 Days", M217&gt;=0, "0-10 Days")</f>
        <v>20-30 Days</v>
      </c>
    </row>
    <row r="218" spans="1:14">
      <c r="A218">
        <v>217</v>
      </c>
      <c r="B218" t="s">
        <v>28</v>
      </c>
      <c r="C218" s="5">
        <v>45028</v>
      </c>
      <c r="D218" s="8">
        <v>45028</v>
      </c>
      <c r="E218" s="8">
        <f>IF(B218="Inactive", EDATE(D218,K218), "")</f>
        <v>45211</v>
      </c>
      <c r="F218" t="s">
        <v>14</v>
      </c>
      <c r="G218">
        <v>10</v>
      </c>
      <c r="H218" t="str" cm="1">
        <f t="array" ref="H218">_xlfn.IFS(G218&gt;=20,"20-25", G218&gt;=15,"15-20", G218&gt;=10,"10-15", G218&gt;=5,"5-10", G218&gt;=1,"1-5", G218&lt;1,"Less than 1")</f>
        <v>10-15</v>
      </c>
      <c r="I218">
        <v>1</v>
      </c>
      <c r="J218">
        <v>2</v>
      </c>
      <c r="K218" s="6">
        <v>6</v>
      </c>
      <c r="L218" s="2">
        <v>3.99</v>
      </c>
      <c r="M218" s="6">
        <v>14</v>
      </c>
      <c r="N218" t="str" cm="1">
        <f t="array" ref="N218">_xlfn.IFS(M218&gt;=50,"50-60 Days", M218&gt;=40,"40-50 Days", M218&gt;=30, "30-40 Days", M218&gt;=20, "20-30 Days", M218&gt;=10, "10-20 Days", M218&gt;=0, "0-10 Days")</f>
        <v>10-20 Days</v>
      </c>
    </row>
    <row r="219" spans="1:14">
      <c r="A219">
        <v>218</v>
      </c>
      <c r="B219" t="s">
        <v>29</v>
      </c>
      <c r="C219" s="5">
        <v>45410</v>
      </c>
      <c r="D219" s="8">
        <v>45410</v>
      </c>
      <c r="E219" s="8" t="str">
        <f>IF(B219="Inactive", EDATE(D219,K219), "")</f>
        <v/>
      </c>
      <c r="F219" t="s">
        <v>10</v>
      </c>
      <c r="G219">
        <v>19.899999999999999</v>
      </c>
      <c r="H219" t="str" cm="1">
        <f t="array" ref="H219">_xlfn.IFS(G219&gt;=20,"20-25", G219&gt;=15,"15-20", G219&gt;=10,"10-15", G219&gt;=5,"5-10", G219&gt;=1,"1-5", G219&lt;1,"Less than 1")</f>
        <v>15-20</v>
      </c>
      <c r="I219">
        <v>2</v>
      </c>
      <c r="J219">
        <v>0</v>
      </c>
      <c r="K219" s="6">
        <v>8</v>
      </c>
      <c r="L219" s="2">
        <v>6.99</v>
      </c>
      <c r="M219" s="6">
        <v>18</v>
      </c>
      <c r="N219" t="str" cm="1">
        <f t="array" ref="N219">_xlfn.IFS(M219&gt;=50,"50-60 Days", M219&gt;=40,"40-50 Days", M219&gt;=30, "30-40 Days", M219&gt;=20, "20-30 Days", M219&gt;=10, "10-20 Days", M219&gt;=0, "0-10 Days")</f>
        <v>10-20 Days</v>
      </c>
    </row>
    <row r="220" spans="1:14">
      <c r="A220">
        <v>219</v>
      </c>
      <c r="B220" t="s">
        <v>28</v>
      </c>
      <c r="C220" s="5">
        <v>45008</v>
      </c>
      <c r="D220" s="8">
        <v>45008</v>
      </c>
      <c r="E220" s="8">
        <f>IF(B220="Inactive", EDATE(D220,K220), "")</f>
        <v>45100</v>
      </c>
      <c r="F220" t="s">
        <v>10</v>
      </c>
      <c r="G220">
        <v>19.100000000000001</v>
      </c>
      <c r="H220" t="str" cm="1">
        <f t="array" ref="H220">_xlfn.IFS(G220&gt;=20,"20-25", G220&gt;=15,"15-20", G220&gt;=10,"10-15", G220&gt;=5,"5-10", G220&gt;=1,"1-5", G220&lt;1,"Less than 1")</f>
        <v>15-20</v>
      </c>
      <c r="I220">
        <v>7</v>
      </c>
      <c r="J220">
        <v>3</v>
      </c>
      <c r="K220" s="6">
        <v>3</v>
      </c>
      <c r="L220" s="2">
        <v>6.99</v>
      </c>
      <c r="M220" s="6">
        <v>39</v>
      </c>
      <c r="N220" t="str" cm="1">
        <f t="array" ref="N220">_xlfn.IFS(M220&gt;=50,"50-60 Days", M220&gt;=40,"40-50 Days", M220&gt;=30, "30-40 Days", M220&gt;=20, "20-30 Days", M220&gt;=10, "10-20 Days", M220&gt;=0, "0-10 Days")</f>
        <v>30-40 Days</v>
      </c>
    </row>
    <row r="221" spans="1:14">
      <c r="A221">
        <v>220</v>
      </c>
      <c r="B221" t="s">
        <v>29</v>
      </c>
      <c r="C221" s="5">
        <v>45467</v>
      </c>
      <c r="D221" s="8">
        <v>45467</v>
      </c>
      <c r="E221" s="8" t="str">
        <f>IF(B221="Inactive", EDATE(D221,K221), "")</f>
        <v/>
      </c>
      <c r="F221" t="s">
        <v>12</v>
      </c>
      <c r="G221">
        <v>5.8</v>
      </c>
      <c r="H221" t="str" cm="1">
        <f t="array" ref="H221">_xlfn.IFS(G221&gt;=20,"20-25", G221&gt;=15,"15-20", G221&gt;=10,"10-15", G221&gt;=5,"5-10", G221&gt;=1,"1-5", G221&lt;1,"Less than 1")</f>
        <v>5-10</v>
      </c>
      <c r="I221">
        <v>2</v>
      </c>
      <c r="J221">
        <v>4</v>
      </c>
      <c r="K221" s="6">
        <v>6</v>
      </c>
      <c r="L221" s="2">
        <v>1.99</v>
      </c>
      <c r="M221" s="6">
        <v>60</v>
      </c>
      <c r="N221" t="str" cm="1">
        <f t="array" ref="N221">_xlfn.IFS(M221&gt;=50,"50-60 Days", M221&gt;=40,"40-50 Days", M221&gt;=30, "30-40 Days", M221&gt;=20, "20-30 Days", M221&gt;=10, "10-20 Days", M221&gt;=0, "0-10 Days")</f>
        <v>50-60 Days</v>
      </c>
    </row>
    <row r="222" spans="1:14">
      <c r="A222">
        <v>221</v>
      </c>
      <c r="B222" t="s">
        <v>28</v>
      </c>
      <c r="C222" s="5">
        <v>45356</v>
      </c>
      <c r="D222" s="8">
        <v>45356</v>
      </c>
      <c r="E222" s="8">
        <f>IF(B222="Inactive", EDATE(D222,K222), "")</f>
        <v>45448</v>
      </c>
      <c r="F222" t="s">
        <v>14</v>
      </c>
      <c r="G222">
        <v>19.5</v>
      </c>
      <c r="H222" t="str" cm="1">
        <f t="array" ref="H222">_xlfn.IFS(G222&gt;=20,"20-25", G222&gt;=15,"15-20", G222&gt;=10,"10-15", G222&gt;=5,"5-10", G222&gt;=1,"1-5", G222&lt;1,"Less than 1")</f>
        <v>15-20</v>
      </c>
      <c r="I222">
        <v>3</v>
      </c>
      <c r="J222">
        <v>2</v>
      </c>
      <c r="K222" s="6">
        <v>3</v>
      </c>
      <c r="L222" s="2">
        <v>3.99</v>
      </c>
      <c r="M222" s="6">
        <v>7</v>
      </c>
      <c r="N222" t="str" cm="1">
        <f t="array" ref="N222">_xlfn.IFS(M222&gt;=50,"50-60 Days", M222&gt;=40,"40-50 Days", M222&gt;=30, "30-40 Days", M222&gt;=20, "20-30 Days", M222&gt;=10, "10-20 Days", M222&gt;=0, "0-10 Days")</f>
        <v>0-10 Days</v>
      </c>
    </row>
    <row r="223" spans="1:14">
      <c r="A223">
        <v>222</v>
      </c>
      <c r="B223" t="s">
        <v>28</v>
      </c>
      <c r="C223" s="5">
        <v>45454</v>
      </c>
      <c r="D223" s="8">
        <v>45454</v>
      </c>
      <c r="E223" s="8">
        <f>IF(B223="Inactive", EDATE(D223,K223), "")</f>
        <v>45758</v>
      </c>
      <c r="F223" t="s">
        <v>10</v>
      </c>
      <c r="G223">
        <v>2</v>
      </c>
      <c r="H223" t="str" cm="1">
        <f t="array" ref="H223">_xlfn.IFS(G223&gt;=20,"20-25", G223&gt;=15,"15-20", G223&gt;=10,"10-15", G223&gt;=5,"5-10", G223&gt;=1,"1-5", G223&lt;1,"Less than 1")</f>
        <v>1-5</v>
      </c>
      <c r="I223">
        <v>7</v>
      </c>
      <c r="J223">
        <v>4</v>
      </c>
      <c r="K223" s="6">
        <v>10</v>
      </c>
      <c r="L223" s="2">
        <v>6.99</v>
      </c>
      <c r="M223" s="6">
        <v>34</v>
      </c>
      <c r="N223" t="str" cm="1">
        <f t="array" ref="N223">_xlfn.IFS(M223&gt;=50,"50-60 Days", M223&gt;=40,"40-50 Days", M223&gt;=30, "30-40 Days", M223&gt;=20, "20-30 Days", M223&gt;=10, "10-20 Days", M223&gt;=0, "0-10 Days")</f>
        <v>30-40 Days</v>
      </c>
    </row>
    <row r="224" spans="1:14">
      <c r="A224">
        <v>223</v>
      </c>
      <c r="B224" t="s">
        <v>29</v>
      </c>
      <c r="C224" s="5">
        <v>45173</v>
      </c>
      <c r="D224" s="8">
        <v>45173</v>
      </c>
      <c r="E224" s="8" t="str">
        <f>IF(B224="Inactive", EDATE(D224,K224), "")</f>
        <v/>
      </c>
      <c r="F224" t="s">
        <v>10</v>
      </c>
      <c r="G224">
        <v>18.100000000000001</v>
      </c>
      <c r="H224" t="str" cm="1">
        <f t="array" ref="H224">_xlfn.IFS(G224&gt;=20,"20-25", G224&gt;=15,"15-20", G224&gt;=10,"10-15", G224&gt;=5,"5-10", G224&gt;=1,"1-5", G224&lt;1,"Less than 1")</f>
        <v>15-20</v>
      </c>
      <c r="I224">
        <v>4</v>
      </c>
      <c r="J224">
        <v>3</v>
      </c>
      <c r="K224" s="6">
        <v>6</v>
      </c>
      <c r="L224" s="2">
        <v>6.99</v>
      </c>
      <c r="M224" s="6">
        <v>0</v>
      </c>
      <c r="N224" t="str" cm="1">
        <f t="array" ref="N224">_xlfn.IFS(M224&gt;=50,"50-60 Days", M224&gt;=40,"40-50 Days", M224&gt;=30, "30-40 Days", M224&gt;=20, "20-30 Days", M224&gt;=10, "10-20 Days", M224&gt;=0, "0-10 Days")</f>
        <v>0-10 Days</v>
      </c>
    </row>
    <row r="225" spans="1:14">
      <c r="A225">
        <v>224</v>
      </c>
      <c r="B225" t="s">
        <v>28</v>
      </c>
      <c r="C225" s="5">
        <v>45465</v>
      </c>
      <c r="D225" s="8">
        <v>45465</v>
      </c>
      <c r="E225" s="8">
        <f>IF(B225="Inactive", EDATE(D225,K225), "")</f>
        <v>45738</v>
      </c>
      <c r="F225" t="s">
        <v>10</v>
      </c>
      <c r="G225">
        <v>5.0999999999999996</v>
      </c>
      <c r="H225" t="str" cm="1">
        <f t="array" ref="H225">_xlfn.IFS(G225&gt;=20,"20-25", G225&gt;=15,"15-20", G225&gt;=10,"10-15", G225&gt;=5,"5-10", G225&gt;=1,"1-5", G225&lt;1,"Less than 1")</f>
        <v>5-10</v>
      </c>
      <c r="I225">
        <v>1</v>
      </c>
      <c r="J225">
        <v>4</v>
      </c>
      <c r="K225" s="6">
        <v>9</v>
      </c>
      <c r="L225" s="2">
        <v>6.99</v>
      </c>
      <c r="M225" s="6">
        <v>23</v>
      </c>
      <c r="N225" t="str" cm="1">
        <f t="array" ref="N225">_xlfn.IFS(M225&gt;=50,"50-60 Days", M225&gt;=40,"40-50 Days", M225&gt;=30, "30-40 Days", M225&gt;=20, "20-30 Days", M225&gt;=10, "10-20 Days", M225&gt;=0, "0-10 Days")</f>
        <v>20-30 Days</v>
      </c>
    </row>
    <row r="226" spans="1:14">
      <c r="A226">
        <v>225</v>
      </c>
      <c r="B226" t="s">
        <v>28</v>
      </c>
      <c r="C226" s="5">
        <v>45408</v>
      </c>
      <c r="D226" s="8">
        <v>45408</v>
      </c>
      <c r="E226" s="8">
        <f>IF(B226="Inactive", EDATE(D226,K226), "")</f>
        <v>45742</v>
      </c>
      <c r="F226" t="s">
        <v>10</v>
      </c>
      <c r="G226">
        <v>19.8</v>
      </c>
      <c r="H226" t="str" cm="1">
        <f t="array" ref="H226">_xlfn.IFS(G226&gt;=20,"20-25", G226&gt;=15,"15-20", G226&gt;=10,"10-15", G226&gt;=5,"5-10", G226&gt;=1,"1-5", G226&lt;1,"Less than 1")</f>
        <v>15-20</v>
      </c>
      <c r="I226">
        <v>8</v>
      </c>
      <c r="J226">
        <v>4</v>
      </c>
      <c r="K226" s="6">
        <v>11</v>
      </c>
      <c r="L226" s="2">
        <v>6.99</v>
      </c>
      <c r="M226" s="6">
        <v>1</v>
      </c>
      <c r="N226" t="str" cm="1">
        <f t="array" ref="N226">_xlfn.IFS(M226&gt;=50,"50-60 Days", M226&gt;=40,"40-50 Days", M226&gt;=30, "30-40 Days", M226&gt;=20, "20-30 Days", M226&gt;=10, "10-20 Days", M226&gt;=0, "0-10 Days")</f>
        <v>0-10 Days</v>
      </c>
    </row>
    <row r="227" spans="1:14">
      <c r="A227">
        <v>226</v>
      </c>
      <c r="B227" t="s">
        <v>28</v>
      </c>
      <c r="C227" s="5">
        <v>44996</v>
      </c>
      <c r="D227" s="8">
        <v>44996</v>
      </c>
      <c r="E227" s="8">
        <f>IF(B227="Inactive", EDATE(D227,K227), "")</f>
        <v>45271</v>
      </c>
      <c r="F227" t="s">
        <v>12</v>
      </c>
      <c r="G227">
        <v>24.5</v>
      </c>
      <c r="H227" t="str" cm="1">
        <f t="array" ref="H227">_xlfn.IFS(G227&gt;=20,"20-25", G227&gt;=15,"15-20", G227&gt;=10,"10-15", G227&gt;=5,"5-10", G227&gt;=1,"1-5", G227&lt;1,"Less than 1")</f>
        <v>20-25</v>
      </c>
      <c r="I227">
        <v>4</v>
      </c>
      <c r="J227">
        <v>5</v>
      </c>
      <c r="K227" s="6">
        <v>9</v>
      </c>
      <c r="L227" s="2">
        <v>1.99</v>
      </c>
      <c r="M227" s="6">
        <v>1</v>
      </c>
      <c r="N227" t="str" cm="1">
        <f t="array" ref="N227">_xlfn.IFS(M227&gt;=50,"50-60 Days", M227&gt;=40,"40-50 Days", M227&gt;=30, "30-40 Days", M227&gt;=20, "20-30 Days", M227&gt;=10, "10-20 Days", M227&gt;=0, "0-10 Days")</f>
        <v>0-10 Days</v>
      </c>
    </row>
    <row r="228" spans="1:14">
      <c r="A228">
        <v>227</v>
      </c>
      <c r="B228" t="s">
        <v>29</v>
      </c>
      <c r="C228" s="5">
        <v>45063</v>
      </c>
      <c r="D228" s="8">
        <v>45063</v>
      </c>
      <c r="E228" s="8" t="str">
        <f>IF(B228="Inactive", EDATE(D228,K228), "")</f>
        <v/>
      </c>
      <c r="F228" t="s">
        <v>14</v>
      </c>
      <c r="G228">
        <v>18.5</v>
      </c>
      <c r="H228" t="str" cm="1">
        <f t="array" ref="H228">_xlfn.IFS(G228&gt;=20,"20-25", G228&gt;=15,"15-20", G228&gt;=10,"10-15", G228&gt;=5,"5-10", G228&gt;=1,"1-5", G228&lt;1,"Less than 1")</f>
        <v>15-20</v>
      </c>
      <c r="I228">
        <v>1</v>
      </c>
      <c r="J228">
        <v>4</v>
      </c>
      <c r="K228" s="6">
        <v>6</v>
      </c>
      <c r="L228" s="2">
        <v>3.99</v>
      </c>
      <c r="M228" s="6">
        <v>47</v>
      </c>
      <c r="N228" t="str" cm="1">
        <f t="array" ref="N228">_xlfn.IFS(M228&gt;=50,"50-60 Days", M228&gt;=40,"40-50 Days", M228&gt;=30, "30-40 Days", M228&gt;=20, "20-30 Days", M228&gt;=10, "10-20 Days", M228&gt;=0, "0-10 Days")</f>
        <v>40-50 Days</v>
      </c>
    </row>
    <row r="229" spans="1:14">
      <c r="A229">
        <v>228</v>
      </c>
      <c r="B229" t="s">
        <v>29</v>
      </c>
      <c r="C229" s="5">
        <v>45417</v>
      </c>
      <c r="D229" s="8">
        <v>45417</v>
      </c>
      <c r="E229" s="8" t="str">
        <f>IF(B229="Inactive", EDATE(D229,K229), "")</f>
        <v/>
      </c>
      <c r="F229" t="s">
        <v>12</v>
      </c>
      <c r="G229">
        <v>13.9</v>
      </c>
      <c r="H229" t="str" cm="1">
        <f t="array" ref="H229">_xlfn.IFS(G229&gt;=20,"20-25", G229&gt;=15,"15-20", G229&gt;=10,"10-15", G229&gt;=5,"5-10", G229&gt;=1,"1-5", G229&lt;1,"Less than 1")</f>
        <v>10-15</v>
      </c>
      <c r="I229">
        <v>2</v>
      </c>
      <c r="J229">
        <v>5</v>
      </c>
      <c r="K229" s="6">
        <v>8</v>
      </c>
      <c r="L229" s="2">
        <v>1.99</v>
      </c>
      <c r="M229" s="6">
        <v>29</v>
      </c>
      <c r="N229" t="str" cm="1">
        <f t="array" ref="N229">_xlfn.IFS(M229&gt;=50,"50-60 Days", M229&gt;=40,"40-50 Days", M229&gt;=30, "30-40 Days", M229&gt;=20, "20-30 Days", M229&gt;=10, "10-20 Days", M229&gt;=0, "0-10 Days")</f>
        <v>20-30 Days</v>
      </c>
    </row>
    <row r="230" spans="1:14">
      <c r="A230">
        <v>229</v>
      </c>
      <c r="B230" t="s">
        <v>29</v>
      </c>
      <c r="C230" s="5">
        <v>44964</v>
      </c>
      <c r="D230" s="8">
        <v>44964</v>
      </c>
      <c r="E230" s="8" t="str">
        <f>IF(B230="Inactive", EDATE(D230,K230), "")</f>
        <v/>
      </c>
      <c r="F230" t="s">
        <v>10</v>
      </c>
      <c r="G230">
        <v>20.399999999999999</v>
      </c>
      <c r="H230" t="str" cm="1">
        <f t="array" ref="H230">_xlfn.IFS(G230&gt;=20,"20-25", G230&gt;=15,"15-20", G230&gt;=10,"10-15", G230&gt;=5,"5-10", G230&gt;=1,"1-5", G230&lt;1,"Less than 1")</f>
        <v>20-25</v>
      </c>
      <c r="I230">
        <v>1</v>
      </c>
      <c r="J230">
        <v>5</v>
      </c>
      <c r="K230" s="6">
        <v>4</v>
      </c>
      <c r="L230" s="2">
        <v>6.99</v>
      </c>
      <c r="M230" s="6">
        <v>49</v>
      </c>
      <c r="N230" t="str" cm="1">
        <f t="array" ref="N230">_xlfn.IFS(M230&gt;=50,"50-60 Days", M230&gt;=40,"40-50 Days", M230&gt;=30, "30-40 Days", M230&gt;=20, "20-30 Days", M230&gt;=10, "10-20 Days", M230&gt;=0, "0-10 Days")</f>
        <v>40-50 Days</v>
      </c>
    </row>
    <row r="231" spans="1:14">
      <c r="A231">
        <v>230</v>
      </c>
      <c r="B231" t="s">
        <v>29</v>
      </c>
      <c r="C231" s="5">
        <v>45454</v>
      </c>
      <c r="D231" s="8">
        <v>45454</v>
      </c>
      <c r="E231" s="8" t="str">
        <f>IF(B231="Inactive", EDATE(D231,K231), "")</f>
        <v/>
      </c>
      <c r="F231" t="s">
        <v>14</v>
      </c>
      <c r="G231">
        <v>1.6</v>
      </c>
      <c r="H231" t="str" cm="1">
        <f t="array" ref="H231">_xlfn.IFS(G231&gt;=20,"20-25", G231&gt;=15,"15-20", G231&gt;=10,"10-15", G231&gt;=5,"5-10", G231&gt;=1,"1-5", G231&lt;1,"Less than 1")</f>
        <v>1-5</v>
      </c>
      <c r="I231">
        <v>3</v>
      </c>
      <c r="J231">
        <v>0</v>
      </c>
      <c r="K231" s="6">
        <v>5</v>
      </c>
      <c r="L231" s="2">
        <v>3.99</v>
      </c>
      <c r="M231" s="6">
        <v>20</v>
      </c>
      <c r="N231" t="str" cm="1">
        <f t="array" ref="N231">_xlfn.IFS(M231&gt;=50,"50-60 Days", M231&gt;=40,"40-50 Days", M231&gt;=30, "30-40 Days", M231&gt;=20, "20-30 Days", M231&gt;=10, "10-20 Days", M231&gt;=0, "0-10 Days")</f>
        <v>20-30 Days</v>
      </c>
    </row>
    <row r="232" spans="1:14">
      <c r="A232">
        <v>231</v>
      </c>
      <c r="B232" t="s">
        <v>28</v>
      </c>
      <c r="C232" s="5">
        <v>44975</v>
      </c>
      <c r="D232" s="8">
        <v>44975</v>
      </c>
      <c r="E232" s="8">
        <f>IF(B232="Inactive", EDATE(D232,K232), "")</f>
        <v>45340</v>
      </c>
      <c r="F232" t="s">
        <v>14</v>
      </c>
      <c r="G232">
        <v>12.1</v>
      </c>
      <c r="H232" t="str" cm="1">
        <f t="array" ref="H232">_xlfn.IFS(G232&gt;=20,"20-25", G232&gt;=15,"15-20", G232&gt;=10,"10-15", G232&gt;=5,"5-10", G232&gt;=1,"1-5", G232&lt;1,"Less than 1")</f>
        <v>10-15</v>
      </c>
      <c r="I232">
        <v>0</v>
      </c>
      <c r="J232">
        <v>5</v>
      </c>
      <c r="K232" s="6">
        <v>12</v>
      </c>
      <c r="L232" s="2">
        <v>3.99</v>
      </c>
      <c r="M232" s="6">
        <v>12</v>
      </c>
      <c r="N232" t="str" cm="1">
        <f t="array" ref="N232">_xlfn.IFS(M232&gt;=50,"50-60 Days", M232&gt;=40,"40-50 Days", M232&gt;=30, "30-40 Days", M232&gt;=20, "20-30 Days", M232&gt;=10, "10-20 Days", M232&gt;=0, "0-10 Days")</f>
        <v>10-20 Days</v>
      </c>
    </row>
    <row r="233" spans="1:14">
      <c r="A233">
        <v>232</v>
      </c>
      <c r="B233" t="s">
        <v>28</v>
      </c>
      <c r="C233" s="5">
        <v>45377</v>
      </c>
      <c r="D233" s="8">
        <v>45377</v>
      </c>
      <c r="E233" s="8">
        <f>IF(B233="Inactive", EDATE(D233,K233), "")</f>
        <v>45622</v>
      </c>
      <c r="F233" t="s">
        <v>10</v>
      </c>
      <c r="G233">
        <v>7.2</v>
      </c>
      <c r="H233" t="str" cm="1">
        <f t="array" ref="H233">_xlfn.IFS(G233&gt;=20,"20-25", G233&gt;=15,"15-20", G233&gt;=10,"10-15", G233&gt;=5,"5-10", G233&gt;=1,"1-5", G233&lt;1,"Less than 1")</f>
        <v>5-10</v>
      </c>
      <c r="I233">
        <v>5</v>
      </c>
      <c r="J233">
        <v>3</v>
      </c>
      <c r="K233" s="6">
        <v>8</v>
      </c>
      <c r="L233" s="2">
        <v>6.99</v>
      </c>
      <c r="M233" s="6">
        <v>56</v>
      </c>
      <c r="N233" t="str" cm="1">
        <f t="array" ref="N233">_xlfn.IFS(M233&gt;=50,"50-60 Days", M233&gt;=40,"40-50 Days", M233&gt;=30, "30-40 Days", M233&gt;=20, "20-30 Days", M233&gt;=10, "10-20 Days", M233&gt;=0, "0-10 Days")</f>
        <v>50-60 Days</v>
      </c>
    </row>
    <row r="234" spans="1:14">
      <c r="A234">
        <v>233</v>
      </c>
      <c r="B234" t="s">
        <v>28</v>
      </c>
      <c r="C234" s="5">
        <v>45458</v>
      </c>
      <c r="D234" s="8">
        <v>45458</v>
      </c>
      <c r="E234" s="8">
        <f>IF(B234="Inactive", EDATE(D234,K234), "")</f>
        <v>45703</v>
      </c>
      <c r="F234" t="s">
        <v>14</v>
      </c>
      <c r="G234">
        <v>24.4</v>
      </c>
      <c r="H234" t="str" cm="1">
        <f t="array" ref="H234">_xlfn.IFS(G234&gt;=20,"20-25", G234&gt;=15,"15-20", G234&gt;=10,"10-15", G234&gt;=5,"5-10", G234&gt;=1,"1-5", G234&lt;1,"Less than 1")</f>
        <v>20-25</v>
      </c>
      <c r="I234">
        <v>7</v>
      </c>
      <c r="J234">
        <v>5</v>
      </c>
      <c r="K234" s="6">
        <v>8</v>
      </c>
      <c r="L234" s="2">
        <v>3.99</v>
      </c>
      <c r="M234" s="6">
        <v>31</v>
      </c>
      <c r="N234" t="str" cm="1">
        <f t="array" ref="N234">_xlfn.IFS(M234&gt;=50,"50-60 Days", M234&gt;=40,"40-50 Days", M234&gt;=30, "30-40 Days", M234&gt;=20, "20-30 Days", M234&gt;=10, "10-20 Days", M234&gt;=0, "0-10 Days")</f>
        <v>30-40 Days</v>
      </c>
    </row>
    <row r="235" spans="1:14">
      <c r="A235">
        <v>234</v>
      </c>
      <c r="B235" t="s">
        <v>29</v>
      </c>
      <c r="C235" s="5">
        <v>45111</v>
      </c>
      <c r="D235" s="8">
        <v>45111</v>
      </c>
      <c r="E235" s="8" t="str">
        <f>IF(B235="Inactive", EDATE(D235,K235), "")</f>
        <v/>
      </c>
      <c r="F235" t="s">
        <v>14</v>
      </c>
      <c r="G235">
        <v>18.3</v>
      </c>
      <c r="H235" t="str" cm="1">
        <f t="array" ref="H235">_xlfn.IFS(G235&gt;=20,"20-25", G235&gt;=15,"15-20", G235&gt;=10,"10-15", G235&gt;=5,"5-10", G235&gt;=1,"1-5", G235&lt;1,"Less than 1")</f>
        <v>15-20</v>
      </c>
      <c r="I235">
        <v>1</v>
      </c>
      <c r="J235">
        <v>3</v>
      </c>
      <c r="K235" s="6">
        <v>2</v>
      </c>
      <c r="L235" s="2">
        <v>3.99</v>
      </c>
      <c r="M235" s="6">
        <v>38</v>
      </c>
      <c r="N235" t="str" cm="1">
        <f t="array" ref="N235">_xlfn.IFS(M235&gt;=50,"50-60 Days", M235&gt;=40,"40-50 Days", M235&gt;=30, "30-40 Days", M235&gt;=20, "20-30 Days", M235&gt;=10, "10-20 Days", M235&gt;=0, "0-10 Days")</f>
        <v>30-40 Days</v>
      </c>
    </row>
    <row r="236" spans="1:14">
      <c r="A236">
        <v>235</v>
      </c>
      <c r="B236" t="s">
        <v>28</v>
      </c>
      <c r="C236" s="5">
        <v>45383</v>
      </c>
      <c r="D236" s="8">
        <v>45383</v>
      </c>
      <c r="E236" s="8">
        <f>IF(B236="Inactive", EDATE(D236,K236), "")</f>
        <v>45597</v>
      </c>
      <c r="F236" t="s">
        <v>10</v>
      </c>
      <c r="G236">
        <v>8.4</v>
      </c>
      <c r="H236" t="str" cm="1">
        <f t="array" ref="H236">_xlfn.IFS(G236&gt;=20,"20-25", G236&gt;=15,"15-20", G236&gt;=10,"10-15", G236&gt;=5,"5-10", G236&gt;=1,"1-5", G236&lt;1,"Less than 1")</f>
        <v>5-10</v>
      </c>
      <c r="I236">
        <v>1</v>
      </c>
      <c r="J236">
        <v>2</v>
      </c>
      <c r="K236" s="6">
        <v>7</v>
      </c>
      <c r="L236" s="2">
        <v>6.99</v>
      </c>
      <c r="M236" s="6">
        <v>42</v>
      </c>
      <c r="N236" t="str" cm="1">
        <f t="array" ref="N236">_xlfn.IFS(M236&gt;=50,"50-60 Days", M236&gt;=40,"40-50 Days", M236&gt;=30, "30-40 Days", M236&gt;=20, "20-30 Days", M236&gt;=10, "10-20 Days", M236&gt;=0, "0-10 Days")</f>
        <v>40-50 Days</v>
      </c>
    </row>
    <row r="237" spans="1:14">
      <c r="A237">
        <v>236</v>
      </c>
      <c r="B237" t="s">
        <v>28</v>
      </c>
      <c r="C237" s="5">
        <v>45288</v>
      </c>
      <c r="D237" s="8">
        <v>45288</v>
      </c>
      <c r="E237" s="8">
        <f>IF(B237="Inactive", EDATE(D237,K237), "")</f>
        <v>45593</v>
      </c>
      <c r="F237" t="s">
        <v>10</v>
      </c>
      <c r="G237">
        <v>4.5999999999999996</v>
      </c>
      <c r="H237" t="str" cm="1">
        <f t="array" ref="H237">_xlfn.IFS(G237&gt;=20,"20-25", G237&gt;=15,"15-20", G237&gt;=10,"10-15", G237&gt;=5,"5-10", G237&gt;=1,"1-5", G237&lt;1,"Less than 1")</f>
        <v>1-5</v>
      </c>
      <c r="I237">
        <v>7</v>
      </c>
      <c r="J237">
        <v>2</v>
      </c>
      <c r="K237" s="6">
        <v>10</v>
      </c>
      <c r="L237" s="2">
        <v>6.99</v>
      </c>
      <c r="M237" s="6">
        <v>28</v>
      </c>
      <c r="N237" t="str" cm="1">
        <f t="array" ref="N237">_xlfn.IFS(M237&gt;=50,"50-60 Days", M237&gt;=40,"40-50 Days", M237&gt;=30, "30-40 Days", M237&gt;=20, "20-30 Days", M237&gt;=10, "10-20 Days", M237&gt;=0, "0-10 Days")</f>
        <v>20-30 Days</v>
      </c>
    </row>
    <row r="238" spans="1:14">
      <c r="A238">
        <v>237</v>
      </c>
      <c r="B238" t="s">
        <v>29</v>
      </c>
      <c r="C238" s="5">
        <v>45299</v>
      </c>
      <c r="D238" s="8">
        <v>45299</v>
      </c>
      <c r="E238" s="8" t="str">
        <f>IF(B238="Inactive", EDATE(D238,K238), "")</f>
        <v/>
      </c>
      <c r="F238" t="s">
        <v>10</v>
      </c>
      <c r="G238">
        <v>7.2</v>
      </c>
      <c r="H238" t="str" cm="1">
        <f t="array" ref="H238">_xlfn.IFS(G238&gt;=20,"20-25", G238&gt;=15,"15-20", G238&gt;=10,"10-15", G238&gt;=5,"5-10", G238&gt;=1,"1-5", G238&lt;1,"Less than 1")</f>
        <v>5-10</v>
      </c>
      <c r="I238">
        <v>0</v>
      </c>
      <c r="J238">
        <v>0</v>
      </c>
      <c r="K238" s="6">
        <v>10</v>
      </c>
      <c r="L238" s="2">
        <v>6.99</v>
      </c>
      <c r="M238" s="6">
        <v>42</v>
      </c>
      <c r="N238" t="str" cm="1">
        <f t="array" ref="N238">_xlfn.IFS(M238&gt;=50,"50-60 Days", M238&gt;=40,"40-50 Days", M238&gt;=30, "30-40 Days", M238&gt;=20, "20-30 Days", M238&gt;=10, "10-20 Days", M238&gt;=0, "0-10 Days")</f>
        <v>40-50 Days</v>
      </c>
    </row>
    <row r="239" spans="1:14">
      <c r="A239">
        <v>238</v>
      </c>
      <c r="B239" t="s">
        <v>29</v>
      </c>
      <c r="C239" s="5">
        <v>44962</v>
      </c>
      <c r="D239" s="8">
        <v>44962</v>
      </c>
      <c r="E239" s="8" t="str">
        <f>IF(B239="Inactive", EDATE(D239,K239), "")</f>
        <v/>
      </c>
      <c r="F239" t="s">
        <v>10</v>
      </c>
      <c r="G239">
        <v>23.8</v>
      </c>
      <c r="H239" t="str" cm="1">
        <f t="array" ref="H239">_xlfn.IFS(G239&gt;=20,"20-25", G239&gt;=15,"15-20", G239&gt;=10,"10-15", G239&gt;=5,"5-10", G239&gt;=1,"1-5", G239&lt;1,"Less than 1")</f>
        <v>20-25</v>
      </c>
      <c r="I239">
        <v>2</v>
      </c>
      <c r="J239">
        <v>4</v>
      </c>
      <c r="K239" s="6">
        <v>4</v>
      </c>
      <c r="L239" s="2">
        <v>6.99</v>
      </c>
      <c r="M239" s="6">
        <v>43</v>
      </c>
      <c r="N239" t="str" cm="1">
        <f t="array" ref="N239">_xlfn.IFS(M239&gt;=50,"50-60 Days", M239&gt;=40,"40-50 Days", M239&gt;=30, "30-40 Days", M239&gt;=20, "20-30 Days", M239&gt;=10, "10-20 Days", M239&gt;=0, "0-10 Days")</f>
        <v>40-50 Days</v>
      </c>
    </row>
    <row r="240" spans="1:14">
      <c r="A240">
        <v>239</v>
      </c>
      <c r="B240" t="s">
        <v>29</v>
      </c>
      <c r="C240" s="5">
        <v>44960</v>
      </c>
      <c r="D240" s="8">
        <v>44960</v>
      </c>
      <c r="E240" s="8" t="str">
        <f>IF(B240="Inactive", EDATE(D240,K240), "")</f>
        <v/>
      </c>
      <c r="F240" t="s">
        <v>12</v>
      </c>
      <c r="G240">
        <v>6.3</v>
      </c>
      <c r="H240" t="str" cm="1">
        <f t="array" ref="H240">_xlfn.IFS(G240&gt;=20,"20-25", G240&gt;=15,"15-20", G240&gt;=10,"10-15", G240&gt;=5,"5-10", G240&gt;=1,"1-5", G240&lt;1,"Less than 1")</f>
        <v>5-10</v>
      </c>
      <c r="I240">
        <v>5</v>
      </c>
      <c r="J240">
        <v>2</v>
      </c>
      <c r="K240" s="6">
        <v>2</v>
      </c>
      <c r="L240" s="2">
        <v>1.99</v>
      </c>
      <c r="M240" s="6">
        <v>24</v>
      </c>
      <c r="N240" t="str" cm="1">
        <f t="array" ref="N240">_xlfn.IFS(M240&gt;=50,"50-60 Days", M240&gt;=40,"40-50 Days", M240&gt;=30, "30-40 Days", M240&gt;=20, "20-30 Days", M240&gt;=10, "10-20 Days", M240&gt;=0, "0-10 Days")</f>
        <v>20-30 Days</v>
      </c>
    </row>
    <row r="241" spans="1:14">
      <c r="A241">
        <v>240</v>
      </c>
      <c r="B241" t="s">
        <v>29</v>
      </c>
      <c r="C241" s="5">
        <v>45514</v>
      </c>
      <c r="D241" s="8">
        <v>45514</v>
      </c>
      <c r="E241" s="8" t="str">
        <f>IF(B241="Inactive", EDATE(D241,K241), "")</f>
        <v/>
      </c>
      <c r="F241" t="s">
        <v>10</v>
      </c>
      <c r="G241">
        <v>17.100000000000001</v>
      </c>
      <c r="H241" t="str" cm="1">
        <f t="array" ref="H241">_xlfn.IFS(G241&gt;=20,"20-25", G241&gt;=15,"15-20", G241&gt;=10,"10-15", G241&gt;=5,"5-10", G241&gt;=1,"1-5", G241&lt;1,"Less than 1")</f>
        <v>15-20</v>
      </c>
      <c r="I241">
        <v>5</v>
      </c>
      <c r="J241">
        <v>2</v>
      </c>
      <c r="K241" s="6">
        <v>4</v>
      </c>
      <c r="L241" s="2">
        <v>6.99</v>
      </c>
      <c r="M241" s="6">
        <v>28</v>
      </c>
      <c r="N241" t="str" cm="1">
        <f t="array" ref="N241">_xlfn.IFS(M241&gt;=50,"50-60 Days", M241&gt;=40,"40-50 Days", M241&gt;=30, "30-40 Days", M241&gt;=20, "20-30 Days", M241&gt;=10, "10-20 Days", M241&gt;=0, "0-10 Days")</f>
        <v>20-30 Days</v>
      </c>
    </row>
    <row r="242" spans="1:14">
      <c r="A242">
        <v>241</v>
      </c>
      <c r="B242" t="s">
        <v>28</v>
      </c>
      <c r="C242" s="5">
        <v>45043</v>
      </c>
      <c r="D242" s="8">
        <v>45043</v>
      </c>
      <c r="E242" s="8">
        <f>IF(B242="Inactive", EDATE(D242,K242), "")</f>
        <v>45409</v>
      </c>
      <c r="F242" t="s">
        <v>12</v>
      </c>
      <c r="G242">
        <v>9.5</v>
      </c>
      <c r="H242" t="str" cm="1">
        <f t="array" ref="H242">_xlfn.IFS(G242&gt;=20,"20-25", G242&gt;=15,"15-20", G242&gt;=10,"10-15", G242&gt;=5,"5-10", G242&gt;=1,"1-5", G242&lt;1,"Less than 1")</f>
        <v>5-10</v>
      </c>
      <c r="I242">
        <v>5</v>
      </c>
      <c r="J242">
        <v>5</v>
      </c>
      <c r="K242" s="6">
        <v>12</v>
      </c>
      <c r="L242" s="2">
        <v>1.99</v>
      </c>
      <c r="M242" s="6">
        <v>17</v>
      </c>
      <c r="N242" t="str" cm="1">
        <f t="array" ref="N242">_xlfn.IFS(M242&gt;=50,"50-60 Days", M242&gt;=40,"40-50 Days", M242&gt;=30, "30-40 Days", M242&gt;=20, "20-30 Days", M242&gt;=10, "10-20 Days", M242&gt;=0, "0-10 Days")</f>
        <v>10-20 Days</v>
      </c>
    </row>
    <row r="243" spans="1:14">
      <c r="A243">
        <v>242</v>
      </c>
      <c r="B243" t="s">
        <v>28</v>
      </c>
      <c r="C243" s="5">
        <v>45193</v>
      </c>
      <c r="D243" s="8">
        <v>45193</v>
      </c>
      <c r="E243" s="8">
        <f>IF(B243="Inactive", EDATE(D243,K243), "")</f>
        <v>45315</v>
      </c>
      <c r="F243" t="s">
        <v>12</v>
      </c>
      <c r="G243">
        <v>12.7</v>
      </c>
      <c r="H243" t="str" cm="1">
        <f t="array" ref="H243">_xlfn.IFS(G243&gt;=20,"20-25", G243&gt;=15,"15-20", G243&gt;=10,"10-15", G243&gt;=5,"5-10", G243&gt;=1,"1-5", G243&lt;1,"Less than 1")</f>
        <v>10-15</v>
      </c>
      <c r="I243">
        <v>6</v>
      </c>
      <c r="J243">
        <v>4</v>
      </c>
      <c r="K243" s="6">
        <v>4</v>
      </c>
      <c r="L243" s="2">
        <v>1.99</v>
      </c>
      <c r="M243" s="6">
        <v>7</v>
      </c>
      <c r="N243" t="str" cm="1">
        <f t="array" ref="N243">_xlfn.IFS(M243&gt;=50,"50-60 Days", M243&gt;=40,"40-50 Days", M243&gt;=30, "30-40 Days", M243&gt;=20, "20-30 Days", M243&gt;=10, "10-20 Days", M243&gt;=0, "0-10 Days")</f>
        <v>0-10 Days</v>
      </c>
    </row>
    <row r="244" spans="1:14">
      <c r="A244">
        <v>243</v>
      </c>
      <c r="B244" t="s">
        <v>29</v>
      </c>
      <c r="C244" s="5">
        <v>45131</v>
      </c>
      <c r="D244" s="8">
        <v>45131</v>
      </c>
      <c r="E244" s="8" t="str">
        <f>IF(B244="Inactive", EDATE(D244,K244), "")</f>
        <v/>
      </c>
      <c r="F244" t="s">
        <v>10</v>
      </c>
      <c r="G244">
        <v>5.8</v>
      </c>
      <c r="H244" t="str" cm="1">
        <f t="array" ref="H244">_xlfn.IFS(G244&gt;=20,"20-25", G244&gt;=15,"15-20", G244&gt;=10,"10-15", G244&gt;=5,"5-10", G244&gt;=1,"1-5", G244&lt;1,"Less than 1")</f>
        <v>5-10</v>
      </c>
      <c r="I244">
        <v>4</v>
      </c>
      <c r="J244">
        <v>5</v>
      </c>
      <c r="K244" s="6">
        <v>10</v>
      </c>
      <c r="L244" s="2">
        <v>6.99</v>
      </c>
      <c r="M244" s="6">
        <v>58</v>
      </c>
      <c r="N244" t="str" cm="1">
        <f t="array" ref="N244">_xlfn.IFS(M244&gt;=50,"50-60 Days", M244&gt;=40,"40-50 Days", M244&gt;=30, "30-40 Days", M244&gt;=20, "20-30 Days", M244&gt;=10, "10-20 Days", M244&gt;=0, "0-10 Days")</f>
        <v>50-60 Days</v>
      </c>
    </row>
    <row r="245" spans="1:14">
      <c r="A245">
        <v>244</v>
      </c>
      <c r="B245" t="s">
        <v>29</v>
      </c>
      <c r="C245" s="5">
        <v>45016</v>
      </c>
      <c r="D245" s="8">
        <v>45016</v>
      </c>
      <c r="E245" s="8" t="str">
        <f>IF(B245="Inactive", EDATE(D245,K245), "")</f>
        <v/>
      </c>
      <c r="F245" t="s">
        <v>12</v>
      </c>
      <c r="G245">
        <v>21.4</v>
      </c>
      <c r="H245" t="str" cm="1">
        <f t="array" ref="H245">_xlfn.IFS(G245&gt;=20,"20-25", G245&gt;=15,"15-20", G245&gt;=10,"10-15", G245&gt;=5,"5-10", G245&gt;=1,"1-5", G245&lt;1,"Less than 1")</f>
        <v>20-25</v>
      </c>
      <c r="I245">
        <v>7</v>
      </c>
      <c r="J245">
        <v>1</v>
      </c>
      <c r="K245" s="6">
        <v>3</v>
      </c>
      <c r="L245" s="2">
        <v>1.99</v>
      </c>
      <c r="M245" s="6">
        <v>57</v>
      </c>
      <c r="N245" t="str" cm="1">
        <f t="array" ref="N245">_xlfn.IFS(M245&gt;=50,"50-60 Days", M245&gt;=40,"40-50 Days", M245&gt;=30, "30-40 Days", M245&gt;=20, "20-30 Days", M245&gt;=10, "10-20 Days", M245&gt;=0, "0-10 Days")</f>
        <v>50-60 Days</v>
      </c>
    </row>
    <row r="246" spans="1:14">
      <c r="A246">
        <v>245</v>
      </c>
      <c r="B246" t="s">
        <v>28</v>
      </c>
      <c r="C246" s="5">
        <v>45234</v>
      </c>
      <c r="D246" s="8">
        <v>45234</v>
      </c>
      <c r="E246" s="8">
        <f>IF(B246="Inactive", EDATE(D246,K246), "")</f>
        <v>45447</v>
      </c>
      <c r="F246" t="s">
        <v>10</v>
      </c>
      <c r="G246">
        <v>16.899999999999999</v>
      </c>
      <c r="H246" t="str" cm="1">
        <f t="array" ref="H246">_xlfn.IFS(G246&gt;=20,"20-25", G246&gt;=15,"15-20", G246&gt;=10,"10-15", G246&gt;=5,"5-10", G246&gt;=1,"1-5", G246&lt;1,"Less than 1")</f>
        <v>15-20</v>
      </c>
      <c r="I246">
        <v>1</v>
      </c>
      <c r="J246">
        <v>4</v>
      </c>
      <c r="K246" s="6">
        <v>7</v>
      </c>
      <c r="L246" s="2">
        <v>6.99</v>
      </c>
      <c r="M246" s="6">
        <v>34</v>
      </c>
      <c r="N246" t="str" cm="1">
        <f t="array" ref="N246">_xlfn.IFS(M246&gt;=50,"50-60 Days", M246&gt;=40,"40-50 Days", M246&gt;=30, "30-40 Days", M246&gt;=20, "20-30 Days", M246&gt;=10, "10-20 Days", M246&gt;=0, "0-10 Days")</f>
        <v>30-40 Days</v>
      </c>
    </row>
    <row r="247" spans="1:14">
      <c r="A247">
        <v>246</v>
      </c>
      <c r="B247" t="s">
        <v>29</v>
      </c>
      <c r="C247" s="5">
        <v>45069</v>
      </c>
      <c r="D247" s="8">
        <v>45069</v>
      </c>
      <c r="E247" s="8" t="str">
        <f>IF(B247="Inactive", EDATE(D247,K247), "")</f>
        <v/>
      </c>
      <c r="F247" t="s">
        <v>12</v>
      </c>
      <c r="G247">
        <v>19.899999999999999</v>
      </c>
      <c r="H247" t="str" cm="1">
        <f t="array" ref="H247">_xlfn.IFS(G247&gt;=20,"20-25", G247&gt;=15,"15-20", G247&gt;=10,"10-15", G247&gt;=5,"5-10", G247&gt;=1,"1-5", G247&lt;1,"Less than 1")</f>
        <v>15-20</v>
      </c>
      <c r="I247">
        <v>8</v>
      </c>
      <c r="J247">
        <v>1</v>
      </c>
      <c r="K247" s="6">
        <v>4</v>
      </c>
      <c r="L247" s="2">
        <v>1.99</v>
      </c>
      <c r="M247" s="6">
        <v>7</v>
      </c>
      <c r="N247" t="str" cm="1">
        <f t="array" ref="N247">_xlfn.IFS(M247&gt;=50,"50-60 Days", M247&gt;=40,"40-50 Days", M247&gt;=30, "30-40 Days", M247&gt;=20, "20-30 Days", M247&gt;=10, "10-20 Days", M247&gt;=0, "0-10 Days")</f>
        <v>0-10 Days</v>
      </c>
    </row>
    <row r="248" spans="1:14">
      <c r="A248">
        <v>247</v>
      </c>
      <c r="B248" t="s">
        <v>28</v>
      </c>
      <c r="C248" s="5">
        <v>45491</v>
      </c>
      <c r="D248" s="8">
        <v>45491</v>
      </c>
      <c r="E248" s="8">
        <f>IF(B248="Inactive", EDATE(D248,K248), "")</f>
        <v>45826</v>
      </c>
      <c r="F248" t="s">
        <v>12</v>
      </c>
      <c r="G248">
        <v>1.1000000000000001</v>
      </c>
      <c r="H248" t="str" cm="1">
        <f t="array" ref="H248">_xlfn.IFS(G248&gt;=20,"20-25", G248&gt;=15,"15-20", G248&gt;=10,"10-15", G248&gt;=5,"5-10", G248&gt;=1,"1-5", G248&lt;1,"Less than 1")</f>
        <v>1-5</v>
      </c>
      <c r="I248">
        <v>8</v>
      </c>
      <c r="J248">
        <v>4</v>
      </c>
      <c r="K248" s="6">
        <v>11</v>
      </c>
      <c r="L248" s="2">
        <v>1.99</v>
      </c>
      <c r="M248" s="6">
        <v>23</v>
      </c>
      <c r="N248" t="str" cm="1">
        <f t="array" ref="N248">_xlfn.IFS(M248&gt;=50,"50-60 Days", M248&gt;=40,"40-50 Days", M248&gt;=30, "30-40 Days", M248&gt;=20, "20-30 Days", M248&gt;=10, "10-20 Days", M248&gt;=0, "0-10 Days")</f>
        <v>20-30 Days</v>
      </c>
    </row>
    <row r="249" spans="1:14">
      <c r="A249">
        <v>248</v>
      </c>
      <c r="B249" t="s">
        <v>28</v>
      </c>
      <c r="C249" s="5">
        <v>45347</v>
      </c>
      <c r="D249" s="8">
        <v>45347</v>
      </c>
      <c r="E249" s="8">
        <f>IF(B249="Inactive", EDATE(D249,K249), "")</f>
        <v>45407</v>
      </c>
      <c r="F249" t="s">
        <v>12</v>
      </c>
      <c r="G249">
        <v>2.1</v>
      </c>
      <c r="H249" t="str" cm="1">
        <f t="array" ref="H249">_xlfn.IFS(G249&gt;=20,"20-25", G249&gt;=15,"15-20", G249&gt;=10,"10-15", G249&gt;=5,"5-10", G249&gt;=1,"1-5", G249&lt;1,"Less than 1")</f>
        <v>1-5</v>
      </c>
      <c r="I249">
        <v>6</v>
      </c>
      <c r="J249">
        <v>5</v>
      </c>
      <c r="K249" s="6">
        <v>2</v>
      </c>
      <c r="L249" s="2">
        <v>1.99</v>
      </c>
      <c r="M249" s="6">
        <v>46</v>
      </c>
      <c r="N249" t="str" cm="1">
        <f t="array" ref="N249">_xlfn.IFS(M249&gt;=50,"50-60 Days", M249&gt;=40,"40-50 Days", M249&gt;=30, "30-40 Days", M249&gt;=20, "20-30 Days", M249&gt;=10, "10-20 Days", M249&gt;=0, "0-10 Days")</f>
        <v>40-50 Days</v>
      </c>
    </row>
    <row r="250" spans="1:14">
      <c r="A250">
        <v>249</v>
      </c>
      <c r="B250" t="s">
        <v>28</v>
      </c>
      <c r="C250" s="5">
        <v>45623</v>
      </c>
      <c r="D250" s="8">
        <v>45623</v>
      </c>
      <c r="E250" s="8">
        <f>IF(B250="Inactive", EDATE(D250,K250), "")</f>
        <v>45684</v>
      </c>
      <c r="F250" t="s">
        <v>14</v>
      </c>
      <c r="G250">
        <v>3.6</v>
      </c>
      <c r="H250" t="str" cm="1">
        <f t="array" ref="H250">_xlfn.IFS(G250&gt;=20,"20-25", G250&gt;=15,"15-20", G250&gt;=10,"10-15", G250&gt;=5,"5-10", G250&gt;=1,"1-5", G250&lt;1,"Less than 1")</f>
        <v>1-5</v>
      </c>
      <c r="I250">
        <v>5</v>
      </c>
      <c r="J250">
        <v>5</v>
      </c>
      <c r="K250" s="6">
        <v>2</v>
      </c>
      <c r="L250" s="2">
        <v>3.99</v>
      </c>
      <c r="M250" s="6">
        <v>4</v>
      </c>
      <c r="N250" t="str" cm="1">
        <f t="array" ref="N250">_xlfn.IFS(M250&gt;=50,"50-60 Days", M250&gt;=40,"40-50 Days", M250&gt;=30, "30-40 Days", M250&gt;=20, "20-30 Days", M250&gt;=10, "10-20 Days", M250&gt;=0, "0-10 Days")</f>
        <v>0-10 Days</v>
      </c>
    </row>
    <row r="251" spans="1:14">
      <c r="A251">
        <v>250</v>
      </c>
      <c r="B251" t="s">
        <v>28</v>
      </c>
      <c r="C251" s="5">
        <v>45059</v>
      </c>
      <c r="D251" s="8">
        <v>45059</v>
      </c>
      <c r="E251" s="8">
        <f>IF(B251="Inactive", EDATE(D251,K251), "")</f>
        <v>45304</v>
      </c>
      <c r="F251" t="s">
        <v>10</v>
      </c>
      <c r="G251">
        <v>3.6</v>
      </c>
      <c r="H251" t="str" cm="1">
        <f t="array" ref="H251">_xlfn.IFS(G251&gt;=20,"20-25", G251&gt;=15,"15-20", G251&gt;=10,"10-15", G251&gt;=5,"5-10", G251&gt;=1,"1-5", G251&lt;1,"Less than 1")</f>
        <v>1-5</v>
      </c>
      <c r="I251">
        <v>8</v>
      </c>
      <c r="J251">
        <v>5</v>
      </c>
      <c r="K251" s="6">
        <v>8</v>
      </c>
      <c r="L251" s="2">
        <v>6.99</v>
      </c>
      <c r="M251" s="6">
        <v>37</v>
      </c>
      <c r="N251" t="str" cm="1">
        <f t="array" ref="N251">_xlfn.IFS(M251&gt;=50,"50-60 Days", M251&gt;=40,"40-50 Days", M251&gt;=30, "30-40 Days", M251&gt;=20, "20-30 Days", M251&gt;=10, "10-20 Days", M251&gt;=0, "0-10 Days")</f>
        <v>30-40 Days</v>
      </c>
    </row>
    <row r="252" spans="1:14">
      <c r="A252">
        <v>251</v>
      </c>
      <c r="B252" t="s">
        <v>28</v>
      </c>
      <c r="C252" s="5">
        <v>45095</v>
      </c>
      <c r="D252" s="8">
        <v>45095</v>
      </c>
      <c r="E252" s="8">
        <f>IF(B252="Inactive", EDATE(D252,K252), "")</f>
        <v>45430</v>
      </c>
      <c r="F252" t="s">
        <v>14</v>
      </c>
      <c r="G252">
        <v>22.8</v>
      </c>
      <c r="H252" t="str" cm="1">
        <f t="array" ref="H252">_xlfn.IFS(G252&gt;=20,"20-25", G252&gt;=15,"15-20", G252&gt;=10,"10-15", G252&gt;=5,"5-10", G252&gt;=1,"1-5", G252&lt;1,"Less than 1")</f>
        <v>20-25</v>
      </c>
      <c r="I252">
        <v>0</v>
      </c>
      <c r="J252">
        <v>0</v>
      </c>
      <c r="K252" s="6">
        <v>11</v>
      </c>
      <c r="L252" s="2">
        <v>3.99</v>
      </c>
      <c r="M252" s="6">
        <v>33</v>
      </c>
      <c r="N252" t="str" cm="1">
        <f t="array" ref="N252">_xlfn.IFS(M252&gt;=50,"50-60 Days", M252&gt;=40,"40-50 Days", M252&gt;=30, "30-40 Days", M252&gt;=20, "20-30 Days", M252&gt;=10, "10-20 Days", M252&gt;=0, "0-10 Days")</f>
        <v>30-40 Days</v>
      </c>
    </row>
    <row r="253" spans="1:14">
      <c r="A253">
        <v>252</v>
      </c>
      <c r="B253" t="s">
        <v>29</v>
      </c>
      <c r="C253" s="5">
        <v>45217</v>
      </c>
      <c r="D253" s="8">
        <v>45217</v>
      </c>
      <c r="E253" s="8" t="str">
        <f>IF(B253="Inactive", EDATE(D253,K253), "")</f>
        <v/>
      </c>
      <c r="F253" t="s">
        <v>12</v>
      </c>
      <c r="G253">
        <v>23.4</v>
      </c>
      <c r="H253" t="str" cm="1">
        <f t="array" ref="H253">_xlfn.IFS(G253&gt;=20,"20-25", G253&gt;=15,"15-20", G253&gt;=10,"10-15", G253&gt;=5,"5-10", G253&gt;=1,"1-5", G253&lt;1,"Less than 1")</f>
        <v>20-25</v>
      </c>
      <c r="I253">
        <v>3</v>
      </c>
      <c r="J253">
        <v>2</v>
      </c>
      <c r="K253" s="6">
        <v>7</v>
      </c>
      <c r="L253" s="2">
        <v>1.99</v>
      </c>
      <c r="M253" s="6">
        <v>60</v>
      </c>
      <c r="N253" t="str" cm="1">
        <f t="array" ref="N253">_xlfn.IFS(M253&gt;=50,"50-60 Days", M253&gt;=40,"40-50 Days", M253&gt;=30, "30-40 Days", M253&gt;=20, "20-30 Days", M253&gt;=10, "10-20 Days", M253&gt;=0, "0-10 Days")</f>
        <v>50-60 Days</v>
      </c>
    </row>
    <row r="254" spans="1:14">
      <c r="A254">
        <v>253</v>
      </c>
      <c r="B254" t="s">
        <v>29</v>
      </c>
      <c r="C254" s="5">
        <v>45556</v>
      </c>
      <c r="D254" s="8">
        <v>45556</v>
      </c>
      <c r="E254" s="8" t="str">
        <f>IF(B254="Inactive", EDATE(D254,K254), "")</f>
        <v/>
      </c>
      <c r="F254" t="s">
        <v>12</v>
      </c>
      <c r="G254">
        <v>5.3</v>
      </c>
      <c r="H254" t="str" cm="1">
        <f t="array" ref="H254">_xlfn.IFS(G254&gt;=20,"20-25", G254&gt;=15,"15-20", G254&gt;=10,"10-15", G254&gt;=5,"5-10", G254&gt;=1,"1-5", G254&lt;1,"Less than 1")</f>
        <v>5-10</v>
      </c>
      <c r="I254">
        <v>8</v>
      </c>
      <c r="J254">
        <v>2</v>
      </c>
      <c r="K254" s="6">
        <v>6</v>
      </c>
      <c r="L254" s="2">
        <v>1.99</v>
      </c>
      <c r="M254" s="6">
        <v>8</v>
      </c>
      <c r="N254" t="str" cm="1">
        <f t="array" ref="N254">_xlfn.IFS(M254&gt;=50,"50-60 Days", M254&gt;=40,"40-50 Days", M254&gt;=30, "30-40 Days", M254&gt;=20, "20-30 Days", M254&gt;=10, "10-20 Days", M254&gt;=0, "0-10 Days")</f>
        <v>0-10 Days</v>
      </c>
    </row>
    <row r="255" spans="1:14">
      <c r="A255">
        <v>254</v>
      </c>
      <c r="B255" t="s">
        <v>28</v>
      </c>
      <c r="C255" s="5">
        <v>45102</v>
      </c>
      <c r="D255" s="8">
        <v>45102</v>
      </c>
      <c r="E255" s="8">
        <f>IF(B255="Inactive", EDATE(D255,K255), "")</f>
        <v>45163</v>
      </c>
      <c r="F255" t="s">
        <v>10</v>
      </c>
      <c r="G255">
        <v>12.8</v>
      </c>
      <c r="H255" t="str" cm="1">
        <f t="array" ref="H255">_xlfn.IFS(G255&gt;=20,"20-25", G255&gt;=15,"15-20", G255&gt;=10,"10-15", G255&gt;=5,"5-10", G255&gt;=1,"1-5", G255&lt;1,"Less than 1")</f>
        <v>10-15</v>
      </c>
      <c r="I255">
        <v>2</v>
      </c>
      <c r="J255">
        <v>4</v>
      </c>
      <c r="K255" s="6">
        <v>2</v>
      </c>
      <c r="L255" s="2">
        <v>6.99</v>
      </c>
      <c r="M255" s="6">
        <v>60</v>
      </c>
      <c r="N255" t="str" cm="1">
        <f t="array" ref="N255">_xlfn.IFS(M255&gt;=50,"50-60 Days", M255&gt;=40,"40-50 Days", M255&gt;=30, "30-40 Days", M255&gt;=20, "20-30 Days", M255&gt;=10, "10-20 Days", M255&gt;=0, "0-10 Days")</f>
        <v>50-60 Days</v>
      </c>
    </row>
    <row r="256" spans="1:14">
      <c r="A256">
        <v>255</v>
      </c>
      <c r="B256" t="s">
        <v>28</v>
      </c>
      <c r="C256" s="5">
        <v>45583</v>
      </c>
      <c r="D256" s="8">
        <v>45583</v>
      </c>
      <c r="E256" s="8">
        <f>IF(B256="Inactive", EDATE(D256,K256), "")</f>
        <v>45826</v>
      </c>
      <c r="F256" t="s">
        <v>10</v>
      </c>
      <c r="G256">
        <v>21.1</v>
      </c>
      <c r="H256" t="str" cm="1">
        <f t="array" ref="H256">_xlfn.IFS(G256&gt;=20,"20-25", G256&gt;=15,"15-20", G256&gt;=10,"10-15", G256&gt;=5,"5-10", G256&gt;=1,"1-5", G256&lt;1,"Less than 1")</f>
        <v>20-25</v>
      </c>
      <c r="I256">
        <v>0</v>
      </c>
      <c r="J256">
        <v>0</v>
      </c>
      <c r="K256" s="6">
        <v>8</v>
      </c>
      <c r="L256" s="2">
        <v>6.99</v>
      </c>
      <c r="M256" s="6">
        <v>5</v>
      </c>
      <c r="N256" t="str" cm="1">
        <f t="array" ref="N256">_xlfn.IFS(M256&gt;=50,"50-60 Days", M256&gt;=40,"40-50 Days", M256&gt;=30, "30-40 Days", M256&gt;=20, "20-30 Days", M256&gt;=10, "10-20 Days", M256&gt;=0, "0-10 Days")</f>
        <v>0-10 Days</v>
      </c>
    </row>
    <row r="257" spans="1:14">
      <c r="A257">
        <v>256</v>
      </c>
      <c r="B257" t="s">
        <v>28</v>
      </c>
      <c r="C257" s="5">
        <v>45569</v>
      </c>
      <c r="D257" s="8">
        <v>45569</v>
      </c>
      <c r="E257" s="8">
        <f>IF(B257="Inactive", EDATE(D257,K257), "")</f>
        <v>45751</v>
      </c>
      <c r="F257" t="s">
        <v>10</v>
      </c>
      <c r="G257">
        <v>16.5</v>
      </c>
      <c r="H257" t="str" cm="1">
        <f t="array" ref="H257">_xlfn.IFS(G257&gt;=20,"20-25", G257&gt;=15,"15-20", G257&gt;=10,"10-15", G257&gt;=5,"5-10", G257&gt;=1,"1-5", G257&lt;1,"Less than 1")</f>
        <v>15-20</v>
      </c>
      <c r="I257">
        <v>6</v>
      </c>
      <c r="J257">
        <v>4</v>
      </c>
      <c r="K257" s="6">
        <v>6</v>
      </c>
      <c r="L257" s="2">
        <v>6.99</v>
      </c>
      <c r="M257" s="6">
        <v>40</v>
      </c>
      <c r="N257" t="str" cm="1">
        <f t="array" ref="N257">_xlfn.IFS(M257&gt;=50,"50-60 Days", M257&gt;=40,"40-50 Days", M257&gt;=30, "30-40 Days", M257&gt;=20, "20-30 Days", M257&gt;=10, "10-20 Days", M257&gt;=0, "0-10 Days")</f>
        <v>40-50 Days</v>
      </c>
    </row>
    <row r="258" spans="1:14">
      <c r="A258">
        <v>257</v>
      </c>
      <c r="B258" t="s">
        <v>29</v>
      </c>
      <c r="C258" s="5">
        <v>45628</v>
      </c>
      <c r="D258" s="8">
        <v>45628</v>
      </c>
      <c r="E258" s="8" t="str">
        <f>IF(B258="Inactive", EDATE(D258,K258), "")</f>
        <v/>
      </c>
      <c r="F258" t="s">
        <v>10</v>
      </c>
      <c r="G258">
        <v>16.2</v>
      </c>
      <c r="H258" t="str" cm="1">
        <f t="array" ref="H258">_xlfn.IFS(G258&gt;=20,"20-25", G258&gt;=15,"15-20", G258&gt;=10,"10-15", G258&gt;=5,"5-10", G258&gt;=1,"1-5", G258&lt;1,"Less than 1")</f>
        <v>15-20</v>
      </c>
      <c r="I258">
        <v>4</v>
      </c>
      <c r="J258">
        <v>3</v>
      </c>
      <c r="K258" s="6">
        <v>7</v>
      </c>
      <c r="L258" s="2">
        <v>6.99</v>
      </c>
      <c r="M258" s="6">
        <v>15</v>
      </c>
      <c r="N258" t="str" cm="1">
        <f t="array" ref="N258">_xlfn.IFS(M258&gt;=50,"50-60 Days", M258&gt;=40,"40-50 Days", M258&gt;=30, "30-40 Days", M258&gt;=20, "20-30 Days", M258&gt;=10, "10-20 Days", M258&gt;=0, "0-10 Days")</f>
        <v>10-20 Days</v>
      </c>
    </row>
    <row r="259" spans="1:14">
      <c r="A259">
        <v>258</v>
      </c>
      <c r="B259" t="s">
        <v>29</v>
      </c>
      <c r="C259" s="5">
        <v>45402</v>
      </c>
      <c r="D259" s="8">
        <v>45402</v>
      </c>
      <c r="E259" s="8" t="str">
        <f>IF(B259="Inactive", EDATE(D259,K259), "")</f>
        <v/>
      </c>
      <c r="F259" t="s">
        <v>14</v>
      </c>
      <c r="G259">
        <v>11.6</v>
      </c>
      <c r="H259" t="str" cm="1">
        <f t="array" ref="H259">_xlfn.IFS(G259&gt;=20,"20-25", G259&gt;=15,"15-20", G259&gt;=10,"10-15", G259&gt;=5,"5-10", G259&gt;=1,"1-5", G259&lt;1,"Less than 1")</f>
        <v>10-15</v>
      </c>
      <c r="I259">
        <v>0</v>
      </c>
      <c r="J259">
        <v>1</v>
      </c>
      <c r="K259" s="6">
        <v>7</v>
      </c>
      <c r="L259" s="2">
        <v>3.99</v>
      </c>
      <c r="M259" s="6">
        <v>28</v>
      </c>
      <c r="N259" t="str" cm="1">
        <f t="array" ref="N259">_xlfn.IFS(M259&gt;=50,"50-60 Days", M259&gt;=40,"40-50 Days", M259&gt;=30, "30-40 Days", M259&gt;=20, "20-30 Days", M259&gt;=10, "10-20 Days", M259&gt;=0, "0-10 Days")</f>
        <v>20-30 Days</v>
      </c>
    </row>
    <row r="260" spans="1:14">
      <c r="A260">
        <v>259</v>
      </c>
      <c r="B260" t="s">
        <v>29</v>
      </c>
      <c r="C260" s="5">
        <v>45280</v>
      </c>
      <c r="D260" s="8">
        <v>45280</v>
      </c>
      <c r="E260" s="8" t="str">
        <f>IF(B260="Inactive", EDATE(D260,K260), "")</f>
        <v/>
      </c>
      <c r="F260" t="s">
        <v>12</v>
      </c>
      <c r="G260">
        <v>15.4</v>
      </c>
      <c r="H260" t="str" cm="1">
        <f t="array" ref="H260">_xlfn.IFS(G260&gt;=20,"20-25", G260&gt;=15,"15-20", G260&gt;=10,"10-15", G260&gt;=5,"5-10", G260&gt;=1,"1-5", G260&lt;1,"Less than 1")</f>
        <v>15-20</v>
      </c>
      <c r="I260">
        <v>5</v>
      </c>
      <c r="J260">
        <v>5</v>
      </c>
      <c r="K260" s="6">
        <v>8</v>
      </c>
      <c r="L260" s="2">
        <v>1.99</v>
      </c>
      <c r="M260" s="6">
        <v>20</v>
      </c>
      <c r="N260" t="str" cm="1">
        <f t="array" ref="N260">_xlfn.IFS(M260&gt;=50,"50-60 Days", M260&gt;=40,"40-50 Days", M260&gt;=30, "30-40 Days", M260&gt;=20, "20-30 Days", M260&gt;=10, "10-20 Days", M260&gt;=0, "0-10 Days")</f>
        <v>20-30 Days</v>
      </c>
    </row>
    <row r="261" spans="1:14">
      <c r="A261">
        <v>260</v>
      </c>
      <c r="B261" t="s">
        <v>28</v>
      </c>
      <c r="C261" s="5">
        <v>45404</v>
      </c>
      <c r="D261" s="8">
        <v>45404</v>
      </c>
      <c r="E261" s="8">
        <f>IF(B261="Inactive", EDATE(D261,K261), "")</f>
        <v>45495</v>
      </c>
      <c r="F261" t="s">
        <v>14</v>
      </c>
      <c r="G261">
        <v>19.100000000000001</v>
      </c>
      <c r="H261" t="str" cm="1">
        <f t="array" ref="H261">_xlfn.IFS(G261&gt;=20,"20-25", G261&gt;=15,"15-20", G261&gt;=10,"10-15", G261&gt;=5,"5-10", G261&gt;=1,"1-5", G261&lt;1,"Less than 1")</f>
        <v>15-20</v>
      </c>
      <c r="I261">
        <v>8</v>
      </c>
      <c r="J261">
        <v>4</v>
      </c>
      <c r="K261" s="6">
        <v>3</v>
      </c>
      <c r="L261" s="2">
        <v>3.99</v>
      </c>
      <c r="M261" s="6">
        <v>6</v>
      </c>
      <c r="N261" t="str" cm="1">
        <f t="array" ref="N261">_xlfn.IFS(M261&gt;=50,"50-60 Days", M261&gt;=40,"40-50 Days", M261&gt;=30, "30-40 Days", M261&gt;=20, "20-30 Days", M261&gt;=10, "10-20 Days", M261&gt;=0, "0-10 Days")</f>
        <v>0-10 Days</v>
      </c>
    </row>
    <row r="262" spans="1:14">
      <c r="A262">
        <v>261</v>
      </c>
      <c r="B262" t="s">
        <v>29</v>
      </c>
      <c r="C262" s="5">
        <v>45320</v>
      </c>
      <c r="D262" s="8">
        <v>45320</v>
      </c>
      <c r="E262" s="8" t="str">
        <f>IF(B262="Inactive", EDATE(D262,K262), "")</f>
        <v/>
      </c>
      <c r="F262" t="s">
        <v>12</v>
      </c>
      <c r="G262">
        <v>11.5</v>
      </c>
      <c r="H262" t="str" cm="1">
        <f t="array" ref="H262">_xlfn.IFS(G262&gt;=20,"20-25", G262&gt;=15,"15-20", G262&gt;=10,"10-15", G262&gt;=5,"5-10", G262&gt;=1,"1-5", G262&lt;1,"Less than 1")</f>
        <v>10-15</v>
      </c>
      <c r="I262">
        <v>2</v>
      </c>
      <c r="J262">
        <v>0</v>
      </c>
      <c r="K262" s="6">
        <v>6</v>
      </c>
      <c r="L262" s="2">
        <v>1.99</v>
      </c>
      <c r="M262" s="6">
        <v>3</v>
      </c>
      <c r="N262" t="str" cm="1">
        <f t="array" ref="N262">_xlfn.IFS(M262&gt;=50,"50-60 Days", M262&gt;=40,"40-50 Days", M262&gt;=30, "30-40 Days", M262&gt;=20, "20-30 Days", M262&gt;=10, "10-20 Days", M262&gt;=0, "0-10 Days")</f>
        <v>0-10 Days</v>
      </c>
    </row>
    <row r="263" spans="1:14">
      <c r="A263">
        <v>262</v>
      </c>
      <c r="B263" t="s">
        <v>28</v>
      </c>
      <c r="C263" s="5">
        <v>45247</v>
      </c>
      <c r="D263" s="8">
        <v>45247</v>
      </c>
      <c r="E263" s="8">
        <f>IF(B263="Inactive", EDATE(D263,K263), "")</f>
        <v>45521</v>
      </c>
      <c r="F263" t="s">
        <v>10</v>
      </c>
      <c r="G263">
        <v>6.6</v>
      </c>
      <c r="H263" t="str" cm="1">
        <f t="array" ref="H263">_xlfn.IFS(G263&gt;=20,"20-25", G263&gt;=15,"15-20", G263&gt;=10,"10-15", G263&gt;=5,"5-10", G263&gt;=1,"1-5", G263&lt;1,"Less than 1")</f>
        <v>5-10</v>
      </c>
      <c r="I263">
        <v>2</v>
      </c>
      <c r="J263">
        <v>2</v>
      </c>
      <c r="K263" s="6">
        <v>9</v>
      </c>
      <c r="L263" s="2">
        <v>6.99</v>
      </c>
      <c r="M263" s="6">
        <v>59</v>
      </c>
      <c r="N263" t="str" cm="1">
        <f t="array" ref="N263">_xlfn.IFS(M263&gt;=50,"50-60 Days", M263&gt;=40,"40-50 Days", M263&gt;=30, "30-40 Days", M263&gt;=20, "20-30 Days", M263&gt;=10, "10-20 Days", M263&gt;=0, "0-10 Days")</f>
        <v>50-60 Days</v>
      </c>
    </row>
    <row r="264" spans="1:14">
      <c r="A264">
        <v>263</v>
      </c>
      <c r="B264" t="s">
        <v>29</v>
      </c>
      <c r="C264" s="5">
        <v>45436</v>
      </c>
      <c r="D264" s="8">
        <v>45436</v>
      </c>
      <c r="E264" s="8" t="str">
        <f>IF(B264="Inactive", EDATE(D264,K264), "")</f>
        <v/>
      </c>
      <c r="F264" t="s">
        <v>12</v>
      </c>
      <c r="G264">
        <v>12.7</v>
      </c>
      <c r="H264" t="str" cm="1">
        <f t="array" ref="H264">_xlfn.IFS(G264&gt;=20,"20-25", G264&gt;=15,"15-20", G264&gt;=10,"10-15", G264&gt;=5,"5-10", G264&gt;=1,"1-5", G264&lt;1,"Less than 1")</f>
        <v>10-15</v>
      </c>
      <c r="I264">
        <v>8</v>
      </c>
      <c r="J264">
        <v>3</v>
      </c>
      <c r="K264" s="6">
        <v>4</v>
      </c>
      <c r="L264" s="2">
        <v>1.99</v>
      </c>
      <c r="M264" s="6">
        <v>31</v>
      </c>
      <c r="N264" t="str" cm="1">
        <f t="array" ref="N264">_xlfn.IFS(M264&gt;=50,"50-60 Days", M264&gt;=40,"40-50 Days", M264&gt;=30, "30-40 Days", M264&gt;=20, "20-30 Days", M264&gt;=10, "10-20 Days", M264&gt;=0, "0-10 Days")</f>
        <v>30-40 Days</v>
      </c>
    </row>
    <row r="265" spans="1:14">
      <c r="A265">
        <v>264</v>
      </c>
      <c r="B265" t="s">
        <v>28</v>
      </c>
      <c r="C265" s="5">
        <v>45288</v>
      </c>
      <c r="D265" s="8">
        <v>45288</v>
      </c>
      <c r="E265" s="8">
        <f>IF(B265="Inactive", EDATE(D265,K265), "")</f>
        <v>45350</v>
      </c>
      <c r="F265" t="s">
        <v>12</v>
      </c>
      <c r="G265">
        <v>23.7</v>
      </c>
      <c r="H265" t="str" cm="1">
        <f t="array" ref="H265">_xlfn.IFS(G265&gt;=20,"20-25", G265&gt;=15,"15-20", G265&gt;=10,"10-15", G265&gt;=5,"5-10", G265&gt;=1,"1-5", G265&lt;1,"Less than 1")</f>
        <v>20-25</v>
      </c>
      <c r="I265">
        <v>8</v>
      </c>
      <c r="J265">
        <v>3</v>
      </c>
      <c r="K265" s="6">
        <v>2</v>
      </c>
      <c r="L265" s="2">
        <v>1.99</v>
      </c>
      <c r="M265" s="6">
        <v>15</v>
      </c>
      <c r="N265" t="str" cm="1">
        <f t="array" ref="N265">_xlfn.IFS(M265&gt;=50,"50-60 Days", M265&gt;=40,"40-50 Days", M265&gt;=30, "30-40 Days", M265&gt;=20, "20-30 Days", M265&gt;=10, "10-20 Days", M265&gt;=0, "0-10 Days")</f>
        <v>10-20 Days</v>
      </c>
    </row>
    <row r="266" spans="1:14">
      <c r="A266">
        <v>265</v>
      </c>
      <c r="B266" t="s">
        <v>28</v>
      </c>
      <c r="C266" s="5">
        <v>45037</v>
      </c>
      <c r="D266" s="8">
        <v>45037</v>
      </c>
      <c r="E266" s="8">
        <f>IF(B266="Inactive", EDATE(D266,K266), "")</f>
        <v>45098</v>
      </c>
      <c r="F266" t="s">
        <v>12</v>
      </c>
      <c r="G266">
        <v>7.4</v>
      </c>
      <c r="H266" t="str" cm="1">
        <f t="array" ref="H266">_xlfn.IFS(G266&gt;=20,"20-25", G266&gt;=15,"15-20", G266&gt;=10,"10-15", G266&gt;=5,"5-10", G266&gt;=1,"1-5", G266&lt;1,"Less than 1")</f>
        <v>5-10</v>
      </c>
      <c r="I266">
        <v>7</v>
      </c>
      <c r="J266">
        <v>2</v>
      </c>
      <c r="K266" s="6">
        <v>2</v>
      </c>
      <c r="L266" s="2">
        <v>1.99</v>
      </c>
      <c r="M266" s="6">
        <v>34</v>
      </c>
      <c r="N266" t="str" cm="1">
        <f t="array" ref="N266">_xlfn.IFS(M266&gt;=50,"50-60 Days", M266&gt;=40,"40-50 Days", M266&gt;=30, "30-40 Days", M266&gt;=20, "20-30 Days", M266&gt;=10, "10-20 Days", M266&gt;=0, "0-10 Days")</f>
        <v>30-40 Days</v>
      </c>
    </row>
    <row r="267" spans="1:14">
      <c r="A267">
        <v>266</v>
      </c>
      <c r="B267" t="s">
        <v>28</v>
      </c>
      <c r="C267" s="5">
        <v>44979</v>
      </c>
      <c r="D267" s="8">
        <v>44979</v>
      </c>
      <c r="E267" s="8">
        <f>IF(B267="Inactive", EDATE(D267,K267), "")</f>
        <v>45068</v>
      </c>
      <c r="F267" t="s">
        <v>14</v>
      </c>
      <c r="G267">
        <v>22.1</v>
      </c>
      <c r="H267" t="str" cm="1">
        <f t="array" ref="H267">_xlfn.IFS(G267&gt;=20,"20-25", G267&gt;=15,"15-20", G267&gt;=10,"10-15", G267&gt;=5,"5-10", G267&gt;=1,"1-5", G267&lt;1,"Less than 1")</f>
        <v>20-25</v>
      </c>
      <c r="I267">
        <v>5</v>
      </c>
      <c r="J267">
        <v>3</v>
      </c>
      <c r="K267" s="6">
        <v>3</v>
      </c>
      <c r="L267" s="2">
        <v>3.99</v>
      </c>
      <c r="M267" s="6">
        <v>23</v>
      </c>
      <c r="N267" t="str" cm="1">
        <f t="array" ref="N267">_xlfn.IFS(M267&gt;=50,"50-60 Days", M267&gt;=40,"40-50 Days", M267&gt;=30, "30-40 Days", M267&gt;=20, "20-30 Days", M267&gt;=10, "10-20 Days", M267&gt;=0, "0-10 Days")</f>
        <v>20-30 Days</v>
      </c>
    </row>
    <row r="268" spans="1:14">
      <c r="A268">
        <v>267</v>
      </c>
      <c r="B268" t="s">
        <v>28</v>
      </c>
      <c r="C268" s="5">
        <v>45388</v>
      </c>
      <c r="D268" s="8">
        <v>45388</v>
      </c>
      <c r="E268" s="8">
        <f>IF(B268="Inactive", EDATE(D268,K268), "")</f>
        <v>45753</v>
      </c>
      <c r="F268" t="s">
        <v>10</v>
      </c>
      <c r="G268">
        <v>5.3</v>
      </c>
      <c r="H268" t="str" cm="1">
        <f t="array" ref="H268">_xlfn.IFS(G268&gt;=20,"20-25", G268&gt;=15,"15-20", G268&gt;=10,"10-15", G268&gt;=5,"5-10", G268&gt;=1,"1-5", G268&lt;1,"Less than 1")</f>
        <v>5-10</v>
      </c>
      <c r="I268">
        <v>8</v>
      </c>
      <c r="J268">
        <v>2</v>
      </c>
      <c r="K268" s="6">
        <v>12</v>
      </c>
      <c r="L268" s="2">
        <v>6.99</v>
      </c>
      <c r="M268" s="6">
        <v>4</v>
      </c>
      <c r="N268" t="str" cm="1">
        <f t="array" ref="N268">_xlfn.IFS(M268&gt;=50,"50-60 Days", M268&gt;=40,"40-50 Days", M268&gt;=30, "30-40 Days", M268&gt;=20, "20-30 Days", M268&gt;=10, "10-20 Days", M268&gt;=0, "0-10 Days")</f>
        <v>0-10 Days</v>
      </c>
    </row>
    <row r="269" spans="1:14">
      <c r="A269">
        <v>268</v>
      </c>
      <c r="B269" t="s">
        <v>29</v>
      </c>
      <c r="C269" s="5">
        <v>45274</v>
      </c>
      <c r="D269" s="8">
        <v>45274</v>
      </c>
      <c r="E269" s="8" t="str">
        <f>IF(B269="Inactive", EDATE(D269,K269), "")</f>
        <v/>
      </c>
      <c r="F269" t="s">
        <v>10</v>
      </c>
      <c r="G269">
        <v>20.7</v>
      </c>
      <c r="H269" t="str" cm="1">
        <f t="array" ref="H269">_xlfn.IFS(G269&gt;=20,"20-25", G269&gt;=15,"15-20", G269&gt;=10,"10-15", G269&gt;=5,"5-10", G269&gt;=1,"1-5", G269&lt;1,"Less than 1")</f>
        <v>20-25</v>
      </c>
      <c r="I269">
        <v>1</v>
      </c>
      <c r="J269">
        <v>1</v>
      </c>
      <c r="K269" s="6">
        <v>6</v>
      </c>
      <c r="L269" s="2">
        <v>6.99</v>
      </c>
      <c r="M269" s="6">
        <v>6</v>
      </c>
      <c r="N269" t="str" cm="1">
        <f t="array" ref="N269">_xlfn.IFS(M269&gt;=50,"50-60 Days", M269&gt;=40,"40-50 Days", M269&gt;=30, "30-40 Days", M269&gt;=20, "20-30 Days", M269&gt;=10, "10-20 Days", M269&gt;=0, "0-10 Days")</f>
        <v>0-10 Days</v>
      </c>
    </row>
    <row r="270" spans="1:14">
      <c r="A270">
        <v>269</v>
      </c>
      <c r="B270" t="s">
        <v>28</v>
      </c>
      <c r="C270" s="5">
        <v>44968</v>
      </c>
      <c r="D270" s="8">
        <v>44968</v>
      </c>
      <c r="E270" s="8">
        <f>IF(B270="Inactive", EDATE(D270,K270), "")</f>
        <v>45210</v>
      </c>
      <c r="F270" t="s">
        <v>10</v>
      </c>
      <c r="G270">
        <v>19</v>
      </c>
      <c r="H270" t="str" cm="1">
        <f t="array" ref="H270">_xlfn.IFS(G270&gt;=20,"20-25", G270&gt;=15,"15-20", G270&gt;=10,"10-15", G270&gt;=5,"5-10", G270&gt;=1,"1-5", G270&lt;1,"Less than 1")</f>
        <v>15-20</v>
      </c>
      <c r="I270">
        <v>3</v>
      </c>
      <c r="J270">
        <v>4</v>
      </c>
      <c r="K270" s="6">
        <v>8</v>
      </c>
      <c r="L270" s="2">
        <v>6.99</v>
      </c>
      <c r="M270" s="6">
        <v>32</v>
      </c>
      <c r="N270" t="str" cm="1">
        <f t="array" ref="N270">_xlfn.IFS(M270&gt;=50,"50-60 Days", M270&gt;=40,"40-50 Days", M270&gt;=30, "30-40 Days", M270&gt;=20, "20-30 Days", M270&gt;=10, "10-20 Days", M270&gt;=0, "0-10 Days")</f>
        <v>30-40 Days</v>
      </c>
    </row>
    <row r="271" spans="1:14">
      <c r="A271">
        <v>270</v>
      </c>
      <c r="B271" t="s">
        <v>28</v>
      </c>
      <c r="C271" s="5">
        <v>45547</v>
      </c>
      <c r="D271" s="8">
        <v>45547</v>
      </c>
      <c r="E271" s="8">
        <f>IF(B271="Inactive", EDATE(D271,K271), "")</f>
        <v>45577</v>
      </c>
      <c r="F271" t="s">
        <v>12</v>
      </c>
      <c r="G271">
        <v>3.9</v>
      </c>
      <c r="H271" t="str" cm="1">
        <f t="array" ref="H271">_xlfn.IFS(G271&gt;=20,"20-25", G271&gt;=15,"15-20", G271&gt;=10,"10-15", G271&gt;=5,"5-10", G271&gt;=1,"1-5", G271&lt;1,"Less than 1")</f>
        <v>1-5</v>
      </c>
      <c r="I271">
        <v>5</v>
      </c>
      <c r="J271">
        <v>3</v>
      </c>
      <c r="K271" s="6">
        <v>1</v>
      </c>
      <c r="L271" s="2">
        <v>1.99</v>
      </c>
      <c r="M271" s="6">
        <v>33</v>
      </c>
      <c r="N271" t="str" cm="1">
        <f t="array" ref="N271">_xlfn.IFS(M271&gt;=50,"50-60 Days", M271&gt;=40,"40-50 Days", M271&gt;=30, "30-40 Days", M271&gt;=20, "20-30 Days", M271&gt;=10, "10-20 Days", M271&gt;=0, "0-10 Days")</f>
        <v>30-40 Days</v>
      </c>
    </row>
    <row r="272" spans="1:14">
      <c r="A272">
        <v>271</v>
      </c>
      <c r="B272" t="s">
        <v>29</v>
      </c>
      <c r="C272" s="5">
        <v>45233</v>
      </c>
      <c r="D272" s="8">
        <v>45233</v>
      </c>
      <c r="E272" s="8" t="str">
        <f>IF(B272="Inactive", EDATE(D272,K272), "")</f>
        <v/>
      </c>
      <c r="F272" t="s">
        <v>10</v>
      </c>
      <c r="G272">
        <v>8.5</v>
      </c>
      <c r="H272" t="str" cm="1">
        <f t="array" ref="H272">_xlfn.IFS(G272&gt;=20,"20-25", G272&gt;=15,"15-20", G272&gt;=10,"10-15", G272&gt;=5,"5-10", G272&gt;=1,"1-5", G272&lt;1,"Less than 1")</f>
        <v>5-10</v>
      </c>
      <c r="I272">
        <v>5</v>
      </c>
      <c r="J272">
        <v>1</v>
      </c>
      <c r="K272" s="6">
        <v>3</v>
      </c>
      <c r="L272" s="2">
        <v>6.99</v>
      </c>
      <c r="M272" s="6">
        <v>25</v>
      </c>
      <c r="N272" t="str" cm="1">
        <f t="array" ref="N272">_xlfn.IFS(M272&gt;=50,"50-60 Days", M272&gt;=40,"40-50 Days", M272&gt;=30, "30-40 Days", M272&gt;=20, "20-30 Days", M272&gt;=10, "10-20 Days", M272&gt;=0, "0-10 Days")</f>
        <v>20-30 Days</v>
      </c>
    </row>
    <row r="273" spans="1:14">
      <c r="A273">
        <v>272</v>
      </c>
      <c r="B273" t="s">
        <v>28</v>
      </c>
      <c r="C273" s="5">
        <v>45233</v>
      </c>
      <c r="D273" s="8">
        <v>45233</v>
      </c>
      <c r="E273" s="8">
        <f>IF(B273="Inactive", EDATE(D273,K273), "")</f>
        <v>45476</v>
      </c>
      <c r="F273" t="s">
        <v>10</v>
      </c>
      <c r="G273">
        <v>12.9</v>
      </c>
      <c r="H273" t="str" cm="1">
        <f t="array" ref="H273">_xlfn.IFS(G273&gt;=20,"20-25", G273&gt;=15,"15-20", G273&gt;=10,"10-15", G273&gt;=5,"5-10", G273&gt;=1,"1-5", G273&lt;1,"Less than 1")</f>
        <v>10-15</v>
      </c>
      <c r="I273">
        <v>8</v>
      </c>
      <c r="J273">
        <v>4</v>
      </c>
      <c r="K273" s="6">
        <v>8</v>
      </c>
      <c r="L273" s="2">
        <v>6.99</v>
      </c>
      <c r="M273" s="6">
        <v>31</v>
      </c>
      <c r="N273" t="str" cm="1">
        <f t="array" ref="N273">_xlfn.IFS(M273&gt;=50,"50-60 Days", M273&gt;=40,"40-50 Days", M273&gt;=30, "30-40 Days", M273&gt;=20, "20-30 Days", M273&gt;=10, "10-20 Days", M273&gt;=0, "0-10 Days")</f>
        <v>30-40 Days</v>
      </c>
    </row>
    <row r="274" spans="1:14">
      <c r="A274">
        <v>273</v>
      </c>
      <c r="B274" t="s">
        <v>28</v>
      </c>
      <c r="C274" s="5">
        <v>45631</v>
      </c>
      <c r="D274" s="8">
        <v>45631</v>
      </c>
      <c r="E274" s="8">
        <f>IF(B274="Inactive", EDATE(D274,K274), "")</f>
        <v>45662</v>
      </c>
      <c r="F274" t="s">
        <v>14</v>
      </c>
      <c r="G274">
        <v>9.5</v>
      </c>
      <c r="H274" t="str" cm="1">
        <f t="array" ref="H274">_xlfn.IFS(G274&gt;=20,"20-25", G274&gt;=15,"15-20", G274&gt;=10,"10-15", G274&gt;=5,"5-10", G274&gt;=1,"1-5", G274&lt;1,"Less than 1")</f>
        <v>5-10</v>
      </c>
      <c r="I274">
        <v>1</v>
      </c>
      <c r="J274">
        <v>3</v>
      </c>
      <c r="K274" s="6">
        <v>1</v>
      </c>
      <c r="L274" s="2">
        <v>3.99</v>
      </c>
      <c r="M274" s="6">
        <v>37</v>
      </c>
      <c r="N274" t="str" cm="1">
        <f t="array" ref="N274">_xlfn.IFS(M274&gt;=50,"50-60 Days", M274&gt;=40,"40-50 Days", M274&gt;=30, "30-40 Days", M274&gt;=20, "20-30 Days", M274&gt;=10, "10-20 Days", M274&gt;=0, "0-10 Days")</f>
        <v>30-40 Days</v>
      </c>
    </row>
    <row r="275" spans="1:14">
      <c r="A275">
        <v>274</v>
      </c>
      <c r="B275" t="s">
        <v>29</v>
      </c>
      <c r="C275" s="5">
        <v>45519</v>
      </c>
      <c r="D275" s="8">
        <v>45519</v>
      </c>
      <c r="E275" s="8" t="str">
        <f>IF(B275="Inactive", EDATE(D275,K275), "")</f>
        <v/>
      </c>
      <c r="F275" t="s">
        <v>10</v>
      </c>
      <c r="G275">
        <v>15.1</v>
      </c>
      <c r="H275" t="str" cm="1">
        <f t="array" ref="H275">_xlfn.IFS(G275&gt;=20,"20-25", G275&gt;=15,"15-20", G275&gt;=10,"10-15", G275&gt;=5,"5-10", G275&gt;=1,"1-5", G275&lt;1,"Less than 1")</f>
        <v>15-20</v>
      </c>
      <c r="I275">
        <v>4</v>
      </c>
      <c r="J275">
        <v>5</v>
      </c>
      <c r="K275" s="6">
        <v>1</v>
      </c>
      <c r="L275" s="2">
        <v>6.99</v>
      </c>
      <c r="M275" s="6">
        <v>50</v>
      </c>
      <c r="N275" t="str" cm="1">
        <f t="array" ref="N275">_xlfn.IFS(M275&gt;=50,"50-60 Days", M275&gt;=40,"40-50 Days", M275&gt;=30, "30-40 Days", M275&gt;=20, "20-30 Days", M275&gt;=10, "10-20 Days", M275&gt;=0, "0-10 Days")</f>
        <v>50-60 Days</v>
      </c>
    </row>
    <row r="276" spans="1:14">
      <c r="A276">
        <v>275</v>
      </c>
      <c r="B276" t="s">
        <v>29</v>
      </c>
      <c r="C276" s="5">
        <v>45561</v>
      </c>
      <c r="D276" s="8">
        <v>45561</v>
      </c>
      <c r="E276" s="8" t="str">
        <f>IF(B276="Inactive", EDATE(D276,K276), "")</f>
        <v/>
      </c>
      <c r="F276" t="s">
        <v>10</v>
      </c>
      <c r="G276">
        <v>18.2</v>
      </c>
      <c r="H276" t="str" cm="1">
        <f t="array" ref="H276">_xlfn.IFS(G276&gt;=20,"20-25", G276&gt;=15,"15-20", G276&gt;=10,"10-15", G276&gt;=5,"5-10", G276&gt;=1,"1-5", G276&lt;1,"Less than 1")</f>
        <v>15-20</v>
      </c>
      <c r="I276">
        <v>7</v>
      </c>
      <c r="J276">
        <v>1</v>
      </c>
      <c r="K276" s="6">
        <v>5</v>
      </c>
      <c r="L276" s="2">
        <v>6.99</v>
      </c>
      <c r="M276" s="6">
        <v>33</v>
      </c>
      <c r="N276" t="str" cm="1">
        <f t="array" ref="N276">_xlfn.IFS(M276&gt;=50,"50-60 Days", M276&gt;=40,"40-50 Days", M276&gt;=30, "30-40 Days", M276&gt;=20, "20-30 Days", M276&gt;=10, "10-20 Days", M276&gt;=0, "0-10 Days")</f>
        <v>30-40 Days</v>
      </c>
    </row>
    <row r="277" spans="1:14">
      <c r="A277">
        <v>276</v>
      </c>
      <c r="B277" t="s">
        <v>29</v>
      </c>
      <c r="C277" s="5">
        <v>45039</v>
      </c>
      <c r="D277" s="8">
        <v>45039</v>
      </c>
      <c r="E277" s="8" t="str">
        <f>IF(B277="Inactive", EDATE(D277,K277), "")</f>
        <v/>
      </c>
      <c r="F277" t="s">
        <v>14</v>
      </c>
      <c r="G277">
        <v>20.6</v>
      </c>
      <c r="H277" t="str" cm="1">
        <f t="array" ref="H277">_xlfn.IFS(G277&gt;=20,"20-25", G277&gt;=15,"15-20", G277&gt;=10,"10-15", G277&gt;=5,"5-10", G277&gt;=1,"1-5", G277&lt;1,"Less than 1")</f>
        <v>20-25</v>
      </c>
      <c r="I277">
        <v>3</v>
      </c>
      <c r="J277">
        <v>0</v>
      </c>
      <c r="K277" s="6">
        <v>4</v>
      </c>
      <c r="L277" s="2">
        <v>3.99</v>
      </c>
      <c r="M277" s="6">
        <v>36</v>
      </c>
      <c r="N277" t="str" cm="1">
        <f t="array" ref="N277">_xlfn.IFS(M277&gt;=50,"50-60 Days", M277&gt;=40,"40-50 Days", M277&gt;=30, "30-40 Days", M277&gt;=20, "20-30 Days", M277&gt;=10, "10-20 Days", M277&gt;=0, "0-10 Days")</f>
        <v>30-40 Days</v>
      </c>
    </row>
    <row r="278" spans="1:14">
      <c r="A278">
        <v>277</v>
      </c>
      <c r="B278" t="s">
        <v>29</v>
      </c>
      <c r="C278" s="5">
        <v>45347</v>
      </c>
      <c r="D278" s="8">
        <v>45347</v>
      </c>
      <c r="E278" s="8" t="str">
        <f>IF(B278="Inactive", EDATE(D278,K278), "")</f>
        <v/>
      </c>
      <c r="F278" t="s">
        <v>12</v>
      </c>
      <c r="G278">
        <v>11.3</v>
      </c>
      <c r="H278" t="str" cm="1">
        <f t="array" ref="H278">_xlfn.IFS(G278&gt;=20,"20-25", G278&gt;=15,"15-20", G278&gt;=10,"10-15", G278&gt;=5,"5-10", G278&gt;=1,"1-5", G278&lt;1,"Less than 1")</f>
        <v>10-15</v>
      </c>
      <c r="I278">
        <v>6</v>
      </c>
      <c r="J278">
        <v>1</v>
      </c>
      <c r="K278" s="6">
        <v>1</v>
      </c>
      <c r="L278" s="2">
        <v>1.99</v>
      </c>
      <c r="M278" s="6">
        <v>26</v>
      </c>
      <c r="N278" t="str" cm="1">
        <f t="array" ref="N278">_xlfn.IFS(M278&gt;=50,"50-60 Days", M278&gt;=40,"40-50 Days", M278&gt;=30, "30-40 Days", M278&gt;=20, "20-30 Days", M278&gt;=10, "10-20 Days", M278&gt;=0, "0-10 Days")</f>
        <v>20-30 Days</v>
      </c>
    </row>
    <row r="279" spans="1:14">
      <c r="A279">
        <v>278</v>
      </c>
      <c r="B279" t="s">
        <v>29</v>
      </c>
      <c r="C279" s="5">
        <v>45501</v>
      </c>
      <c r="D279" s="8">
        <v>45501</v>
      </c>
      <c r="E279" s="8" t="str">
        <f>IF(B279="Inactive", EDATE(D279,K279), "")</f>
        <v/>
      </c>
      <c r="F279" t="s">
        <v>10</v>
      </c>
      <c r="G279">
        <v>21.9</v>
      </c>
      <c r="H279" t="str" cm="1">
        <f t="array" ref="H279">_xlfn.IFS(G279&gt;=20,"20-25", G279&gt;=15,"15-20", G279&gt;=10,"10-15", G279&gt;=5,"5-10", G279&gt;=1,"1-5", G279&lt;1,"Less than 1")</f>
        <v>20-25</v>
      </c>
      <c r="I279">
        <v>0</v>
      </c>
      <c r="J279">
        <v>5</v>
      </c>
      <c r="K279" s="6">
        <v>11</v>
      </c>
      <c r="L279" s="2">
        <v>6.99</v>
      </c>
      <c r="M279" s="6">
        <v>8</v>
      </c>
      <c r="N279" t="str" cm="1">
        <f t="array" ref="N279">_xlfn.IFS(M279&gt;=50,"50-60 Days", M279&gt;=40,"40-50 Days", M279&gt;=30, "30-40 Days", M279&gt;=20, "20-30 Days", M279&gt;=10, "10-20 Days", M279&gt;=0, "0-10 Days")</f>
        <v>0-10 Days</v>
      </c>
    </row>
    <row r="280" spans="1:14">
      <c r="A280">
        <v>279</v>
      </c>
      <c r="B280" t="s">
        <v>29</v>
      </c>
      <c r="C280" s="5">
        <v>45277</v>
      </c>
      <c r="D280" s="8">
        <v>45277</v>
      </c>
      <c r="E280" s="8" t="str">
        <f>IF(B280="Inactive", EDATE(D280,K280), "")</f>
        <v/>
      </c>
      <c r="F280" t="s">
        <v>14</v>
      </c>
      <c r="G280">
        <v>13.4</v>
      </c>
      <c r="H280" t="str" cm="1">
        <f t="array" ref="H280">_xlfn.IFS(G280&gt;=20,"20-25", G280&gt;=15,"15-20", G280&gt;=10,"10-15", G280&gt;=5,"5-10", G280&gt;=1,"1-5", G280&lt;1,"Less than 1")</f>
        <v>10-15</v>
      </c>
      <c r="I280">
        <v>5</v>
      </c>
      <c r="J280">
        <v>1</v>
      </c>
      <c r="K280" s="6">
        <v>11</v>
      </c>
      <c r="L280" s="2">
        <v>3.99</v>
      </c>
      <c r="M280" s="6">
        <v>29</v>
      </c>
      <c r="N280" t="str" cm="1">
        <f t="array" ref="N280">_xlfn.IFS(M280&gt;=50,"50-60 Days", M280&gt;=40,"40-50 Days", M280&gt;=30, "30-40 Days", M280&gt;=20, "20-30 Days", M280&gt;=10, "10-20 Days", M280&gt;=0, "0-10 Days")</f>
        <v>20-30 Days</v>
      </c>
    </row>
    <row r="281" spans="1:14">
      <c r="A281">
        <v>280</v>
      </c>
      <c r="B281" t="s">
        <v>28</v>
      </c>
      <c r="C281" s="5">
        <v>45179</v>
      </c>
      <c r="D281" s="8">
        <v>45179</v>
      </c>
      <c r="E281" s="8">
        <f>IF(B281="Inactive", EDATE(D281,K281), "")</f>
        <v>45422</v>
      </c>
      <c r="F281" t="s">
        <v>10</v>
      </c>
      <c r="G281">
        <v>17.100000000000001</v>
      </c>
      <c r="H281" t="str" cm="1">
        <f t="array" ref="H281">_xlfn.IFS(G281&gt;=20,"20-25", G281&gt;=15,"15-20", G281&gt;=10,"10-15", G281&gt;=5,"5-10", G281&gt;=1,"1-5", G281&lt;1,"Less than 1")</f>
        <v>15-20</v>
      </c>
      <c r="I281">
        <v>4</v>
      </c>
      <c r="J281">
        <v>4</v>
      </c>
      <c r="K281" s="6">
        <v>8</v>
      </c>
      <c r="L281" s="2">
        <v>6.99</v>
      </c>
      <c r="M281" s="6">
        <v>30</v>
      </c>
      <c r="N281" t="str" cm="1">
        <f t="array" ref="N281">_xlfn.IFS(M281&gt;=50,"50-60 Days", M281&gt;=40,"40-50 Days", M281&gt;=30, "30-40 Days", M281&gt;=20, "20-30 Days", M281&gt;=10, "10-20 Days", M281&gt;=0, "0-10 Days")</f>
        <v>30-40 Days</v>
      </c>
    </row>
    <row r="282" spans="1:14">
      <c r="A282">
        <v>281</v>
      </c>
      <c r="B282" t="s">
        <v>28</v>
      </c>
      <c r="C282" s="5">
        <v>45648</v>
      </c>
      <c r="D282" s="8">
        <v>45648</v>
      </c>
      <c r="E282" s="8">
        <f>IF(B282="Inactive", EDATE(D282,K282), "")</f>
        <v>46013</v>
      </c>
      <c r="F282" t="s">
        <v>14</v>
      </c>
      <c r="G282">
        <v>7.8</v>
      </c>
      <c r="H282" t="str" cm="1">
        <f t="array" ref="H282">_xlfn.IFS(G282&gt;=20,"20-25", G282&gt;=15,"15-20", G282&gt;=10,"10-15", G282&gt;=5,"5-10", G282&gt;=1,"1-5", G282&lt;1,"Less than 1")</f>
        <v>5-10</v>
      </c>
      <c r="I282">
        <v>4</v>
      </c>
      <c r="J282">
        <v>2</v>
      </c>
      <c r="K282" s="6">
        <v>12</v>
      </c>
      <c r="L282" s="2">
        <v>3.99</v>
      </c>
      <c r="M282" s="6">
        <v>45</v>
      </c>
      <c r="N282" t="str" cm="1">
        <f t="array" ref="N282">_xlfn.IFS(M282&gt;=50,"50-60 Days", M282&gt;=40,"40-50 Days", M282&gt;=30, "30-40 Days", M282&gt;=20, "20-30 Days", M282&gt;=10, "10-20 Days", M282&gt;=0, "0-10 Days")</f>
        <v>40-50 Days</v>
      </c>
    </row>
    <row r="283" spans="1:14">
      <c r="A283">
        <v>282</v>
      </c>
      <c r="B283" t="s">
        <v>28</v>
      </c>
      <c r="C283" s="5">
        <v>45514</v>
      </c>
      <c r="D283" s="8">
        <v>45514</v>
      </c>
      <c r="E283" s="8">
        <f>IF(B283="Inactive", EDATE(D283,K283), "")</f>
        <v>45726</v>
      </c>
      <c r="F283" t="s">
        <v>14</v>
      </c>
      <c r="G283">
        <v>12.3</v>
      </c>
      <c r="H283" t="str" cm="1">
        <f t="array" ref="H283">_xlfn.IFS(G283&gt;=20,"20-25", G283&gt;=15,"15-20", G283&gt;=10,"10-15", G283&gt;=5,"5-10", G283&gt;=1,"1-5", G283&lt;1,"Less than 1")</f>
        <v>10-15</v>
      </c>
      <c r="I283">
        <v>8</v>
      </c>
      <c r="J283">
        <v>5</v>
      </c>
      <c r="K283" s="6">
        <v>7</v>
      </c>
      <c r="L283" s="2">
        <v>3.99</v>
      </c>
      <c r="M283" s="6">
        <v>17</v>
      </c>
      <c r="N283" t="str" cm="1">
        <f t="array" ref="N283">_xlfn.IFS(M283&gt;=50,"50-60 Days", M283&gt;=40,"40-50 Days", M283&gt;=30, "30-40 Days", M283&gt;=20, "20-30 Days", M283&gt;=10, "10-20 Days", M283&gt;=0, "0-10 Days")</f>
        <v>10-20 Days</v>
      </c>
    </row>
    <row r="284" spans="1:14">
      <c r="A284">
        <v>283</v>
      </c>
      <c r="B284" t="s">
        <v>29</v>
      </c>
      <c r="C284" s="5">
        <v>45224</v>
      </c>
      <c r="D284" s="8">
        <v>45224</v>
      </c>
      <c r="E284" s="8" t="str">
        <f>IF(B284="Inactive", EDATE(D284,K284), "")</f>
        <v/>
      </c>
      <c r="F284" t="s">
        <v>10</v>
      </c>
      <c r="G284">
        <v>9.8000000000000007</v>
      </c>
      <c r="H284" t="str" cm="1">
        <f t="array" ref="H284">_xlfn.IFS(G284&gt;=20,"20-25", G284&gt;=15,"15-20", G284&gt;=10,"10-15", G284&gt;=5,"5-10", G284&gt;=1,"1-5", G284&lt;1,"Less than 1")</f>
        <v>5-10</v>
      </c>
      <c r="I284">
        <v>6</v>
      </c>
      <c r="J284">
        <v>2</v>
      </c>
      <c r="K284" s="6">
        <v>12</v>
      </c>
      <c r="L284" s="2">
        <v>6.99</v>
      </c>
      <c r="M284" s="6">
        <v>49</v>
      </c>
      <c r="N284" t="str" cm="1">
        <f t="array" ref="N284">_xlfn.IFS(M284&gt;=50,"50-60 Days", M284&gt;=40,"40-50 Days", M284&gt;=30, "30-40 Days", M284&gt;=20, "20-30 Days", M284&gt;=10, "10-20 Days", M284&gt;=0, "0-10 Days")</f>
        <v>40-50 Days</v>
      </c>
    </row>
    <row r="285" spans="1:14">
      <c r="A285">
        <v>284</v>
      </c>
      <c r="B285" t="s">
        <v>28</v>
      </c>
      <c r="C285" s="5">
        <v>45189</v>
      </c>
      <c r="D285" s="8">
        <v>45189</v>
      </c>
      <c r="E285" s="8">
        <f>IF(B285="Inactive", EDATE(D285,K285), "")</f>
        <v>45402</v>
      </c>
      <c r="F285" t="s">
        <v>12</v>
      </c>
      <c r="G285">
        <v>23.9</v>
      </c>
      <c r="H285" t="str" cm="1">
        <f t="array" ref="H285">_xlfn.IFS(G285&gt;=20,"20-25", G285&gt;=15,"15-20", G285&gt;=10,"10-15", G285&gt;=5,"5-10", G285&gt;=1,"1-5", G285&lt;1,"Less than 1")</f>
        <v>20-25</v>
      </c>
      <c r="I285">
        <v>1</v>
      </c>
      <c r="J285">
        <v>2</v>
      </c>
      <c r="K285" s="6">
        <v>7</v>
      </c>
      <c r="L285" s="2">
        <v>1.99</v>
      </c>
      <c r="M285" s="6">
        <v>59</v>
      </c>
      <c r="N285" t="str" cm="1">
        <f t="array" ref="N285">_xlfn.IFS(M285&gt;=50,"50-60 Days", M285&gt;=40,"40-50 Days", M285&gt;=30, "30-40 Days", M285&gt;=20, "20-30 Days", M285&gt;=10, "10-20 Days", M285&gt;=0, "0-10 Days")</f>
        <v>50-60 Days</v>
      </c>
    </row>
    <row r="286" spans="1:14">
      <c r="A286">
        <v>285</v>
      </c>
      <c r="B286" t="s">
        <v>28</v>
      </c>
      <c r="C286" s="5">
        <v>45205</v>
      </c>
      <c r="D286" s="8">
        <v>45205</v>
      </c>
      <c r="E286" s="8">
        <f>IF(B286="Inactive", EDATE(D286,K286), "")</f>
        <v>45541</v>
      </c>
      <c r="F286" t="s">
        <v>10</v>
      </c>
      <c r="G286">
        <v>5.7</v>
      </c>
      <c r="H286" t="str" cm="1">
        <f t="array" ref="H286">_xlfn.IFS(G286&gt;=20,"20-25", G286&gt;=15,"15-20", G286&gt;=10,"10-15", G286&gt;=5,"5-10", G286&gt;=1,"1-5", G286&lt;1,"Less than 1")</f>
        <v>5-10</v>
      </c>
      <c r="I286">
        <v>8</v>
      </c>
      <c r="J286">
        <v>2</v>
      </c>
      <c r="K286" s="6">
        <v>11</v>
      </c>
      <c r="L286" s="2">
        <v>6.99</v>
      </c>
      <c r="M286" s="6">
        <v>59</v>
      </c>
      <c r="N286" t="str" cm="1">
        <f t="array" ref="N286">_xlfn.IFS(M286&gt;=50,"50-60 Days", M286&gt;=40,"40-50 Days", M286&gt;=30, "30-40 Days", M286&gt;=20, "20-30 Days", M286&gt;=10, "10-20 Days", M286&gt;=0, "0-10 Days")</f>
        <v>50-60 Days</v>
      </c>
    </row>
    <row r="287" spans="1:14">
      <c r="A287">
        <v>286</v>
      </c>
      <c r="B287" t="s">
        <v>29</v>
      </c>
      <c r="C287" s="5">
        <v>45470</v>
      </c>
      <c r="D287" s="8">
        <v>45470</v>
      </c>
      <c r="E287" s="8" t="str">
        <f>IF(B287="Inactive", EDATE(D287,K287), "")</f>
        <v/>
      </c>
      <c r="F287" t="s">
        <v>12</v>
      </c>
      <c r="G287">
        <v>15.6</v>
      </c>
      <c r="H287" t="str" cm="1">
        <f t="array" ref="H287">_xlfn.IFS(G287&gt;=20,"20-25", G287&gt;=15,"15-20", G287&gt;=10,"10-15", G287&gt;=5,"5-10", G287&gt;=1,"1-5", G287&lt;1,"Less than 1")</f>
        <v>15-20</v>
      </c>
      <c r="I287">
        <v>3</v>
      </c>
      <c r="J287">
        <v>1</v>
      </c>
      <c r="K287" s="6">
        <v>3</v>
      </c>
      <c r="L287" s="2">
        <v>1.99</v>
      </c>
      <c r="M287" s="6">
        <v>3</v>
      </c>
      <c r="N287" t="str" cm="1">
        <f t="array" ref="N287">_xlfn.IFS(M287&gt;=50,"50-60 Days", M287&gt;=40,"40-50 Days", M287&gt;=30, "30-40 Days", M287&gt;=20, "20-30 Days", M287&gt;=10, "10-20 Days", M287&gt;=0, "0-10 Days")</f>
        <v>0-10 Days</v>
      </c>
    </row>
    <row r="288" spans="1:14">
      <c r="A288">
        <v>287</v>
      </c>
      <c r="B288" t="s">
        <v>28</v>
      </c>
      <c r="C288" s="5">
        <v>45624</v>
      </c>
      <c r="D288" s="8">
        <v>45624</v>
      </c>
      <c r="E288" s="8">
        <f>IF(B288="Inactive", EDATE(D288,K288), "")</f>
        <v>45775</v>
      </c>
      <c r="F288" t="s">
        <v>12</v>
      </c>
      <c r="G288">
        <v>1.8</v>
      </c>
      <c r="H288" t="str" cm="1">
        <f t="array" ref="H288">_xlfn.IFS(G288&gt;=20,"20-25", G288&gt;=15,"15-20", G288&gt;=10,"10-15", G288&gt;=5,"5-10", G288&gt;=1,"1-5", G288&lt;1,"Less than 1")</f>
        <v>1-5</v>
      </c>
      <c r="I288">
        <v>6</v>
      </c>
      <c r="J288">
        <v>2</v>
      </c>
      <c r="K288" s="6">
        <v>5</v>
      </c>
      <c r="L288" s="2">
        <v>1.99</v>
      </c>
      <c r="M288" s="6">
        <v>45</v>
      </c>
      <c r="N288" t="str" cm="1">
        <f t="array" ref="N288">_xlfn.IFS(M288&gt;=50,"50-60 Days", M288&gt;=40,"40-50 Days", M288&gt;=30, "30-40 Days", M288&gt;=20, "20-30 Days", M288&gt;=10, "10-20 Days", M288&gt;=0, "0-10 Days")</f>
        <v>40-50 Days</v>
      </c>
    </row>
    <row r="289" spans="1:14">
      <c r="A289">
        <v>288</v>
      </c>
      <c r="B289" t="s">
        <v>29</v>
      </c>
      <c r="C289" s="5">
        <v>45414</v>
      </c>
      <c r="D289" s="8">
        <v>45414</v>
      </c>
      <c r="E289" s="8" t="str">
        <f>IF(B289="Inactive", EDATE(D289,K289), "")</f>
        <v/>
      </c>
      <c r="F289" t="s">
        <v>12</v>
      </c>
      <c r="G289">
        <v>24.1</v>
      </c>
      <c r="H289" t="str" cm="1">
        <f t="array" ref="H289">_xlfn.IFS(G289&gt;=20,"20-25", G289&gt;=15,"15-20", G289&gt;=10,"10-15", G289&gt;=5,"5-10", G289&gt;=1,"1-5", G289&lt;1,"Less than 1")</f>
        <v>20-25</v>
      </c>
      <c r="I289">
        <v>2</v>
      </c>
      <c r="J289">
        <v>3</v>
      </c>
      <c r="K289" s="6">
        <v>1</v>
      </c>
      <c r="L289" s="2">
        <v>1.99</v>
      </c>
      <c r="M289" s="6">
        <v>41</v>
      </c>
      <c r="N289" t="str" cm="1">
        <f t="array" ref="N289">_xlfn.IFS(M289&gt;=50,"50-60 Days", M289&gt;=40,"40-50 Days", M289&gt;=30, "30-40 Days", M289&gt;=20, "20-30 Days", M289&gt;=10, "10-20 Days", M289&gt;=0, "0-10 Days")</f>
        <v>40-50 Days</v>
      </c>
    </row>
    <row r="290" spans="1:14">
      <c r="A290">
        <v>289</v>
      </c>
      <c r="B290" t="s">
        <v>29</v>
      </c>
      <c r="C290" s="5">
        <v>45018</v>
      </c>
      <c r="D290" s="8">
        <v>45018</v>
      </c>
      <c r="E290" s="8" t="str">
        <f>IF(B290="Inactive", EDATE(D290,K290), "")</f>
        <v/>
      </c>
      <c r="F290" t="s">
        <v>14</v>
      </c>
      <c r="G290">
        <v>19</v>
      </c>
      <c r="H290" t="str" cm="1">
        <f t="array" ref="H290">_xlfn.IFS(G290&gt;=20,"20-25", G290&gt;=15,"15-20", G290&gt;=10,"10-15", G290&gt;=5,"5-10", G290&gt;=1,"1-5", G290&lt;1,"Less than 1")</f>
        <v>15-20</v>
      </c>
      <c r="I290">
        <v>4</v>
      </c>
      <c r="J290">
        <v>2</v>
      </c>
      <c r="K290" s="6">
        <v>5</v>
      </c>
      <c r="L290" s="2">
        <v>3.99</v>
      </c>
      <c r="M290" s="6">
        <v>18</v>
      </c>
      <c r="N290" t="str" cm="1">
        <f t="array" ref="N290">_xlfn.IFS(M290&gt;=50,"50-60 Days", M290&gt;=40,"40-50 Days", M290&gt;=30, "30-40 Days", M290&gt;=20, "20-30 Days", M290&gt;=10, "10-20 Days", M290&gt;=0, "0-10 Days")</f>
        <v>10-20 Days</v>
      </c>
    </row>
    <row r="291" spans="1:14">
      <c r="A291">
        <v>290</v>
      </c>
      <c r="B291" t="s">
        <v>29</v>
      </c>
      <c r="C291" s="5">
        <v>45107</v>
      </c>
      <c r="D291" s="8">
        <v>45107</v>
      </c>
      <c r="E291" s="8" t="str">
        <f>IF(B291="Inactive", EDATE(D291,K291), "")</f>
        <v/>
      </c>
      <c r="F291" t="s">
        <v>10</v>
      </c>
      <c r="G291">
        <v>13.6</v>
      </c>
      <c r="H291" t="str" cm="1">
        <f t="array" ref="H291">_xlfn.IFS(G291&gt;=20,"20-25", G291&gt;=15,"15-20", G291&gt;=10,"10-15", G291&gt;=5,"5-10", G291&gt;=1,"1-5", G291&lt;1,"Less than 1")</f>
        <v>10-15</v>
      </c>
      <c r="I291">
        <v>0</v>
      </c>
      <c r="J291">
        <v>1</v>
      </c>
      <c r="K291" s="6">
        <v>5</v>
      </c>
      <c r="L291" s="2">
        <v>6.99</v>
      </c>
      <c r="M291" s="6">
        <v>26</v>
      </c>
      <c r="N291" t="str" cm="1">
        <f t="array" ref="N291">_xlfn.IFS(M291&gt;=50,"50-60 Days", M291&gt;=40,"40-50 Days", M291&gt;=30, "30-40 Days", M291&gt;=20, "20-30 Days", M291&gt;=10, "10-20 Days", M291&gt;=0, "0-10 Days")</f>
        <v>20-30 Days</v>
      </c>
    </row>
    <row r="292" spans="1:14">
      <c r="A292">
        <v>291</v>
      </c>
      <c r="B292" t="s">
        <v>29</v>
      </c>
      <c r="C292" s="5">
        <v>44965</v>
      </c>
      <c r="D292" s="8">
        <v>44965</v>
      </c>
      <c r="E292" s="8" t="str">
        <f>IF(B292="Inactive", EDATE(D292,K292), "")</f>
        <v/>
      </c>
      <c r="F292" t="s">
        <v>12</v>
      </c>
      <c r="G292">
        <v>19.8</v>
      </c>
      <c r="H292" t="str" cm="1">
        <f t="array" ref="H292">_xlfn.IFS(G292&gt;=20,"20-25", G292&gt;=15,"15-20", G292&gt;=10,"10-15", G292&gt;=5,"5-10", G292&gt;=1,"1-5", G292&lt;1,"Less than 1")</f>
        <v>15-20</v>
      </c>
      <c r="I292">
        <v>2</v>
      </c>
      <c r="J292">
        <v>5</v>
      </c>
      <c r="K292" s="6">
        <v>9</v>
      </c>
      <c r="L292" s="2">
        <v>1.99</v>
      </c>
      <c r="M292" s="6">
        <v>55</v>
      </c>
      <c r="N292" t="str" cm="1">
        <f t="array" ref="N292">_xlfn.IFS(M292&gt;=50,"50-60 Days", M292&gt;=40,"40-50 Days", M292&gt;=30, "30-40 Days", M292&gt;=20, "20-30 Days", M292&gt;=10, "10-20 Days", M292&gt;=0, "0-10 Days")</f>
        <v>50-60 Days</v>
      </c>
    </row>
    <row r="293" spans="1:14">
      <c r="A293">
        <v>292</v>
      </c>
      <c r="B293" t="s">
        <v>29</v>
      </c>
      <c r="C293" s="5">
        <v>45583</v>
      </c>
      <c r="D293" s="8">
        <v>45583</v>
      </c>
      <c r="E293" s="8" t="str">
        <f>IF(B293="Inactive", EDATE(D293,K293), "")</f>
        <v/>
      </c>
      <c r="F293" t="s">
        <v>12</v>
      </c>
      <c r="G293">
        <v>14.4</v>
      </c>
      <c r="H293" t="str" cm="1">
        <f t="array" ref="H293">_xlfn.IFS(G293&gt;=20,"20-25", G293&gt;=15,"15-20", G293&gt;=10,"10-15", G293&gt;=5,"5-10", G293&gt;=1,"1-5", G293&lt;1,"Less than 1")</f>
        <v>10-15</v>
      </c>
      <c r="I293">
        <v>1</v>
      </c>
      <c r="J293">
        <v>2</v>
      </c>
      <c r="K293" s="6">
        <v>7</v>
      </c>
      <c r="L293" s="2">
        <v>1.99</v>
      </c>
      <c r="M293" s="6">
        <v>18</v>
      </c>
      <c r="N293" t="str" cm="1">
        <f t="array" ref="N293">_xlfn.IFS(M293&gt;=50,"50-60 Days", M293&gt;=40,"40-50 Days", M293&gt;=30, "30-40 Days", M293&gt;=20, "20-30 Days", M293&gt;=10, "10-20 Days", M293&gt;=0, "0-10 Days")</f>
        <v>10-20 Days</v>
      </c>
    </row>
    <row r="294" spans="1:14">
      <c r="A294">
        <v>293</v>
      </c>
      <c r="B294" t="s">
        <v>28</v>
      </c>
      <c r="C294" s="5">
        <v>45042</v>
      </c>
      <c r="D294" s="8">
        <v>45042</v>
      </c>
      <c r="E294" s="8">
        <f>IF(B294="Inactive", EDATE(D294,K294), "")</f>
        <v>45408</v>
      </c>
      <c r="F294" t="s">
        <v>10</v>
      </c>
      <c r="G294">
        <v>12.6</v>
      </c>
      <c r="H294" t="str" cm="1">
        <f t="array" ref="H294">_xlfn.IFS(G294&gt;=20,"20-25", G294&gt;=15,"15-20", G294&gt;=10,"10-15", G294&gt;=5,"5-10", G294&gt;=1,"1-5", G294&lt;1,"Less than 1")</f>
        <v>10-15</v>
      </c>
      <c r="I294">
        <v>2</v>
      </c>
      <c r="J294">
        <v>4</v>
      </c>
      <c r="K294" s="6">
        <v>12</v>
      </c>
      <c r="L294" s="2">
        <v>6.99</v>
      </c>
      <c r="M294" s="6">
        <v>29</v>
      </c>
      <c r="N294" t="str" cm="1">
        <f t="array" ref="N294">_xlfn.IFS(M294&gt;=50,"50-60 Days", M294&gt;=40,"40-50 Days", M294&gt;=30, "30-40 Days", M294&gt;=20, "20-30 Days", M294&gt;=10, "10-20 Days", M294&gt;=0, "0-10 Days")</f>
        <v>20-30 Days</v>
      </c>
    </row>
    <row r="295" spans="1:14">
      <c r="A295">
        <v>294</v>
      </c>
      <c r="B295" t="s">
        <v>28</v>
      </c>
      <c r="C295" s="5">
        <v>45272</v>
      </c>
      <c r="D295" s="8">
        <v>45272</v>
      </c>
      <c r="E295" s="8">
        <f>IF(B295="Inactive", EDATE(D295,K295), "")</f>
        <v>45394</v>
      </c>
      <c r="F295" t="s">
        <v>14</v>
      </c>
      <c r="G295">
        <v>18.399999999999999</v>
      </c>
      <c r="H295" t="str" cm="1">
        <f t="array" ref="H295">_xlfn.IFS(G295&gt;=20,"20-25", G295&gt;=15,"15-20", G295&gt;=10,"10-15", G295&gt;=5,"5-10", G295&gt;=1,"1-5", G295&lt;1,"Less than 1")</f>
        <v>15-20</v>
      </c>
      <c r="I295">
        <v>4</v>
      </c>
      <c r="J295">
        <v>5</v>
      </c>
      <c r="K295" s="6">
        <v>4</v>
      </c>
      <c r="L295" s="2">
        <v>3.99</v>
      </c>
      <c r="M295" s="6">
        <v>11</v>
      </c>
      <c r="N295" t="str" cm="1">
        <f t="array" ref="N295">_xlfn.IFS(M295&gt;=50,"50-60 Days", M295&gt;=40,"40-50 Days", M295&gt;=30, "30-40 Days", M295&gt;=20, "20-30 Days", M295&gt;=10, "10-20 Days", M295&gt;=0, "0-10 Days")</f>
        <v>10-20 Days</v>
      </c>
    </row>
    <row r="296" spans="1:14">
      <c r="A296">
        <v>295</v>
      </c>
      <c r="B296" t="s">
        <v>28</v>
      </c>
      <c r="C296" s="5">
        <v>45337</v>
      </c>
      <c r="D296" s="8">
        <v>45337</v>
      </c>
      <c r="E296" s="8">
        <f>IF(B296="Inactive", EDATE(D296,K296), "")</f>
        <v>45488</v>
      </c>
      <c r="F296" t="s">
        <v>14</v>
      </c>
      <c r="G296">
        <v>4.8</v>
      </c>
      <c r="H296" t="str" cm="1">
        <f t="array" ref="H296">_xlfn.IFS(G296&gt;=20,"20-25", G296&gt;=15,"15-20", G296&gt;=10,"10-15", G296&gt;=5,"5-10", G296&gt;=1,"1-5", G296&lt;1,"Less than 1")</f>
        <v>1-5</v>
      </c>
      <c r="I296">
        <v>6</v>
      </c>
      <c r="J296">
        <v>3</v>
      </c>
      <c r="K296" s="6">
        <v>5</v>
      </c>
      <c r="L296" s="2">
        <v>3.99</v>
      </c>
      <c r="M296" s="6">
        <v>32</v>
      </c>
      <c r="N296" t="str" cm="1">
        <f t="array" ref="N296">_xlfn.IFS(M296&gt;=50,"50-60 Days", M296&gt;=40,"40-50 Days", M296&gt;=30, "30-40 Days", M296&gt;=20, "20-30 Days", M296&gt;=10, "10-20 Days", M296&gt;=0, "0-10 Days")</f>
        <v>30-40 Days</v>
      </c>
    </row>
    <row r="297" spans="1:14">
      <c r="A297">
        <v>296</v>
      </c>
      <c r="B297" t="s">
        <v>29</v>
      </c>
      <c r="C297" s="5">
        <v>44933</v>
      </c>
      <c r="D297" s="8">
        <v>44933</v>
      </c>
      <c r="E297" s="8" t="str">
        <f>IF(B297="Inactive", EDATE(D297,K297), "")</f>
        <v/>
      </c>
      <c r="F297" t="s">
        <v>10</v>
      </c>
      <c r="G297">
        <v>5</v>
      </c>
      <c r="H297" t="str" cm="1">
        <f t="array" ref="H297">_xlfn.IFS(G297&gt;=20,"20-25", G297&gt;=15,"15-20", G297&gt;=10,"10-15", G297&gt;=5,"5-10", G297&gt;=1,"1-5", G297&lt;1,"Less than 1")</f>
        <v>5-10</v>
      </c>
      <c r="I297">
        <v>2</v>
      </c>
      <c r="J297">
        <v>3</v>
      </c>
      <c r="K297" s="6">
        <v>3</v>
      </c>
      <c r="L297" s="2">
        <v>6.99</v>
      </c>
      <c r="M297" s="6">
        <v>20</v>
      </c>
      <c r="N297" t="str" cm="1">
        <f t="array" ref="N297">_xlfn.IFS(M297&gt;=50,"50-60 Days", M297&gt;=40,"40-50 Days", M297&gt;=30, "30-40 Days", M297&gt;=20, "20-30 Days", M297&gt;=10, "10-20 Days", M297&gt;=0, "0-10 Days")</f>
        <v>20-30 Days</v>
      </c>
    </row>
    <row r="298" spans="1:14">
      <c r="A298">
        <v>297</v>
      </c>
      <c r="B298" t="s">
        <v>29</v>
      </c>
      <c r="C298" s="5">
        <v>45513</v>
      </c>
      <c r="D298" s="8">
        <v>45513</v>
      </c>
      <c r="E298" s="8" t="str">
        <f>IF(B298="Inactive", EDATE(D298,K298), "")</f>
        <v/>
      </c>
      <c r="F298" t="s">
        <v>14</v>
      </c>
      <c r="G298">
        <v>6.3</v>
      </c>
      <c r="H298" t="str" cm="1">
        <f t="array" ref="H298">_xlfn.IFS(G298&gt;=20,"20-25", G298&gt;=15,"15-20", G298&gt;=10,"10-15", G298&gt;=5,"5-10", G298&gt;=1,"1-5", G298&lt;1,"Less than 1")</f>
        <v>5-10</v>
      </c>
      <c r="I298">
        <v>4</v>
      </c>
      <c r="J298">
        <v>2</v>
      </c>
      <c r="K298" s="6">
        <v>9</v>
      </c>
      <c r="L298" s="2">
        <v>3.99</v>
      </c>
      <c r="M298" s="6">
        <v>19</v>
      </c>
      <c r="N298" t="str" cm="1">
        <f t="array" ref="N298">_xlfn.IFS(M298&gt;=50,"50-60 Days", M298&gt;=40,"40-50 Days", M298&gt;=30, "30-40 Days", M298&gt;=20, "20-30 Days", M298&gt;=10, "10-20 Days", M298&gt;=0, "0-10 Days")</f>
        <v>10-20 Days</v>
      </c>
    </row>
    <row r="299" spans="1:14">
      <c r="A299">
        <v>298</v>
      </c>
      <c r="B299" t="s">
        <v>28</v>
      </c>
      <c r="C299" s="5">
        <v>45241</v>
      </c>
      <c r="D299" s="8">
        <v>45241</v>
      </c>
      <c r="E299" s="8">
        <f>IF(B299="Inactive", EDATE(D299,K299), "")</f>
        <v>45423</v>
      </c>
      <c r="F299" t="s">
        <v>12</v>
      </c>
      <c r="G299">
        <v>16.5</v>
      </c>
      <c r="H299" t="str" cm="1">
        <f t="array" ref="H299">_xlfn.IFS(G299&gt;=20,"20-25", G299&gt;=15,"15-20", G299&gt;=10,"10-15", G299&gt;=5,"5-10", G299&gt;=1,"1-5", G299&lt;1,"Less than 1")</f>
        <v>15-20</v>
      </c>
      <c r="I299">
        <v>3</v>
      </c>
      <c r="J299">
        <v>0</v>
      </c>
      <c r="K299" s="6">
        <v>6</v>
      </c>
      <c r="L299" s="2">
        <v>1.99</v>
      </c>
      <c r="M299" s="6">
        <v>42</v>
      </c>
      <c r="N299" t="str" cm="1">
        <f t="array" ref="N299">_xlfn.IFS(M299&gt;=50,"50-60 Days", M299&gt;=40,"40-50 Days", M299&gt;=30, "30-40 Days", M299&gt;=20, "20-30 Days", M299&gt;=10, "10-20 Days", M299&gt;=0, "0-10 Days")</f>
        <v>40-50 Days</v>
      </c>
    </row>
    <row r="300" spans="1:14">
      <c r="A300">
        <v>299</v>
      </c>
      <c r="B300" t="s">
        <v>29</v>
      </c>
      <c r="C300" s="5">
        <v>45229</v>
      </c>
      <c r="D300" s="8">
        <v>45229</v>
      </c>
      <c r="E300" s="8" t="str">
        <f>IF(B300="Inactive", EDATE(D300,K300), "")</f>
        <v/>
      </c>
      <c r="F300" t="s">
        <v>12</v>
      </c>
      <c r="G300">
        <v>17.3</v>
      </c>
      <c r="H300" t="str" cm="1">
        <f t="array" ref="H300">_xlfn.IFS(G300&gt;=20,"20-25", G300&gt;=15,"15-20", G300&gt;=10,"10-15", G300&gt;=5,"5-10", G300&gt;=1,"1-5", G300&lt;1,"Less than 1")</f>
        <v>15-20</v>
      </c>
      <c r="I300">
        <v>4</v>
      </c>
      <c r="J300">
        <v>5</v>
      </c>
      <c r="K300" s="6">
        <v>9</v>
      </c>
      <c r="L300" s="2">
        <v>1.99</v>
      </c>
      <c r="M300" s="6">
        <v>7</v>
      </c>
      <c r="N300" t="str" cm="1">
        <f t="array" ref="N300">_xlfn.IFS(M300&gt;=50,"50-60 Days", M300&gt;=40,"40-50 Days", M300&gt;=30, "30-40 Days", M300&gt;=20, "20-30 Days", M300&gt;=10, "10-20 Days", M300&gt;=0, "0-10 Days")</f>
        <v>0-10 Days</v>
      </c>
    </row>
    <row r="301" spans="1:14">
      <c r="A301">
        <v>300</v>
      </c>
      <c r="B301" t="s">
        <v>29</v>
      </c>
      <c r="C301" s="5">
        <v>45547</v>
      </c>
      <c r="D301" s="8">
        <v>45547</v>
      </c>
      <c r="E301" s="8" t="str">
        <f>IF(B301="Inactive", EDATE(D301,K301), "")</f>
        <v/>
      </c>
      <c r="F301" t="s">
        <v>14</v>
      </c>
      <c r="G301">
        <v>5.9</v>
      </c>
      <c r="H301" t="str" cm="1">
        <f t="array" ref="H301">_xlfn.IFS(G301&gt;=20,"20-25", G301&gt;=15,"15-20", G301&gt;=10,"10-15", G301&gt;=5,"5-10", G301&gt;=1,"1-5", G301&lt;1,"Less than 1")</f>
        <v>5-10</v>
      </c>
      <c r="I301">
        <v>2</v>
      </c>
      <c r="J301">
        <v>3</v>
      </c>
      <c r="K301" s="6">
        <v>5</v>
      </c>
      <c r="L301" s="2">
        <v>3.99</v>
      </c>
      <c r="M301" s="6">
        <v>9</v>
      </c>
      <c r="N301" t="str" cm="1">
        <f t="array" ref="N301">_xlfn.IFS(M301&gt;=50,"50-60 Days", M301&gt;=40,"40-50 Days", M301&gt;=30, "30-40 Days", M301&gt;=20, "20-30 Days", M301&gt;=10, "10-20 Days", M301&gt;=0, "0-10 Days")</f>
        <v>0-10 Days</v>
      </c>
    </row>
    <row r="302" spans="1:14">
      <c r="A302">
        <v>301</v>
      </c>
      <c r="B302" t="s">
        <v>28</v>
      </c>
      <c r="C302" s="5">
        <v>45150</v>
      </c>
      <c r="D302" s="8">
        <v>45150</v>
      </c>
      <c r="E302" s="8">
        <f>IF(B302="Inactive", EDATE(D302,K302), "")</f>
        <v>45424</v>
      </c>
      <c r="F302" t="s">
        <v>14</v>
      </c>
      <c r="G302">
        <v>17.7</v>
      </c>
      <c r="H302" t="str" cm="1">
        <f t="array" ref="H302">_xlfn.IFS(G302&gt;=20,"20-25", G302&gt;=15,"15-20", G302&gt;=10,"10-15", G302&gt;=5,"5-10", G302&gt;=1,"1-5", G302&lt;1,"Less than 1")</f>
        <v>15-20</v>
      </c>
      <c r="I302">
        <v>7</v>
      </c>
      <c r="J302">
        <v>4</v>
      </c>
      <c r="K302" s="6">
        <v>9</v>
      </c>
      <c r="L302" s="2">
        <v>3.99</v>
      </c>
      <c r="M302" s="6">
        <v>51</v>
      </c>
      <c r="N302" t="str" cm="1">
        <f t="array" ref="N302">_xlfn.IFS(M302&gt;=50,"50-60 Days", M302&gt;=40,"40-50 Days", M302&gt;=30, "30-40 Days", M302&gt;=20, "20-30 Days", M302&gt;=10, "10-20 Days", M302&gt;=0, "0-10 Days")</f>
        <v>50-60 Days</v>
      </c>
    </row>
    <row r="303" spans="1:14">
      <c r="A303">
        <v>302</v>
      </c>
      <c r="B303" t="s">
        <v>28</v>
      </c>
      <c r="C303" s="5">
        <v>45504</v>
      </c>
      <c r="D303" s="8">
        <v>45504</v>
      </c>
      <c r="E303" s="8">
        <f>IF(B303="Inactive", EDATE(D303,K303), "")</f>
        <v>45565</v>
      </c>
      <c r="F303" t="s">
        <v>12</v>
      </c>
      <c r="G303">
        <v>13.4</v>
      </c>
      <c r="H303" t="str" cm="1">
        <f t="array" ref="H303">_xlfn.IFS(G303&gt;=20,"20-25", G303&gt;=15,"15-20", G303&gt;=10,"10-15", G303&gt;=5,"5-10", G303&gt;=1,"1-5", G303&lt;1,"Less than 1")</f>
        <v>10-15</v>
      </c>
      <c r="I303">
        <v>8</v>
      </c>
      <c r="J303">
        <v>5</v>
      </c>
      <c r="K303" s="6">
        <v>2</v>
      </c>
      <c r="L303" s="2">
        <v>1.99</v>
      </c>
      <c r="M303" s="6">
        <v>23</v>
      </c>
      <c r="N303" t="str" cm="1">
        <f t="array" ref="N303">_xlfn.IFS(M303&gt;=50,"50-60 Days", M303&gt;=40,"40-50 Days", M303&gt;=30, "30-40 Days", M303&gt;=20, "20-30 Days", M303&gt;=10, "10-20 Days", M303&gt;=0, "0-10 Days")</f>
        <v>20-30 Days</v>
      </c>
    </row>
    <row r="304" spans="1:14">
      <c r="A304">
        <v>303</v>
      </c>
      <c r="B304" t="s">
        <v>29</v>
      </c>
      <c r="C304" s="5">
        <v>45095</v>
      </c>
      <c r="D304" s="8">
        <v>45095</v>
      </c>
      <c r="E304" s="8" t="str">
        <f>IF(B304="Inactive", EDATE(D304,K304), "")</f>
        <v/>
      </c>
      <c r="F304" t="s">
        <v>12</v>
      </c>
      <c r="G304">
        <v>20.8</v>
      </c>
      <c r="H304" t="str" cm="1">
        <f t="array" ref="H304">_xlfn.IFS(G304&gt;=20,"20-25", G304&gt;=15,"15-20", G304&gt;=10,"10-15", G304&gt;=5,"5-10", G304&gt;=1,"1-5", G304&lt;1,"Less than 1")</f>
        <v>20-25</v>
      </c>
      <c r="I304">
        <v>8</v>
      </c>
      <c r="J304">
        <v>1</v>
      </c>
      <c r="K304" s="6">
        <v>2</v>
      </c>
      <c r="L304" s="2">
        <v>1.99</v>
      </c>
      <c r="M304" s="6">
        <v>36</v>
      </c>
      <c r="N304" t="str" cm="1">
        <f t="array" ref="N304">_xlfn.IFS(M304&gt;=50,"50-60 Days", M304&gt;=40,"40-50 Days", M304&gt;=30, "30-40 Days", M304&gt;=20, "20-30 Days", M304&gt;=10, "10-20 Days", M304&gt;=0, "0-10 Days")</f>
        <v>30-40 Days</v>
      </c>
    </row>
    <row r="305" spans="1:14">
      <c r="A305">
        <v>304</v>
      </c>
      <c r="B305" t="s">
        <v>28</v>
      </c>
      <c r="C305" s="5">
        <v>45449</v>
      </c>
      <c r="D305" s="8">
        <v>45449</v>
      </c>
      <c r="E305" s="8">
        <f>IF(B305="Inactive", EDATE(D305,K305), "")</f>
        <v>45814</v>
      </c>
      <c r="F305" t="s">
        <v>14</v>
      </c>
      <c r="G305">
        <v>11.3</v>
      </c>
      <c r="H305" t="str" cm="1">
        <f t="array" ref="H305">_xlfn.IFS(G305&gt;=20,"20-25", G305&gt;=15,"15-20", G305&gt;=10,"10-15", G305&gt;=5,"5-10", G305&gt;=1,"1-5", G305&lt;1,"Less than 1")</f>
        <v>10-15</v>
      </c>
      <c r="I305">
        <v>3</v>
      </c>
      <c r="J305">
        <v>5</v>
      </c>
      <c r="K305" s="6">
        <v>12</v>
      </c>
      <c r="L305" s="2">
        <v>3.99</v>
      </c>
      <c r="M305" s="6">
        <v>37</v>
      </c>
      <c r="N305" t="str" cm="1">
        <f t="array" ref="N305">_xlfn.IFS(M305&gt;=50,"50-60 Days", M305&gt;=40,"40-50 Days", M305&gt;=30, "30-40 Days", M305&gt;=20, "20-30 Days", M305&gt;=10, "10-20 Days", M305&gt;=0, "0-10 Days")</f>
        <v>30-40 Days</v>
      </c>
    </row>
    <row r="306" spans="1:14">
      <c r="A306">
        <v>305</v>
      </c>
      <c r="B306" t="s">
        <v>28</v>
      </c>
      <c r="C306" s="5">
        <v>45499</v>
      </c>
      <c r="D306" s="8">
        <v>45499</v>
      </c>
      <c r="E306" s="8">
        <f>IF(B306="Inactive", EDATE(D306,K306), "")</f>
        <v>45561</v>
      </c>
      <c r="F306" t="s">
        <v>14</v>
      </c>
      <c r="G306">
        <v>11.6</v>
      </c>
      <c r="H306" t="str" cm="1">
        <f t="array" ref="H306">_xlfn.IFS(G306&gt;=20,"20-25", G306&gt;=15,"15-20", G306&gt;=10,"10-15", G306&gt;=5,"5-10", G306&gt;=1,"1-5", G306&lt;1,"Less than 1")</f>
        <v>10-15</v>
      </c>
      <c r="I306">
        <v>8</v>
      </c>
      <c r="J306">
        <v>3</v>
      </c>
      <c r="K306" s="6">
        <v>2</v>
      </c>
      <c r="L306" s="2">
        <v>3.99</v>
      </c>
      <c r="M306" s="6">
        <v>29</v>
      </c>
      <c r="N306" t="str" cm="1">
        <f t="array" ref="N306">_xlfn.IFS(M306&gt;=50,"50-60 Days", M306&gt;=40,"40-50 Days", M306&gt;=30, "30-40 Days", M306&gt;=20, "20-30 Days", M306&gt;=10, "10-20 Days", M306&gt;=0, "0-10 Days")</f>
        <v>20-30 Days</v>
      </c>
    </row>
    <row r="307" spans="1:14">
      <c r="A307">
        <v>306</v>
      </c>
      <c r="B307" t="s">
        <v>28</v>
      </c>
      <c r="C307" s="5">
        <v>45150</v>
      </c>
      <c r="D307" s="8">
        <v>45150</v>
      </c>
      <c r="E307" s="8">
        <f>IF(B307="Inactive", EDATE(D307,K307), "")</f>
        <v>45363</v>
      </c>
      <c r="F307" t="s">
        <v>14</v>
      </c>
      <c r="G307">
        <v>18.2</v>
      </c>
      <c r="H307" t="str" cm="1">
        <f t="array" ref="H307">_xlfn.IFS(G307&gt;=20,"20-25", G307&gt;=15,"15-20", G307&gt;=10,"10-15", G307&gt;=5,"5-10", G307&gt;=1,"1-5", G307&lt;1,"Less than 1")</f>
        <v>15-20</v>
      </c>
      <c r="I307">
        <v>6</v>
      </c>
      <c r="J307">
        <v>2</v>
      </c>
      <c r="K307" s="6">
        <v>7</v>
      </c>
      <c r="L307" s="2">
        <v>3.99</v>
      </c>
      <c r="M307" s="6">
        <v>52</v>
      </c>
      <c r="N307" t="str" cm="1">
        <f t="array" ref="N307">_xlfn.IFS(M307&gt;=50,"50-60 Days", M307&gt;=40,"40-50 Days", M307&gt;=30, "30-40 Days", M307&gt;=20, "20-30 Days", M307&gt;=10, "10-20 Days", M307&gt;=0, "0-10 Days")</f>
        <v>50-60 Days</v>
      </c>
    </row>
    <row r="308" spans="1:14">
      <c r="A308">
        <v>307</v>
      </c>
      <c r="B308" t="s">
        <v>28</v>
      </c>
      <c r="C308" s="5">
        <v>44988</v>
      </c>
      <c r="D308" s="8">
        <v>44988</v>
      </c>
      <c r="E308" s="8">
        <f>IF(B308="Inactive", EDATE(D308,K308), "")</f>
        <v>45049</v>
      </c>
      <c r="F308" t="s">
        <v>10</v>
      </c>
      <c r="G308">
        <v>1.6</v>
      </c>
      <c r="H308" t="str" cm="1">
        <f t="array" ref="H308">_xlfn.IFS(G308&gt;=20,"20-25", G308&gt;=15,"15-20", G308&gt;=10,"10-15", G308&gt;=5,"5-10", G308&gt;=1,"1-5", G308&lt;1,"Less than 1")</f>
        <v>1-5</v>
      </c>
      <c r="I308">
        <v>5</v>
      </c>
      <c r="J308">
        <v>5</v>
      </c>
      <c r="K308" s="6">
        <v>2</v>
      </c>
      <c r="L308" s="2">
        <v>6.99</v>
      </c>
      <c r="M308" s="6">
        <v>4</v>
      </c>
      <c r="N308" t="str" cm="1">
        <f t="array" ref="N308">_xlfn.IFS(M308&gt;=50,"50-60 Days", M308&gt;=40,"40-50 Days", M308&gt;=30, "30-40 Days", M308&gt;=20, "20-30 Days", M308&gt;=10, "10-20 Days", M308&gt;=0, "0-10 Days")</f>
        <v>0-10 Days</v>
      </c>
    </row>
    <row r="309" spans="1:14">
      <c r="A309">
        <v>308</v>
      </c>
      <c r="B309" t="s">
        <v>28</v>
      </c>
      <c r="C309" s="5">
        <v>45583</v>
      </c>
      <c r="D309" s="8">
        <v>45583</v>
      </c>
      <c r="E309" s="8">
        <f>IF(B309="Inactive", EDATE(D309,K309), "")</f>
        <v>45918</v>
      </c>
      <c r="F309" t="s">
        <v>12</v>
      </c>
      <c r="G309">
        <v>1.3</v>
      </c>
      <c r="H309" t="str" cm="1">
        <f t="array" ref="H309">_xlfn.IFS(G309&gt;=20,"20-25", G309&gt;=15,"15-20", G309&gt;=10,"10-15", G309&gt;=5,"5-10", G309&gt;=1,"1-5", G309&lt;1,"Less than 1")</f>
        <v>1-5</v>
      </c>
      <c r="I309">
        <v>6</v>
      </c>
      <c r="J309">
        <v>1</v>
      </c>
      <c r="K309" s="6">
        <v>11</v>
      </c>
      <c r="L309" s="2">
        <v>1.99</v>
      </c>
      <c r="M309" s="6">
        <v>49</v>
      </c>
      <c r="N309" t="str" cm="1">
        <f t="array" ref="N309">_xlfn.IFS(M309&gt;=50,"50-60 Days", M309&gt;=40,"40-50 Days", M309&gt;=30, "30-40 Days", M309&gt;=20, "20-30 Days", M309&gt;=10, "10-20 Days", M309&gt;=0, "0-10 Days")</f>
        <v>40-50 Days</v>
      </c>
    </row>
    <row r="310" spans="1:14">
      <c r="A310">
        <v>309</v>
      </c>
      <c r="B310" t="s">
        <v>29</v>
      </c>
      <c r="C310" s="5">
        <v>45313</v>
      </c>
      <c r="D310" s="8">
        <v>45313</v>
      </c>
      <c r="E310" s="8" t="str">
        <f>IF(B310="Inactive", EDATE(D310,K310), "")</f>
        <v/>
      </c>
      <c r="F310" t="s">
        <v>10</v>
      </c>
      <c r="G310">
        <v>9.6999999999999993</v>
      </c>
      <c r="H310" t="str" cm="1">
        <f t="array" ref="H310">_xlfn.IFS(G310&gt;=20,"20-25", G310&gt;=15,"15-20", G310&gt;=10,"10-15", G310&gt;=5,"5-10", G310&gt;=1,"1-5", G310&lt;1,"Less than 1")</f>
        <v>5-10</v>
      </c>
      <c r="I310">
        <v>6</v>
      </c>
      <c r="J310">
        <v>3</v>
      </c>
      <c r="K310" s="6">
        <v>9</v>
      </c>
      <c r="L310" s="2">
        <v>6.99</v>
      </c>
      <c r="M310" s="6">
        <v>55</v>
      </c>
      <c r="N310" t="str" cm="1">
        <f t="array" ref="N310">_xlfn.IFS(M310&gt;=50,"50-60 Days", M310&gt;=40,"40-50 Days", M310&gt;=30, "30-40 Days", M310&gt;=20, "20-30 Days", M310&gt;=10, "10-20 Days", M310&gt;=0, "0-10 Days")</f>
        <v>50-60 Days</v>
      </c>
    </row>
    <row r="311" spans="1:14">
      <c r="A311">
        <v>310</v>
      </c>
      <c r="B311" t="s">
        <v>29</v>
      </c>
      <c r="C311" s="5">
        <v>45048</v>
      </c>
      <c r="D311" s="8">
        <v>45048</v>
      </c>
      <c r="E311" s="8" t="str">
        <f>IF(B311="Inactive", EDATE(D311,K311), "")</f>
        <v/>
      </c>
      <c r="F311" t="s">
        <v>14</v>
      </c>
      <c r="G311">
        <v>17.2</v>
      </c>
      <c r="H311" t="str" cm="1">
        <f t="array" ref="H311">_xlfn.IFS(G311&gt;=20,"20-25", G311&gt;=15,"15-20", G311&gt;=10,"10-15", G311&gt;=5,"5-10", G311&gt;=1,"1-5", G311&lt;1,"Less than 1")</f>
        <v>15-20</v>
      </c>
      <c r="I311">
        <v>8</v>
      </c>
      <c r="J311">
        <v>1</v>
      </c>
      <c r="K311" s="6">
        <v>2</v>
      </c>
      <c r="L311" s="2">
        <v>3.99</v>
      </c>
      <c r="M311" s="6">
        <v>41</v>
      </c>
      <c r="N311" t="str" cm="1">
        <f t="array" ref="N311">_xlfn.IFS(M311&gt;=50,"50-60 Days", M311&gt;=40,"40-50 Days", M311&gt;=30, "30-40 Days", M311&gt;=20, "20-30 Days", M311&gt;=10, "10-20 Days", M311&gt;=0, "0-10 Days")</f>
        <v>40-50 Days</v>
      </c>
    </row>
    <row r="312" spans="1:14">
      <c r="A312">
        <v>311</v>
      </c>
      <c r="B312" t="s">
        <v>29</v>
      </c>
      <c r="C312" s="5">
        <v>44950</v>
      </c>
      <c r="D312" s="8">
        <v>44950</v>
      </c>
      <c r="E312" s="8" t="str">
        <f>IF(B312="Inactive", EDATE(D312,K312), "")</f>
        <v/>
      </c>
      <c r="F312" t="s">
        <v>12</v>
      </c>
      <c r="G312">
        <v>10.1</v>
      </c>
      <c r="H312" t="str" cm="1">
        <f t="array" ref="H312">_xlfn.IFS(G312&gt;=20,"20-25", G312&gt;=15,"15-20", G312&gt;=10,"10-15", G312&gt;=5,"5-10", G312&gt;=1,"1-5", G312&lt;1,"Less than 1")</f>
        <v>10-15</v>
      </c>
      <c r="I312">
        <v>2</v>
      </c>
      <c r="J312">
        <v>5</v>
      </c>
      <c r="K312" s="6">
        <v>12</v>
      </c>
      <c r="L312" s="2">
        <v>1.99</v>
      </c>
      <c r="M312" s="6">
        <v>14</v>
      </c>
      <c r="N312" t="str" cm="1">
        <f t="array" ref="N312">_xlfn.IFS(M312&gt;=50,"50-60 Days", M312&gt;=40,"40-50 Days", M312&gt;=30, "30-40 Days", M312&gt;=20, "20-30 Days", M312&gt;=10, "10-20 Days", M312&gt;=0, "0-10 Days")</f>
        <v>10-20 Days</v>
      </c>
    </row>
    <row r="313" spans="1:14">
      <c r="A313">
        <v>312</v>
      </c>
      <c r="B313" t="s">
        <v>28</v>
      </c>
      <c r="C313" s="5">
        <v>45162</v>
      </c>
      <c r="D313" s="8">
        <v>45162</v>
      </c>
      <c r="E313" s="8">
        <f>IF(B313="Inactive", EDATE(D313,K313), "")</f>
        <v>45467</v>
      </c>
      <c r="F313" t="s">
        <v>14</v>
      </c>
      <c r="G313">
        <v>17</v>
      </c>
      <c r="H313" t="str" cm="1">
        <f t="array" ref="H313">_xlfn.IFS(G313&gt;=20,"20-25", G313&gt;=15,"15-20", G313&gt;=10,"10-15", G313&gt;=5,"5-10", G313&gt;=1,"1-5", G313&lt;1,"Less than 1")</f>
        <v>15-20</v>
      </c>
      <c r="I313">
        <v>8</v>
      </c>
      <c r="J313">
        <v>3</v>
      </c>
      <c r="K313" s="6">
        <v>10</v>
      </c>
      <c r="L313" s="2">
        <v>3.99</v>
      </c>
      <c r="M313" s="6">
        <v>34</v>
      </c>
      <c r="N313" t="str" cm="1">
        <f t="array" ref="N313">_xlfn.IFS(M313&gt;=50,"50-60 Days", M313&gt;=40,"40-50 Days", M313&gt;=30, "30-40 Days", M313&gt;=20, "20-30 Days", M313&gt;=10, "10-20 Days", M313&gt;=0, "0-10 Days")</f>
        <v>30-40 Days</v>
      </c>
    </row>
    <row r="314" spans="1:14">
      <c r="A314">
        <v>313</v>
      </c>
      <c r="B314" t="s">
        <v>29</v>
      </c>
      <c r="C314" s="5">
        <v>45042</v>
      </c>
      <c r="D314" s="8">
        <v>45042</v>
      </c>
      <c r="E314" s="8" t="str">
        <f>IF(B314="Inactive", EDATE(D314,K314), "")</f>
        <v/>
      </c>
      <c r="F314" t="s">
        <v>12</v>
      </c>
      <c r="G314">
        <v>9</v>
      </c>
      <c r="H314" t="str" cm="1">
        <f t="array" ref="H314">_xlfn.IFS(G314&gt;=20,"20-25", G314&gt;=15,"15-20", G314&gt;=10,"10-15", G314&gt;=5,"5-10", G314&gt;=1,"1-5", G314&lt;1,"Less than 1")</f>
        <v>5-10</v>
      </c>
      <c r="I314">
        <v>4</v>
      </c>
      <c r="J314">
        <v>1</v>
      </c>
      <c r="K314" s="6">
        <v>10</v>
      </c>
      <c r="L314" s="2">
        <v>1.99</v>
      </c>
      <c r="M314" s="6">
        <v>59</v>
      </c>
      <c r="N314" t="str" cm="1">
        <f t="array" ref="N314">_xlfn.IFS(M314&gt;=50,"50-60 Days", M314&gt;=40,"40-50 Days", M314&gt;=30, "30-40 Days", M314&gt;=20, "20-30 Days", M314&gt;=10, "10-20 Days", M314&gt;=0, "0-10 Days")</f>
        <v>50-60 Days</v>
      </c>
    </row>
    <row r="315" spans="1:14">
      <c r="A315">
        <v>314</v>
      </c>
      <c r="B315" t="s">
        <v>28</v>
      </c>
      <c r="C315" s="5">
        <v>45535</v>
      </c>
      <c r="D315" s="8">
        <v>45535</v>
      </c>
      <c r="E315" s="8">
        <f>IF(B315="Inactive", EDATE(D315,K315), "")</f>
        <v>45808</v>
      </c>
      <c r="F315" t="s">
        <v>12</v>
      </c>
      <c r="G315">
        <v>15.6</v>
      </c>
      <c r="H315" t="str" cm="1">
        <f t="array" ref="H315">_xlfn.IFS(G315&gt;=20,"20-25", G315&gt;=15,"15-20", G315&gt;=10,"10-15", G315&gt;=5,"5-10", G315&gt;=1,"1-5", G315&lt;1,"Less than 1")</f>
        <v>15-20</v>
      </c>
      <c r="I315">
        <v>0</v>
      </c>
      <c r="J315">
        <v>1</v>
      </c>
      <c r="K315" s="6">
        <v>9</v>
      </c>
      <c r="L315" s="2">
        <v>1.99</v>
      </c>
      <c r="M315" s="6">
        <v>13</v>
      </c>
      <c r="N315" t="str" cm="1">
        <f t="array" ref="N315">_xlfn.IFS(M315&gt;=50,"50-60 Days", M315&gt;=40,"40-50 Days", M315&gt;=30, "30-40 Days", M315&gt;=20, "20-30 Days", M315&gt;=10, "10-20 Days", M315&gt;=0, "0-10 Days")</f>
        <v>10-20 Days</v>
      </c>
    </row>
    <row r="316" spans="1:14">
      <c r="A316">
        <v>315</v>
      </c>
      <c r="B316" t="s">
        <v>28</v>
      </c>
      <c r="C316" s="5">
        <v>45376</v>
      </c>
      <c r="D316" s="8">
        <v>45376</v>
      </c>
      <c r="E316" s="8">
        <f>IF(B316="Inactive", EDATE(D316,K316), "")</f>
        <v>45682</v>
      </c>
      <c r="F316" t="s">
        <v>12</v>
      </c>
      <c r="G316">
        <v>15.1</v>
      </c>
      <c r="H316" t="str" cm="1">
        <f t="array" ref="H316">_xlfn.IFS(G316&gt;=20,"20-25", G316&gt;=15,"15-20", G316&gt;=10,"10-15", G316&gt;=5,"5-10", G316&gt;=1,"1-5", G316&lt;1,"Less than 1")</f>
        <v>15-20</v>
      </c>
      <c r="I316">
        <v>0</v>
      </c>
      <c r="J316">
        <v>1</v>
      </c>
      <c r="K316" s="6">
        <v>10</v>
      </c>
      <c r="L316" s="2">
        <v>1.99</v>
      </c>
      <c r="M316" s="6">
        <v>47</v>
      </c>
      <c r="N316" t="str" cm="1">
        <f t="array" ref="N316">_xlfn.IFS(M316&gt;=50,"50-60 Days", M316&gt;=40,"40-50 Days", M316&gt;=30, "30-40 Days", M316&gt;=20, "20-30 Days", M316&gt;=10, "10-20 Days", M316&gt;=0, "0-10 Days")</f>
        <v>40-50 Days</v>
      </c>
    </row>
    <row r="317" spans="1:14">
      <c r="A317">
        <v>316</v>
      </c>
      <c r="B317" t="s">
        <v>29</v>
      </c>
      <c r="C317" s="5">
        <v>45166</v>
      </c>
      <c r="D317" s="8">
        <v>45166</v>
      </c>
      <c r="E317" s="8" t="str">
        <f>IF(B317="Inactive", EDATE(D317,K317), "")</f>
        <v/>
      </c>
      <c r="F317" t="s">
        <v>12</v>
      </c>
      <c r="G317">
        <v>5.8</v>
      </c>
      <c r="H317" t="str" cm="1">
        <f t="array" ref="H317">_xlfn.IFS(G317&gt;=20,"20-25", G317&gt;=15,"15-20", G317&gt;=10,"10-15", G317&gt;=5,"5-10", G317&gt;=1,"1-5", G317&lt;1,"Less than 1")</f>
        <v>5-10</v>
      </c>
      <c r="I317">
        <v>0</v>
      </c>
      <c r="J317">
        <v>1</v>
      </c>
      <c r="K317" s="6">
        <v>12</v>
      </c>
      <c r="L317" s="2">
        <v>1.99</v>
      </c>
      <c r="M317" s="6">
        <v>32</v>
      </c>
      <c r="N317" t="str" cm="1">
        <f t="array" ref="N317">_xlfn.IFS(M317&gt;=50,"50-60 Days", M317&gt;=40,"40-50 Days", M317&gt;=30, "30-40 Days", M317&gt;=20, "20-30 Days", M317&gt;=10, "10-20 Days", M317&gt;=0, "0-10 Days")</f>
        <v>30-40 Days</v>
      </c>
    </row>
    <row r="318" spans="1:14">
      <c r="A318">
        <v>317</v>
      </c>
      <c r="B318" t="s">
        <v>29</v>
      </c>
      <c r="C318" s="5">
        <v>45603</v>
      </c>
      <c r="D318" s="8">
        <v>45603</v>
      </c>
      <c r="E318" s="8" t="str">
        <f>IF(B318="Inactive", EDATE(D318,K318), "")</f>
        <v/>
      </c>
      <c r="F318" t="s">
        <v>10</v>
      </c>
      <c r="G318">
        <v>14.6</v>
      </c>
      <c r="H318" t="str" cm="1">
        <f t="array" ref="H318">_xlfn.IFS(G318&gt;=20,"20-25", G318&gt;=15,"15-20", G318&gt;=10,"10-15", G318&gt;=5,"5-10", G318&gt;=1,"1-5", G318&lt;1,"Less than 1")</f>
        <v>10-15</v>
      </c>
      <c r="I318">
        <v>5</v>
      </c>
      <c r="J318">
        <v>1</v>
      </c>
      <c r="K318" s="6">
        <v>7</v>
      </c>
      <c r="L318" s="2">
        <v>6.99</v>
      </c>
      <c r="M318" s="6">
        <v>19</v>
      </c>
      <c r="N318" t="str" cm="1">
        <f t="array" ref="N318">_xlfn.IFS(M318&gt;=50,"50-60 Days", M318&gt;=40,"40-50 Days", M318&gt;=30, "30-40 Days", M318&gt;=20, "20-30 Days", M318&gt;=10, "10-20 Days", M318&gt;=0, "0-10 Days")</f>
        <v>10-20 Days</v>
      </c>
    </row>
    <row r="319" spans="1:14">
      <c r="A319">
        <v>318</v>
      </c>
      <c r="B319" t="s">
        <v>29</v>
      </c>
      <c r="C319" s="5">
        <v>45106</v>
      </c>
      <c r="D319" s="8">
        <v>45106</v>
      </c>
      <c r="E319" s="8" t="str">
        <f>IF(B319="Inactive", EDATE(D319,K319), "")</f>
        <v/>
      </c>
      <c r="F319" t="s">
        <v>10</v>
      </c>
      <c r="G319">
        <v>10.6</v>
      </c>
      <c r="H319" t="str" cm="1">
        <f t="array" ref="H319">_xlfn.IFS(G319&gt;=20,"20-25", G319&gt;=15,"15-20", G319&gt;=10,"10-15", G319&gt;=5,"5-10", G319&gt;=1,"1-5", G319&lt;1,"Less than 1")</f>
        <v>10-15</v>
      </c>
      <c r="I319">
        <v>4</v>
      </c>
      <c r="J319">
        <v>0</v>
      </c>
      <c r="K319" s="6">
        <v>5</v>
      </c>
      <c r="L319" s="2">
        <v>6.99</v>
      </c>
      <c r="M319" s="6">
        <v>35</v>
      </c>
      <c r="N319" t="str" cm="1">
        <f t="array" ref="N319">_xlfn.IFS(M319&gt;=50,"50-60 Days", M319&gt;=40,"40-50 Days", M319&gt;=30, "30-40 Days", M319&gt;=20, "20-30 Days", M319&gt;=10, "10-20 Days", M319&gt;=0, "0-10 Days")</f>
        <v>30-40 Days</v>
      </c>
    </row>
    <row r="320" spans="1:14">
      <c r="A320">
        <v>319</v>
      </c>
      <c r="B320" t="s">
        <v>29</v>
      </c>
      <c r="C320" s="5">
        <v>45317</v>
      </c>
      <c r="D320" s="8">
        <v>45317</v>
      </c>
      <c r="E320" s="8" t="str">
        <f>IF(B320="Inactive", EDATE(D320,K320), "")</f>
        <v/>
      </c>
      <c r="F320" t="s">
        <v>10</v>
      </c>
      <c r="G320">
        <v>14.1</v>
      </c>
      <c r="H320" t="str" cm="1">
        <f t="array" ref="H320">_xlfn.IFS(G320&gt;=20,"20-25", G320&gt;=15,"15-20", G320&gt;=10,"10-15", G320&gt;=5,"5-10", G320&gt;=1,"1-5", G320&lt;1,"Less than 1")</f>
        <v>10-15</v>
      </c>
      <c r="I320">
        <v>0</v>
      </c>
      <c r="J320">
        <v>2</v>
      </c>
      <c r="K320" s="6">
        <v>10</v>
      </c>
      <c r="L320" s="2">
        <v>6.99</v>
      </c>
      <c r="M320" s="6">
        <v>60</v>
      </c>
      <c r="N320" t="str" cm="1">
        <f t="array" ref="N320">_xlfn.IFS(M320&gt;=50,"50-60 Days", M320&gt;=40,"40-50 Days", M320&gt;=30, "30-40 Days", M320&gt;=20, "20-30 Days", M320&gt;=10, "10-20 Days", M320&gt;=0, "0-10 Days")</f>
        <v>50-60 Days</v>
      </c>
    </row>
    <row r="321" spans="1:14">
      <c r="A321">
        <v>320</v>
      </c>
      <c r="B321" t="s">
        <v>29</v>
      </c>
      <c r="C321" s="5">
        <v>45477</v>
      </c>
      <c r="D321" s="8">
        <v>45477</v>
      </c>
      <c r="E321" s="8" t="str">
        <f>IF(B321="Inactive", EDATE(D321,K321), "")</f>
        <v/>
      </c>
      <c r="F321" t="s">
        <v>10</v>
      </c>
      <c r="G321">
        <v>17.600000000000001</v>
      </c>
      <c r="H321" t="str" cm="1">
        <f t="array" ref="H321">_xlfn.IFS(G321&gt;=20,"20-25", G321&gt;=15,"15-20", G321&gt;=10,"10-15", G321&gt;=5,"5-10", G321&gt;=1,"1-5", G321&lt;1,"Less than 1")</f>
        <v>15-20</v>
      </c>
      <c r="I321">
        <v>6</v>
      </c>
      <c r="J321">
        <v>1</v>
      </c>
      <c r="K321" s="6">
        <v>7</v>
      </c>
      <c r="L321" s="2">
        <v>6.99</v>
      </c>
      <c r="M321" s="6">
        <v>19</v>
      </c>
      <c r="N321" t="str" cm="1">
        <f t="array" ref="N321">_xlfn.IFS(M321&gt;=50,"50-60 Days", M321&gt;=40,"40-50 Days", M321&gt;=30, "30-40 Days", M321&gt;=20, "20-30 Days", M321&gt;=10, "10-20 Days", M321&gt;=0, "0-10 Days")</f>
        <v>10-20 Days</v>
      </c>
    </row>
    <row r="322" spans="1:14">
      <c r="A322">
        <v>321</v>
      </c>
      <c r="B322" t="s">
        <v>29</v>
      </c>
      <c r="C322" s="5">
        <v>44986</v>
      </c>
      <c r="D322" s="8">
        <v>44986</v>
      </c>
      <c r="E322" s="8" t="str">
        <f>IF(B322="Inactive", EDATE(D322,K322), "")</f>
        <v/>
      </c>
      <c r="F322" t="s">
        <v>14</v>
      </c>
      <c r="G322">
        <v>21.3</v>
      </c>
      <c r="H322" t="str" cm="1">
        <f t="array" ref="H322">_xlfn.IFS(G322&gt;=20,"20-25", G322&gt;=15,"15-20", G322&gt;=10,"10-15", G322&gt;=5,"5-10", G322&gt;=1,"1-5", G322&lt;1,"Less than 1")</f>
        <v>20-25</v>
      </c>
      <c r="I322">
        <v>4</v>
      </c>
      <c r="J322">
        <v>5</v>
      </c>
      <c r="K322" s="6">
        <v>6</v>
      </c>
      <c r="L322" s="2">
        <v>3.99</v>
      </c>
      <c r="M322" s="6">
        <v>9</v>
      </c>
      <c r="N322" t="str" cm="1">
        <f t="array" ref="N322">_xlfn.IFS(M322&gt;=50,"50-60 Days", M322&gt;=40,"40-50 Days", M322&gt;=30, "30-40 Days", M322&gt;=20, "20-30 Days", M322&gt;=10, "10-20 Days", M322&gt;=0, "0-10 Days")</f>
        <v>0-10 Days</v>
      </c>
    </row>
    <row r="323" spans="1:14">
      <c r="A323">
        <v>322</v>
      </c>
      <c r="B323" t="s">
        <v>28</v>
      </c>
      <c r="C323" s="5">
        <v>45188</v>
      </c>
      <c r="D323" s="8">
        <v>45188</v>
      </c>
      <c r="E323" s="8">
        <f>IF(B323="Inactive", EDATE(D323,K323), "")</f>
        <v>45462</v>
      </c>
      <c r="F323" t="s">
        <v>10</v>
      </c>
      <c r="G323">
        <v>24.2</v>
      </c>
      <c r="H323" t="str" cm="1">
        <f t="array" ref="H323">_xlfn.IFS(G323&gt;=20,"20-25", G323&gt;=15,"15-20", G323&gt;=10,"10-15", G323&gt;=5,"5-10", G323&gt;=1,"1-5", G323&lt;1,"Less than 1")</f>
        <v>20-25</v>
      </c>
      <c r="I323">
        <v>8</v>
      </c>
      <c r="J323">
        <v>4</v>
      </c>
      <c r="K323" s="6">
        <v>9</v>
      </c>
      <c r="L323" s="2">
        <v>6.99</v>
      </c>
      <c r="M323" s="6">
        <v>8</v>
      </c>
      <c r="N323" t="str" cm="1">
        <f t="array" ref="N323">_xlfn.IFS(M323&gt;=50,"50-60 Days", M323&gt;=40,"40-50 Days", M323&gt;=30, "30-40 Days", M323&gt;=20, "20-30 Days", M323&gt;=10, "10-20 Days", M323&gt;=0, "0-10 Days")</f>
        <v>0-10 Days</v>
      </c>
    </row>
    <row r="324" spans="1:14">
      <c r="A324">
        <v>323</v>
      </c>
      <c r="B324" t="s">
        <v>29</v>
      </c>
      <c r="C324" s="5">
        <v>45122</v>
      </c>
      <c r="D324" s="8">
        <v>45122</v>
      </c>
      <c r="E324" s="8" t="str">
        <f>IF(B324="Inactive", EDATE(D324,K324), "")</f>
        <v/>
      </c>
      <c r="F324" t="s">
        <v>12</v>
      </c>
      <c r="G324">
        <v>16.3</v>
      </c>
      <c r="H324" t="str" cm="1">
        <f t="array" ref="H324">_xlfn.IFS(G324&gt;=20,"20-25", G324&gt;=15,"15-20", G324&gt;=10,"10-15", G324&gt;=5,"5-10", G324&gt;=1,"1-5", G324&lt;1,"Less than 1")</f>
        <v>15-20</v>
      </c>
      <c r="I324">
        <v>7</v>
      </c>
      <c r="J324">
        <v>2</v>
      </c>
      <c r="K324" s="6">
        <v>8</v>
      </c>
      <c r="L324" s="2">
        <v>1.99</v>
      </c>
      <c r="M324" s="6">
        <v>5</v>
      </c>
      <c r="N324" t="str" cm="1">
        <f t="array" ref="N324">_xlfn.IFS(M324&gt;=50,"50-60 Days", M324&gt;=40,"40-50 Days", M324&gt;=30, "30-40 Days", M324&gt;=20, "20-30 Days", M324&gt;=10, "10-20 Days", M324&gt;=0, "0-10 Days")</f>
        <v>0-10 Days</v>
      </c>
    </row>
    <row r="325" spans="1:14">
      <c r="A325">
        <v>324</v>
      </c>
      <c r="B325" t="s">
        <v>29</v>
      </c>
      <c r="C325" s="5">
        <v>45528</v>
      </c>
      <c r="D325" s="8">
        <v>45528</v>
      </c>
      <c r="E325" s="8" t="str">
        <f>IF(B325="Inactive", EDATE(D325,K325), "")</f>
        <v/>
      </c>
      <c r="F325" t="s">
        <v>12</v>
      </c>
      <c r="G325">
        <v>9.6999999999999993</v>
      </c>
      <c r="H325" t="str" cm="1">
        <f t="array" ref="H325">_xlfn.IFS(G325&gt;=20,"20-25", G325&gt;=15,"15-20", G325&gt;=10,"10-15", G325&gt;=5,"5-10", G325&gt;=1,"1-5", G325&lt;1,"Less than 1")</f>
        <v>5-10</v>
      </c>
      <c r="I325">
        <v>0</v>
      </c>
      <c r="J325">
        <v>0</v>
      </c>
      <c r="K325" s="6">
        <v>6</v>
      </c>
      <c r="L325" s="2">
        <v>1.99</v>
      </c>
      <c r="M325" s="6">
        <v>12</v>
      </c>
      <c r="N325" t="str" cm="1">
        <f t="array" ref="N325">_xlfn.IFS(M325&gt;=50,"50-60 Days", M325&gt;=40,"40-50 Days", M325&gt;=30, "30-40 Days", M325&gt;=20, "20-30 Days", M325&gt;=10, "10-20 Days", M325&gt;=0, "0-10 Days")</f>
        <v>10-20 Days</v>
      </c>
    </row>
    <row r="326" spans="1:14">
      <c r="A326">
        <v>325</v>
      </c>
      <c r="B326" t="s">
        <v>29</v>
      </c>
      <c r="C326" s="5">
        <v>44942</v>
      </c>
      <c r="D326" s="8">
        <v>44942</v>
      </c>
      <c r="E326" s="8" t="str">
        <f>IF(B326="Inactive", EDATE(D326,K326), "")</f>
        <v/>
      </c>
      <c r="F326" t="s">
        <v>10</v>
      </c>
      <c r="G326">
        <v>5.8</v>
      </c>
      <c r="H326" t="str" cm="1">
        <f t="array" ref="H326">_xlfn.IFS(G326&gt;=20,"20-25", G326&gt;=15,"15-20", G326&gt;=10,"10-15", G326&gt;=5,"5-10", G326&gt;=1,"1-5", G326&lt;1,"Less than 1")</f>
        <v>5-10</v>
      </c>
      <c r="I326">
        <v>3</v>
      </c>
      <c r="J326">
        <v>2</v>
      </c>
      <c r="K326" s="6">
        <v>12</v>
      </c>
      <c r="L326" s="2">
        <v>6.99</v>
      </c>
      <c r="M326" s="6">
        <v>19</v>
      </c>
      <c r="N326" t="str" cm="1">
        <f t="array" ref="N326">_xlfn.IFS(M326&gt;=50,"50-60 Days", M326&gt;=40,"40-50 Days", M326&gt;=30, "30-40 Days", M326&gt;=20, "20-30 Days", M326&gt;=10, "10-20 Days", M326&gt;=0, "0-10 Days")</f>
        <v>10-20 Days</v>
      </c>
    </row>
    <row r="327" spans="1:14">
      <c r="A327">
        <v>326</v>
      </c>
      <c r="B327" t="s">
        <v>28</v>
      </c>
      <c r="C327" s="5">
        <v>45175</v>
      </c>
      <c r="D327" s="8">
        <v>45175</v>
      </c>
      <c r="E327" s="8">
        <f>IF(B327="Inactive", EDATE(D327,K327), "")</f>
        <v>45328</v>
      </c>
      <c r="F327" t="s">
        <v>12</v>
      </c>
      <c r="G327">
        <v>24.1</v>
      </c>
      <c r="H327" t="str" cm="1">
        <f t="array" ref="H327">_xlfn.IFS(G327&gt;=20,"20-25", G327&gt;=15,"15-20", G327&gt;=10,"10-15", G327&gt;=5,"5-10", G327&gt;=1,"1-5", G327&lt;1,"Less than 1")</f>
        <v>20-25</v>
      </c>
      <c r="I327">
        <v>1</v>
      </c>
      <c r="J327">
        <v>5</v>
      </c>
      <c r="K327" s="6">
        <v>5</v>
      </c>
      <c r="L327" s="2">
        <v>1.99</v>
      </c>
      <c r="M327" s="6">
        <v>48</v>
      </c>
      <c r="N327" t="str" cm="1">
        <f t="array" ref="N327">_xlfn.IFS(M327&gt;=50,"50-60 Days", M327&gt;=40,"40-50 Days", M327&gt;=30, "30-40 Days", M327&gt;=20, "20-30 Days", M327&gt;=10, "10-20 Days", M327&gt;=0, "0-10 Days")</f>
        <v>40-50 Days</v>
      </c>
    </row>
    <row r="328" spans="1:14">
      <c r="A328">
        <v>327</v>
      </c>
      <c r="B328" t="s">
        <v>29</v>
      </c>
      <c r="C328" s="5">
        <v>45316</v>
      </c>
      <c r="D328" s="8">
        <v>45316</v>
      </c>
      <c r="E328" s="8" t="str">
        <f>IF(B328="Inactive", EDATE(D328,K328), "")</f>
        <v/>
      </c>
      <c r="F328" t="s">
        <v>10</v>
      </c>
      <c r="G328">
        <v>10.199999999999999</v>
      </c>
      <c r="H328" t="str" cm="1">
        <f t="array" ref="H328">_xlfn.IFS(G328&gt;=20,"20-25", G328&gt;=15,"15-20", G328&gt;=10,"10-15", G328&gt;=5,"5-10", G328&gt;=1,"1-5", G328&lt;1,"Less than 1")</f>
        <v>10-15</v>
      </c>
      <c r="I328">
        <v>3</v>
      </c>
      <c r="J328">
        <v>4</v>
      </c>
      <c r="K328" s="6">
        <v>5</v>
      </c>
      <c r="L328" s="2">
        <v>6.99</v>
      </c>
      <c r="M328" s="6">
        <v>20</v>
      </c>
      <c r="N328" t="str" cm="1">
        <f t="array" ref="N328">_xlfn.IFS(M328&gt;=50,"50-60 Days", M328&gt;=40,"40-50 Days", M328&gt;=30, "30-40 Days", M328&gt;=20, "20-30 Days", M328&gt;=10, "10-20 Days", M328&gt;=0, "0-10 Days")</f>
        <v>20-30 Days</v>
      </c>
    </row>
    <row r="329" spans="1:14">
      <c r="A329">
        <v>328</v>
      </c>
      <c r="B329" t="s">
        <v>28</v>
      </c>
      <c r="C329" s="5">
        <v>45436</v>
      </c>
      <c r="D329" s="8">
        <v>45436</v>
      </c>
      <c r="E329" s="8">
        <f>IF(B329="Inactive", EDATE(D329,K329), "")</f>
        <v>45801</v>
      </c>
      <c r="F329" t="s">
        <v>14</v>
      </c>
      <c r="G329">
        <v>16.399999999999999</v>
      </c>
      <c r="H329" t="str" cm="1">
        <f t="array" ref="H329">_xlfn.IFS(G329&gt;=20,"20-25", G329&gt;=15,"15-20", G329&gt;=10,"10-15", G329&gt;=5,"5-10", G329&gt;=1,"1-5", G329&lt;1,"Less than 1")</f>
        <v>15-20</v>
      </c>
      <c r="I329">
        <v>4</v>
      </c>
      <c r="J329">
        <v>2</v>
      </c>
      <c r="K329" s="6">
        <v>12</v>
      </c>
      <c r="L329" s="2">
        <v>3.99</v>
      </c>
      <c r="M329" s="6">
        <v>23</v>
      </c>
      <c r="N329" t="str" cm="1">
        <f t="array" ref="N329">_xlfn.IFS(M329&gt;=50,"50-60 Days", M329&gt;=40,"40-50 Days", M329&gt;=30, "30-40 Days", M329&gt;=20, "20-30 Days", M329&gt;=10, "10-20 Days", M329&gt;=0, "0-10 Days")</f>
        <v>20-30 Days</v>
      </c>
    </row>
    <row r="330" spans="1:14">
      <c r="A330">
        <v>329</v>
      </c>
      <c r="B330" t="s">
        <v>28</v>
      </c>
      <c r="C330" s="5">
        <v>45247</v>
      </c>
      <c r="D330" s="8">
        <v>45247</v>
      </c>
      <c r="E330" s="8">
        <f>IF(B330="Inactive", EDATE(D330,K330), "")</f>
        <v>45339</v>
      </c>
      <c r="F330" t="s">
        <v>14</v>
      </c>
      <c r="G330">
        <v>20.2</v>
      </c>
      <c r="H330" t="str" cm="1">
        <f t="array" ref="H330">_xlfn.IFS(G330&gt;=20,"20-25", G330&gt;=15,"15-20", G330&gt;=10,"10-15", G330&gt;=5,"5-10", G330&gt;=1,"1-5", G330&lt;1,"Less than 1")</f>
        <v>20-25</v>
      </c>
      <c r="I330">
        <v>7</v>
      </c>
      <c r="J330">
        <v>2</v>
      </c>
      <c r="K330" s="6">
        <v>3</v>
      </c>
      <c r="L330" s="2">
        <v>3.99</v>
      </c>
      <c r="M330" s="6">
        <v>58</v>
      </c>
      <c r="N330" t="str" cm="1">
        <f t="array" ref="N330">_xlfn.IFS(M330&gt;=50,"50-60 Days", M330&gt;=40,"40-50 Days", M330&gt;=30, "30-40 Days", M330&gt;=20, "20-30 Days", M330&gt;=10, "10-20 Days", M330&gt;=0, "0-10 Days")</f>
        <v>50-60 Days</v>
      </c>
    </row>
    <row r="331" spans="1:14">
      <c r="A331">
        <v>330</v>
      </c>
      <c r="B331" t="s">
        <v>28</v>
      </c>
      <c r="C331" s="5">
        <v>45493</v>
      </c>
      <c r="D331" s="8">
        <v>45493</v>
      </c>
      <c r="E331" s="8">
        <f>IF(B331="Inactive", EDATE(D331,K331), "")</f>
        <v>45524</v>
      </c>
      <c r="F331" t="s">
        <v>14</v>
      </c>
      <c r="G331">
        <v>14.3</v>
      </c>
      <c r="H331" t="str" cm="1">
        <f t="array" ref="H331">_xlfn.IFS(G331&gt;=20,"20-25", G331&gt;=15,"15-20", G331&gt;=10,"10-15", G331&gt;=5,"5-10", G331&gt;=1,"1-5", G331&lt;1,"Less than 1")</f>
        <v>10-15</v>
      </c>
      <c r="I331">
        <v>3</v>
      </c>
      <c r="J331">
        <v>5</v>
      </c>
      <c r="K331" s="6">
        <v>1</v>
      </c>
      <c r="L331" s="2">
        <v>3.99</v>
      </c>
      <c r="M331" s="6">
        <v>9</v>
      </c>
      <c r="N331" t="str" cm="1">
        <f t="array" ref="N331">_xlfn.IFS(M331&gt;=50,"50-60 Days", M331&gt;=40,"40-50 Days", M331&gt;=30, "30-40 Days", M331&gt;=20, "20-30 Days", M331&gt;=10, "10-20 Days", M331&gt;=0, "0-10 Days")</f>
        <v>0-10 Days</v>
      </c>
    </row>
    <row r="332" spans="1:14">
      <c r="A332">
        <v>331</v>
      </c>
      <c r="B332" t="s">
        <v>29</v>
      </c>
      <c r="C332" s="5">
        <v>45178</v>
      </c>
      <c r="D332" s="8">
        <v>45178</v>
      </c>
      <c r="E332" s="8" t="str">
        <f>IF(B332="Inactive", EDATE(D332,K332), "")</f>
        <v/>
      </c>
      <c r="F332" t="s">
        <v>10</v>
      </c>
      <c r="G332">
        <v>7.7</v>
      </c>
      <c r="H332" t="str" cm="1">
        <f t="array" ref="H332">_xlfn.IFS(G332&gt;=20,"20-25", G332&gt;=15,"15-20", G332&gt;=10,"10-15", G332&gt;=5,"5-10", G332&gt;=1,"1-5", G332&lt;1,"Less than 1")</f>
        <v>5-10</v>
      </c>
      <c r="I332">
        <v>3</v>
      </c>
      <c r="J332">
        <v>2</v>
      </c>
      <c r="K332" s="6">
        <v>9</v>
      </c>
      <c r="L332" s="2">
        <v>6.99</v>
      </c>
      <c r="M332" s="6">
        <v>14</v>
      </c>
      <c r="N332" t="str" cm="1">
        <f t="array" ref="N332">_xlfn.IFS(M332&gt;=50,"50-60 Days", M332&gt;=40,"40-50 Days", M332&gt;=30, "30-40 Days", M332&gt;=20, "20-30 Days", M332&gt;=10, "10-20 Days", M332&gt;=0, "0-10 Days")</f>
        <v>10-20 Days</v>
      </c>
    </row>
    <row r="333" spans="1:14">
      <c r="A333">
        <v>332</v>
      </c>
      <c r="B333" t="s">
        <v>29</v>
      </c>
      <c r="C333" s="5">
        <v>45584</v>
      </c>
      <c r="D333" s="8">
        <v>45584</v>
      </c>
      <c r="E333" s="8" t="str">
        <f>IF(B333="Inactive", EDATE(D333,K333), "")</f>
        <v/>
      </c>
      <c r="F333" t="s">
        <v>14</v>
      </c>
      <c r="G333">
        <v>16.5</v>
      </c>
      <c r="H333" t="str" cm="1">
        <f t="array" ref="H333">_xlfn.IFS(G333&gt;=20,"20-25", G333&gt;=15,"15-20", G333&gt;=10,"10-15", G333&gt;=5,"5-10", G333&gt;=1,"1-5", G333&lt;1,"Less than 1")</f>
        <v>15-20</v>
      </c>
      <c r="I333">
        <v>5</v>
      </c>
      <c r="J333">
        <v>2</v>
      </c>
      <c r="K333" s="6">
        <v>12</v>
      </c>
      <c r="L333" s="2">
        <v>3.99</v>
      </c>
      <c r="M333" s="6">
        <v>48</v>
      </c>
      <c r="N333" t="str" cm="1">
        <f t="array" ref="N333">_xlfn.IFS(M333&gt;=50,"50-60 Days", M333&gt;=40,"40-50 Days", M333&gt;=30, "30-40 Days", M333&gt;=20, "20-30 Days", M333&gt;=10, "10-20 Days", M333&gt;=0, "0-10 Days")</f>
        <v>40-50 Days</v>
      </c>
    </row>
    <row r="334" spans="1:14">
      <c r="A334">
        <v>333</v>
      </c>
      <c r="B334" t="s">
        <v>29</v>
      </c>
      <c r="C334" s="5">
        <v>45427</v>
      </c>
      <c r="D334" s="8">
        <v>45427</v>
      </c>
      <c r="E334" s="8" t="str">
        <f>IF(B334="Inactive", EDATE(D334,K334), "")</f>
        <v/>
      </c>
      <c r="F334" t="s">
        <v>10</v>
      </c>
      <c r="G334">
        <v>11.8</v>
      </c>
      <c r="H334" t="str" cm="1">
        <f t="array" ref="H334">_xlfn.IFS(G334&gt;=20,"20-25", G334&gt;=15,"15-20", G334&gt;=10,"10-15", G334&gt;=5,"5-10", G334&gt;=1,"1-5", G334&lt;1,"Less than 1")</f>
        <v>10-15</v>
      </c>
      <c r="I334">
        <v>5</v>
      </c>
      <c r="J334">
        <v>1</v>
      </c>
      <c r="K334" s="6">
        <v>11</v>
      </c>
      <c r="L334" s="2">
        <v>6.99</v>
      </c>
      <c r="M334" s="6">
        <v>8</v>
      </c>
      <c r="N334" t="str" cm="1">
        <f t="array" ref="N334">_xlfn.IFS(M334&gt;=50,"50-60 Days", M334&gt;=40,"40-50 Days", M334&gt;=30, "30-40 Days", M334&gt;=20, "20-30 Days", M334&gt;=10, "10-20 Days", M334&gt;=0, "0-10 Days")</f>
        <v>0-10 Days</v>
      </c>
    </row>
    <row r="335" spans="1:14">
      <c r="A335">
        <v>334</v>
      </c>
      <c r="B335" t="s">
        <v>29</v>
      </c>
      <c r="C335" s="5">
        <v>45003</v>
      </c>
      <c r="D335" s="8">
        <v>45003</v>
      </c>
      <c r="E335" s="8" t="str">
        <f>IF(B335="Inactive", EDATE(D335,K335), "")</f>
        <v/>
      </c>
      <c r="F335" t="s">
        <v>12</v>
      </c>
      <c r="G335">
        <v>24.8</v>
      </c>
      <c r="H335" t="str" cm="1">
        <f t="array" ref="H335">_xlfn.IFS(G335&gt;=20,"20-25", G335&gt;=15,"15-20", G335&gt;=10,"10-15", G335&gt;=5,"5-10", G335&gt;=1,"1-5", G335&lt;1,"Less than 1")</f>
        <v>20-25</v>
      </c>
      <c r="I335">
        <v>0</v>
      </c>
      <c r="J335">
        <v>4</v>
      </c>
      <c r="K335" s="6">
        <v>12</v>
      </c>
      <c r="L335" s="2">
        <v>1.99</v>
      </c>
      <c r="M335" s="6">
        <v>2</v>
      </c>
      <c r="N335" t="str" cm="1">
        <f t="array" ref="N335">_xlfn.IFS(M335&gt;=50,"50-60 Days", M335&gt;=40,"40-50 Days", M335&gt;=30, "30-40 Days", M335&gt;=20, "20-30 Days", M335&gt;=10, "10-20 Days", M335&gt;=0, "0-10 Days")</f>
        <v>0-10 Days</v>
      </c>
    </row>
    <row r="336" spans="1:14">
      <c r="A336">
        <v>335</v>
      </c>
      <c r="B336" t="s">
        <v>29</v>
      </c>
      <c r="C336" s="5">
        <v>44996</v>
      </c>
      <c r="D336" s="8">
        <v>44996</v>
      </c>
      <c r="E336" s="8" t="str">
        <f>IF(B336="Inactive", EDATE(D336,K336), "")</f>
        <v/>
      </c>
      <c r="F336" t="s">
        <v>10</v>
      </c>
      <c r="G336">
        <v>19.2</v>
      </c>
      <c r="H336" t="str" cm="1">
        <f t="array" ref="H336">_xlfn.IFS(G336&gt;=20,"20-25", G336&gt;=15,"15-20", G336&gt;=10,"10-15", G336&gt;=5,"5-10", G336&gt;=1,"1-5", G336&lt;1,"Less than 1")</f>
        <v>15-20</v>
      </c>
      <c r="I336">
        <v>6</v>
      </c>
      <c r="J336">
        <v>1</v>
      </c>
      <c r="K336" s="6">
        <v>2</v>
      </c>
      <c r="L336" s="2">
        <v>6.99</v>
      </c>
      <c r="M336" s="6">
        <v>53</v>
      </c>
      <c r="N336" t="str" cm="1">
        <f t="array" ref="N336">_xlfn.IFS(M336&gt;=50,"50-60 Days", M336&gt;=40,"40-50 Days", M336&gt;=30, "30-40 Days", M336&gt;=20, "20-30 Days", M336&gt;=10, "10-20 Days", M336&gt;=0, "0-10 Days")</f>
        <v>50-60 Days</v>
      </c>
    </row>
    <row r="337" spans="1:14">
      <c r="A337">
        <v>336</v>
      </c>
      <c r="B337" t="s">
        <v>28</v>
      </c>
      <c r="C337" s="5">
        <v>45580</v>
      </c>
      <c r="D337" s="8">
        <v>45580</v>
      </c>
      <c r="E337" s="8">
        <f>IF(B337="Inactive", EDATE(D337,K337), "")</f>
        <v>45703</v>
      </c>
      <c r="F337" t="s">
        <v>10</v>
      </c>
      <c r="G337">
        <v>0.7</v>
      </c>
      <c r="H337" t="str" cm="1">
        <f t="array" ref="H337">_xlfn.IFS(G337&gt;=20,"20-25", G337&gt;=15,"15-20", G337&gt;=10,"10-15", G337&gt;=5,"5-10", G337&gt;=1,"1-5", G337&lt;1,"Less than 1")</f>
        <v>Less than 1</v>
      </c>
      <c r="I337">
        <v>8</v>
      </c>
      <c r="J337">
        <v>3</v>
      </c>
      <c r="K337" s="6">
        <v>4</v>
      </c>
      <c r="L337" s="2">
        <v>6.99</v>
      </c>
      <c r="M337" s="6">
        <v>23</v>
      </c>
      <c r="N337" t="str" cm="1">
        <f t="array" ref="N337">_xlfn.IFS(M337&gt;=50,"50-60 Days", M337&gt;=40,"40-50 Days", M337&gt;=30, "30-40 Days", M337&gt;=20, "20-30 Days", M337&gt;=10, "10-20 Days", M337&gt;=0, "0-10 Days")</f>
        <v>20-30 Days</v>
      </c>
    </row>
    <row r="338" spans="1:14">
      <c r="A338">
        <v>337</v>
      </c>
      <c r="B338" t="s">
        <v>29</v>
      </c>
      <c r="C338" s="5">
        <v>44939</v>
      </c>
      <c r="D338" s="8">
        <v>44939</v>
      </c>
      <c r="E338" s="8" t="str">
        <f>IF(B338="Inactive", EDATE(D338,K338), "")</f>
        <v/>
      </c>
      <c r="F338" t="s">
        <v>10</v>
      </c>
      <c r="G338">
        <v>16.7</v>
      </c>
      <c r="H338" t="str" cm="1">
        <f t="array" ref="H338">_xlfn.IFS(G338&gt;=20,"20-25", G338&gt;=15,"15-20", G338&gt;=10,"10-15", G338&gt;=5,"5-10", G338&gt;=1,"1-5", G338&lt;1,"Less than 1")</f>
        <v>15-20</v>
      </c>
      <c r="I338">
        <v>0</v>
      </c>
      <c r="J338">
        <v>0</v>
      </c>
      <c r="K338" s="6">
        <v>11</v>
      </c>
      <c r="L338" s="2">
        <v>6.99</v>
      </c>
      <c r="M338" s="6">
        <v>34</v>
      </c>
      <c r="N338" t="str" cm="1">
        <f t="array" ref="N338">_xlfn.IFS(M338&gt;=50,"50-60 Days", M338&gt;=40,"40-50 Days", M338&gt;=30, "30-40 Days", M338&gt;=20, "20-30 Days", M338&gt;=10, "10-20 Days", M338&gt;=0, "0-10 Days")</f>
        <v>30-40 Days</v>
      </c>
    </row>
    <row r="339" spans="1:14">
      <c r="A339">
        <v>338</v>
      </c>
      <c r="B339" t="s">
        <v>29</v>
      </c>
      <c r="C339" s="5">
        <v>45641</v>
      </c>
      <c r="D339" s="8">
        <v>45641</v>
      </c>
      <c r="E339" s="8" t="str">
        <f>IF(B339="Inactive", EDATE(D339,K339), "")</f>
        <v/>
      </c>
      <c r="F339" t="s">
        <v>12</v>
      </c>
      <c r="G339">
        <v>18.2</v>
      </c>
      <c r="H339" t="str" cm="1">
        <f t="array" ref="H339">_xlfn.IFS(G339&gt;=20,"20-25", G339&gt;=15,"15-20", G339&gt;=10,"10-15", G339&gt;=5,"5-10", G339&gt;=1,"1-5", G339&lt;1,"Less than 1")</f>
        <v>15-20</v>
      </c>
      <c r="I339">
        <v>8</v>
      </c>
      <c r="J339">
        <v>2</v>
      </c>
      <c r="K339" s="6">
        <v>12</v>
      </c>
      <c r="L339" s="2">
        <v>1.99</v>
      </c>
      <c r="M339" s="6">
        <v>1</v>
      </c>
      <c r="N339" t="str" cm="1">
        <f t="array" ref="N339">_xlfn.IFS(M339&gt;=50,"50-60 Days", M339&gt;=40,"40-50 Days", M339&gt;=30, "30-40 Days", M339&gt;=20, "20-30 Days", M339&gt;=10, "10-20 Days", M339&gt;=0, "0-10 Days")</f>
        <v>0-10 Days</v>
      </c>
    </row>
    <row r="340" spans="1:14">
      <c r="A340">
        <v>339</v>
      </c>
      <c r="B340" t="s">
        <v>28</v>
      </c>
      <c r="C340" s="5">
        <v>45079</v>
      </c>
      <c r="D340" s="8">
        <v>45079</v>
      </c>
      <c r="E340" s="8">
        <f>IF(B340="Inactive", EDATE(D340,K340), "")</f>
        <v>45384</v>
      </c>
      <c r="F340" t="s">
        <v>10</v>
      </c>
      <c r="G340">
        <v>20.3</v>
      </c>
      <c r="H340" t="str" cm="1">
        <f t="array" ref="H340">_xlfn.IFS(G340&gt;=20,"20-25", G340&gt;=15,"15-20", G340&gt;=10,"10-15", G340&gt;=5,"5-10", G340&gt;=1,"1-5", G340&lt;1,"Less than 1")</f>
        <v>20-25</v>
      </c>
      <c r="I340">
        <v>2</v>
      </c>
      <c r="J340">
        <v>0</v>
      </c>
      <c r="K340" s="6">
        <v>10</v>
      </c>
      <c r="L340" s="2">
        <v>6.99</v>
      </c>
      <c r="M340" s="6">
        <v>58</v>
      </c>
      <c r="N340" t="str" cm="1">
        <f t="array" ref="N340">_xlfn.IFS(M340&gt;=50,"50-60 Days", M340&gt;=40,"40-50 Days", M340&gt;=30, "30-40 Days", M340&gt;=20, "20-30 Days", M340&gt;=10, "10-20 Days", M340&gt;=0, "0-10 Days")</f>
        <v>50-60 Days</v>
      </c>
    </row>
    <row r="341" spans="1:14">
      <c r="A341">
        <v>340</v>
      </c>
      <c r="B341" t="s">
        <v>29</v>
      </c>
      <c r="C341" s="5">
        <v>45007</v>
      </c>
      <c r="D341" s="8">
        <v>45007</v>
      </c>
      <c r="E341" s="8" t="str">
        <f>IF(B341="Inactive", EDATE(D341,K341), "")</f>
        <v/>
      </c>
      <c r="F341" t="s">
        <v>12</v>
      </c>
      <c r="G341">
        <v>15.7</v>
      </c>
      <c r="H341" t="str" cm="1">
        <f t="array" ref="H341">_xlfn.IFS(G341&gt;=20,"20-25", G341&gt;=15,"15-20", G341&gt;=10,"10-15", G341&gt;=5,"5-10", G341&gt;=1,"1-5", G341&lt;1,"Less than 1")</f>
        <v>15-20</v>
      </c>
      <c r="I341">
        <v>4</v>
      </c>
      <c r="J341">
        <v>2</v>
      </c>
      <c r="K341" s="6">
        <v>5</v>
      </c>
      <c r="L341" s="2">
        <v>1.99</v>
      </c>
      <c r="M341" s="6">
        <v>17</v>
      </c>
      <c r="N341" t="str" cm="1">
        <f t="array" ref="N341">_xlfn.IFS(M341&gt;=50,"50-60 Days", M341&gt;=40,"40-50 Days", M341&gt;=30, "30-40 Days", M341&gt;=20, "20-30 Days", M341&gt;=10, "10-20 Days", M341&gt;=0, "0-10 Days")</f>
        <v>10-20 Days</v>
      </c>
    </row>
    <row r="342" spans="1:14">
      <c r="A342">
        <v>341</v>
      </c>
      <c r="B342" t="s">
        <v>28</v>
      </c>
      <c r="C342" s="5">
        <v>45009</v>
      </c>
      <c r="D342" s="8">
        <v>45009</v>
      </c>
      <c r="E342" s="8">
        <f>IF(B342="Inactive", EDATE(D342,K342), "")</f>
        <v>45284</v>
      </c>
      <c r="F342" t="s">
        <v>14</v>
      </c>
      <c r="G342">
        <v>11.7</v>
      </c>
      <c r="H342" t="str" cm="1">
        <f t="array" ref="H342">_xlfn.IFS(G342&gt;=20,"20-25", G342&gt;=15,"15-20", G342&gt;=10,"10-15", G342&gt;=5,"5-10", G342&gt;=1,"1-5", G342&lt;1,"Less than 1")</f>
        <v>10-15</v>
      </c>
      <c r="I342">
        <v>3</v>
      </c>
      <c r="J342">
        <v>5</v>
      </c>
      <c r="K342" s="6">
        <v>9</v>
      </c>
      <c r="L342" s="2">
        <v>3.99</v>
      </c>
      <c r="M342" s="6">
        <v>14</v>
      </c>
      <c r="N342" t="str" cm="1">
        <f t="array" ref="N342">_xlfn.IFS(M342&gt;=50,"50-60 Days", M342&gt;=40,"40-50 Days", M342&gt;=30, "30-40 Days", M342&gt;=20, "20-30 Days", M342&gt;=10, "10-20 Days", M342&gt;=0, "0-10 Days")</f>
        <v>10-20 Days</v>
      </c>
    </row>
    <row r="343" spans="1:14">
      <c r="A343">
        <v>342</v>
      </c>
      <c r="B343" t="s">
        <v>28</v>
      </c>
      <c r="C343" s="5">
        <v>45579</v>
      </c>
      <c r="D343" s="8">
        <v>45579</v>
      </c>
      <c r="E343" s="8">
        <f>IF(B343="Inactive", EDATE(D343,K343), "")</f>
        <v>45610</v>
      </c>
      <c r="F343" t="s">
        <v>10</v>
      </c>
      <c r="G343">
        <v>2.8</v>
      </c>
      <c r="H343" t="str" cm="1">
        <f t="array" ref="H343">_xlfn.IFS(G343&gt;=20,"20-25", G343&gt;=15,"15-20", G343&gt;=10,"10-15", G343&gt;=5,"5-10", G343&gt;=1,"1-5", G343&lt;1,"Less than 1")</f>
        <v>1-5</v>
      </c>
      <c r="I343">
        <v>6</v>
      </c>
      <c r="J343">
        <v>3</v>
      </c>
      <c r="K343" s="6">
        <v>1</v>
      </c>
      <c r="L343" s="2">
        <v>6.99</v>
      </c>
      <c r="M343" s="6">
        <v>35</v>
      </c>
      <c r="N343" t="str" cm="1">
        <f t="array" ref="N343">_xlfn.IFS(M343&gt;=50,"50-60 Days", M343&gt;=40,"40-50 Days", M343&gt;=30, "30-40 Days", M343&gt;=20, "20-30 Days", M343&gt;=10, "10-20 Days", M343&gt;=0, "0-10 Days")</f>
        <v>30-40 Days</v>
      </c>
    </row>
    <row r="344" spans="1:14">
      <c r="A344">
        <v>343</v>
      </c>
      <c r="B344" t="s">
        <v>28</v>
      </c>
      <c r="C344" s="5">
        <v>45024</v>
      </c>
      <c r="D344" s="8">
        <v>45024</v>
      </c>
      <c r="E344" s="8">
        <f>IF(B344="Inactive", EDATE(D344,K344), "")</f>
        <v>45146</v>
      </c>
      <c r="F344" t="s">
        <v>12</v>
      </c>
      <c r="G344">
        <v>2.5</v>
      </c>
      <c r="H344" t="str" cm="1">
        <f t="array" ref="H344">_xlfn.IFS(G344&gt;=20,"20-25", G344&gt;=15,"15-20", G344&gt;=10,"10-15", G344&gt;=5,"5-10", G344&gt;=1,"1-5", G344&lt;1,"Less than 1")</f>
        <v>1-5</v>
      </c>
      <c r="I344">
        <v>6</v>
      </c>
      <c r="J344">
        <v>5</v>
      </c>
      <c r="K344" s="6">
        <v>4</v>
      </c>
      <c r="L344" s="2">
        <v>1.99</v>
      </c>
      <c r="M344" s="6">
        <v>50</v>
      </c>
      <c r="N344" t="str" cm="1">
        <f t="array" ref="N344">_xlfn.IFS(M344&gt;=50,"50-60 Days", M344&gt;=40,"40-50 Days", M344&gt;=30, "30-40 Days", M344&gt;=20, "20-30 Days", M344&gt;=10, "10-20 Days", M344&gt;=0, "0-10 Days")</f>
        <v>50-60 Days</v>
      </c>
    </row>
    <row r="345" spans="1:14">
      <c r="A345">
        <v>344</v>
      </c>
      <c r="B345" t="s">
        <v>29</v>
      </c>
      <c r="C345" s="5">
        <v>45627</v>
      </c>
      <c r="D345" s="8">
        <v>45627</v>
      </c>
      <c r="E345" s="8" t="str">
        <f>IF(B345="Inactive", EDATE(D345,K345), "")</f>
        <v/>
      </c>
      <c r="F345" t="s">
        <v>10</v>
      </c>
      <c r="G345">
        <v>6.1</v>
      </c>
      <c r="H345" t="str" cm="1">
        <f t="array" ref="H345">_xlfn.IFS(G345&gt;=20,"20-25", G345&gt;=15,"15-20", G345&gt;=10,"10-15", G345&gt;=5,"5-10", G345&gt;=1,"1-5", G345&lt;1,"Less than 1")</f>
        <v>5-10</v>
      </c>
      <c r="I345">
        <v>7</v>
      </c>
      <c r="J345">
        <v>2</v>
      </c>
      <c r="K345" s="6">
        <v>1</v>
      </c>
      <c r="L345" s="2">
        <v>6.99</v>
      </c>
      <c r="M345" s="6">
        <v>2</v>
      </c>
      <c r="N345" t="str" cm="1">
        <f t="array" ref="N345">_xlfn.IFS(M345&gt;=50,"50-60 Days", M345&gt;=40,"40-50 Days", M345&gt;=30, "30-40 Days", M345&gt;=20, "20-30 Days", M345&gt;=10, "10-20 Days", M345&gt;=0, "0-10 Days")</f>
        <v>0-10 Days</v>
      </c>
    </row>
    <row r="346" spans="1:14">
      <c r="A346">
        <v>345</v>
      </c>
      <c r="B346" t="s">
        <v>29</v>
      </c>
      <c r="C346" s="5">
        <v>44943</v>
      </c>
      <c r="D346" s="8">
        <v>44943</v>
      </c>
      <c r="E346" s="8" t="str">
        <f>IF(B346="Inactive", EDATE(D346,K346), "")</f>
        <v/>
      </c>
      <c r="F346" t="s">
        <v>14</v>
      </c>
      <c r="G346">
        <v>14.3</v>
      </c>
      <c r="H346" t="str" cm="1">
        <f t="array" ref="H346">_xlfn.IFS(G346&gt;=20,"20-25", G346&gt;=15,"15-20", G346&gt;=10,"10-15", G346&gt;=5,"5-10", G346&gt;=1,"1-5", G346&lt;1,"Less than 1")</f>
        <v>10-15</v>
      </c>
      <c r="I346">
        <v>0</v>
      </c>
      <c r="J346">
        <v>1</v>
      </c>
      <c r="K346" s="6">
        <v>12</v>
      </c>
      <c r="L346" s="2">
        <v>3.99</v>
      </c>
      <c r="M346" s="6">
        <v>59</v>
      </c>
      <c r="N346" t="str" cm="1">
        <f t="array" ref="N346">_xlfn.IFS(M346&gt;=50,"50-60 Days", M346&gt;=40,"40-50 Days", M346&gt;=30, "30-40 Days", M346&gt;=20, "20-30 Days", M346&gt;=10, "10-20 Days", M346&gt;=0, "0-10 Days")</f>
        <v>50-60 Days</v>
      </c>
    </row>
    <row r="347" spans="1:14">
      <c r="A347">
        <v>346</v>
      </c>
      <c r="B347" t="s">
        <v>28</v>
      </c>
      <c r="C347" s="5">
        <v>45173</v>
      </c>
      <c r="D347" s="8">
        <v>45173</v>
      </c>
      <c r="E347" s="8">
        <f>IF(B347="Inactive", EDATE(D347,K347), "")</f>
        <v>45295</v>
      </c>
      <c r="F347" t="s">
        <v>12</v>
      </c>
      <c r="G347">
        <v>18.899999999999999</v>
      </c>
      <c r="H347" t="str" cm="1">
        <f t="array" ref="H347">_xlfn.IFS(G347&gt;=20,"20-25", G347&gt;=15,"15-20", G347&gt;=10,"10-15", G347&gt;=5,"5-10", G347&gt;=1,"1-5", G347&lt;1,"Less than 1")</f>
        <v>15-20</v>
      </c>
      <c r="I347">
        <v>6</v>
      </c>
      <c r="J347">
        <v>0</v>
      </c>
      <c r="K347" s="6">
        <v>4</v>
      </c>
      <c r="L347" s="2">
        <v>1.99</v>
      </c>
      <c r="M347" s="6">
        <v>19</v>
      </c>
      <c r="N347" t="str" cm="1">
        <f t="array" ref="N347">_xlfn.IFS(M347&gt;=50,"50-60 Days", M347&gt;=40,"40-50 Days", M347&gt;=30, "30-40 Days", M347&gt;=20, "20-30 Days", M347&gt;=10, "10-20 Days", M347&gt;=0, "0-10 Days")</f>
        <v>10-20 Days</v>
      </c>
    </row>
    <row r="348" spans="1:14">
      <c r="A348">
        <v>347</v>
      </c>
      <c r="B348" t="s">
        <v>29</v>
      </c>
      <c r="C348" s="5">
        <v>45070</v>
      </c>
      <c r="D348" s="8">
        <v>45070</v>
      </c>
      <c r="E348" s="8" t="str">
        <f>IF(B348="Inactive", EDATE(D348,K348), "")</f>
        <v/>
      </c>
      <c r="F348" t="s">
        <v>10</v>
      </c>
      <c r="G348">
        <v>17.100000000000001</v>
      </c>
      <c r="H348" t="str" cm="1">
        <f t="array" ref="H348">_xlfn.IFS(G348&gt;=20,"20-25", G348&gt;=15,"15-20", G348&gt;=10,"10-15", G348&gt;=5,"5-10", G348&gt;=1,"1-5", G348&lt;1,"Less than 1")</f>
        <v>15-20</v>
      </c>
      <c r="I348">
        <v>8</v>
      </c>
      <c r="J348">
        <v>2</v>
      </c>
      <c r="K348" s="6">
        <v>9</v>
      </c>
      <c r="L348" s="2">
        <v>6.99</v>
      </c>
      <c r="M348" s="6">
        <v>24</v>
      </c>
      <c r="N348" t="str" cm="1">
        <f t="array" ref="N348">_xlfn.IFS(M348&gt;=50,"50-60 Days", M348&gt;=40,"40-50 Days", M348&gt;=30, "30-40 Days", M348&gt;=20, "20-30 Days", M348&gt;=10, "10-20 Days", M348&gt;=0, "0-10 Days")</f>
        <v>20-30 Days</v>
      </c>
    </row>
    <row r="349" spans="1:14">
      <c r="A349">
        <v>348</v>
      </c>
      <c r="B349" t="s">
        <v>29</v>
      </c>
      <c r="C349" s="5">
        <v>45004</v>
      </c>
      <c r="D349" s="8">
        <v>45004</v>
      </c>
      <c r="E349" s="8" t="str">
        <f>IF(B349="Inactive", EDATE(D349,K349), "")</f>
        <v/>
      </c>
      <c r="F349" t="s">
        <v>10</v>
      </c>
      <c r="G349">
        <v>12.8</v>
      </c>
      <c r="H349" t="str" cm="1">
        <f t="array" ref="H349">_xlfn.IFS(G349&gt;=20,"20-25", G349&gt;=15,"15-20", G349&gt;=10,"10-15", G349&gt;=5,"5-10", G349&gt;=1,"1-5", G349&lt;1,"Less than 1")</f>
        <v>10-15</v>
      </c>
      <c r="I349">
        <v>5</v>
      </c>
      <c r="J349">
        <v>0</v>
      </c>
      <c r="K349" s="6">
        <v>2</v>
      </c>
      <c r="L349" s="2">
        <v>6.99</v>
      </c>
      <c r="M349" s="6">
        <v>6</v>
      </c>
      <c r="N349" t="str" cm="1">
        <f t="array" ref="N349">_xlfn.IFS(M349&gt;=50,"50-60 Days", M349&gt;=40,"40-50 Days", M349&gt;=30, "30-40 Days", M349&gt;=20, "20-30 Days", M349&gt;=10, "10-20 Days", M349&gt;=0, "0-10 Days")</f>
        <v>0-10 Days</v>
      </c>
    </row>
    <row r="350" spans="1:14">
      <c r="A350">
        <v>349</v>
      </c>
      <c r="B350" t="s">
        <v>28</v>
      </c>
      <c r="C350" s="5">
        <v>45388</v>
      </c>
      <c r="D350" s="8">
        <v>45388</v>
      </c>
      <c r="E350" s="8">
        <f>IF(B350="Inactive", EDATE(D350,K350), "")</f>
        <v>45663</v>
      </c>
      <c r="F350" t="s">
        <v>14</v>
      </c>
      <c r="G350">
        <v>24.2</v>
      </c>
      <c r="H350" t="str" cm="1">
        <f t="array" ref="H350">_xlfn.IFS(G350&gt;=20,"20-25", G350&gt;=15,"15-20", G350&gt;=10,"10-15", G350&gt;=5,"5-10", G350&gt;=1,"1-5", G350&lt;1,"Less than 1")</f>
        <v>20-25</v>
      </c>
      <c r="I350">
        <v>5</v>
      </c>
      <c r="J350">
        <v>0</v>
      </c>
      <c r="K350" s="6">
        <v>9</v>
      </c>
      <c r="L350" s="2">
        <v>3.99</v>
      </c>
      <c r="M350" s="6">
        <v>40</v>
      </c>
      <c r="N350" t="str" cm="1">
        <f t="array" ref="N350">_xlfn.IFS(M350&gt;=50,"50-60 Days", M350&gt;=40,"40-50 Days", M350&gt;=30, "30-40 Days", M350&gt;=20, "20-30 Days", M350&gt;=10, "10-20 Days", M350&gt;=0, "0-10 Days")</f>
        <v>40-50 Days</v>
      </c>
    </row>
    <row r="351" spans="1:14">
      <c r="A351">
        <v>350</v>
      </c>
      <c r="B351" t="s">
        <v>29</v>
      </c>
      <c r="C351" s="5">
        <v>45603</v>
      </c>
      <c r="D351" s="8">
        <v>45603</v>
      </c>
      <c r="E351" s="8" t="str">
        <f>IF(B351="Inactive", EDATE(D351,K351), "")</f>
        <v/>
      </c>
      <c r="F351" t="s">
        <v>14</v>
      </c>
      <c r="G351">
        <v>9.1999999999999993</v>
      </c>
      <c r="H351" t="str" cm="1">
        <f t="array" ref="H351">_xlfn.IFS(G351&gt;=20,"20-25", G351&gt;=15,"15-20", G351&gt;=10,"10-15", G351&gt;=5,"5-10", G351&gt;=1,"1-5", G351&lt;1,"Less than 1")</f>
        <v>5-10</v>
      </c>
      <c r="I351">
        <v>6</v>
      </c>
      <c r="J351">
        <v>3</v>
      </c>
      <c r="K351" s="6">
        <v>5</v>
      </c>
      <c r="L351" s="2">
        <v>3.99</v>
      </c>
      <c r="M351" s="6">
        <v>11</v>
      </c>
      <c r="N351" t="str" cm="1">
        <f t="array" ref="N351">_xlfn.IFS(M351&gt;=50,"50-60 Days", M351&gt;=40,"40-50 Days", M351&gt;=30, "30-40 Days", M351&gt;=20, "20-30 Days", M351&gt;=10, "10-20 Days", M351&gt;=0, "0-10 Days")</f>
        <v>10-20 Days</v>
      </c>
    </row>
    <row r="352" spans="1:14">
      <c r="A352">
        <v>351</v>
      </c>
      <c r="B352" t="s">
        <v>28</v>
      </c>
      <c r="C352" s="5">
        <v>45201</v>
      </c>
      <c r="D352" s="8">
        <v>45201</v>
      </c>
      <c r="E352" s="8">
        <f>IF(B352="Inactive", EDATE(D352,K352), "")</f>
        <v>45262</v>
      </c>
      <c r="F352" t="s">
        <v>14</v>
      </c>
      <c r="G352">
        <v>19.399999999999999</v>
      </c>
      <c r="H352" t="str" cm="1">
        <f t="array" ref="H352">_xlfn.IFS(G352&gt;=20,"20-25", G352&gt;=15,"15-20", G352&gt;=10,"10-15", G352&gt;=5,"5-10", G352&gt;=1,"1-5", G352&lt;1,"Less than 1")</f>
        <v>15-20</v>
      </c>
      <c r="I352">
        <v>4</v>
      </c>
      <c r="J352">
        <v>1</v>
      </c>
      <c r="K352" s="6">
        <v>2</v>
      </c>
      <c r="L352" s="2">
        <v>3.99</v>
      </c>
      <c r="M352" s="6">
        <v>45</v>
      </c>
      <c r="N352" t="str" cm="1">
        <f t="array" ref="N352">_xlfn.IFS(M352&gt;=50,"50-60 Days", M352&gt;=40,"40-50 Days", M352&gt;=30, "30-40 Days", M352&gt;=20, "20-30 Days", M352&gt;=10, "10-20 Days", M352&gt;=0, "0-10 Days")</f>
        <v>40-50 Days</v>
      </c>
    </row>
    <row r="353" spans="1:14">
      <c r="A353">
        <v>352</v>
      </c>
      <c r="B353" t="s">
        <v>28</v>
      </c>
      <c r="C353" s="5">
        <v>45036</v>
      </c>
      <c r="D353" s="8">
        <v>45036</v>
      </c>
      <c r="E353" s="8">
        <f>IF(B353="Inactive", EDATE(D353,K353), "")</f>
        <v>45311</v>
      </c>
      <c r="F353" t="s">
        <v>12</v>
      </c>
      <c r="G353">
        <v>17.899999999999999</v>
      </c>
      <c r="H353" t="str" cm="1">
        <f t="array" ref="H353">_xlfn.IFS(G353&gt;=20,"20-25", G353&gt;=15,"15-20", G353&gt;=10,"10-15", G353&gt;=5,"5-10", G353&gt;=1,"1-5", G353&lt;1,"Less than 1")</f>
        <v>15-20</v>
      </c>
      <c r="I353">
        <v>2</v>
      </c>
      <c r="J353">
        <v>5</v>
      </c>
      <c r="K353" s="6">
        <v>9</v>
      </c>
      <c r="L353" s="2">
        <v>1.99</v>
      </c>
      <c r="M353" s="6">
        <v>24</v>
      </c>
      <c r="N353" t="str" cm="1">
        <f t="array" ref="N353">_xlfn.IFS(M353&gt;=50,"50-60 Days", M353&gt;=40,"40-50 Days", M353&gt;=30, "30-40 Days", M353&gt;=20, "20-30 Days", M353&gt;=10, "10-20 Days", M353&gt;=0, "0-10 Days")</f>
        <v>20-30 Days</v>
      </c>
    </row>
    <row r="354" spans="1:14">
      <c r="A354">
        <v>353</v>
      </c>
      <c r="B354" t="s">
        <v>28</v>
      </c>
      <c r="C354" s="5">
        <v>45062</v>
      </c>
      <c r="D354" s="8">
        <v>45062</v>
      </c>
      <c r="E354" s="8">
        <f>IF(B354="Inactive", EDATE(D354,K354), "")</f>
        <v>45093</v>
      </c>
      <c r="F354" t="s">
        <v>12</v>
      </c>
      <c r="G354">
        <v>23.6</v>
      </c>
      <c r="H354" t="str" cm="1">
        <f t="array" ref="H354">_xlfn.IFS(G354&gt;=20,"20-25", G354&gt;=15,"15-20", G354&gt;=10,"10-15", G354&gt;=5,"5-10", G354&gt;=1,"1-5", G354&lt;1,"Less than 1")</f>
        <v>20-25</v>
      </c>
      <c r="I354">
        <v>7</v>
      </c>
      <c r="J354">
        <v>2</v>
      </c>
      <c r="K354" s="6">
        <v>1</v>
      </c>
      <c r="L354" s="2">
        <v>1.99</v>
      </c>
      <c r="M354" s="6">
        <v>48</v>
      </c>
      <c r="N354" t="str" cm="1">
        <f t="array" ref="N354">_xlfn.IFS(M354&gt;=50,"50-60 Days", M354&gt;=40,"40-50 Days", M354&gt;=30, "30-40 Days", M354&gt;=20, "20-30 Days", M354&gt;=10, "10-20 Days", M354&gt;=0, "0-10 Days")</f>
        <v>40-50 Days</v>
      </c>
    </row>
    <row r="355" spans="1:14">
      <c r="A355">
        <v>354</v>
      </c>
      <c r="B355" t="s">
        <v>28</v>
      </c>
      <c r="C355" s="5">
        <v>44953</v>
      </c>
      <c r="D355" s="8">
        <v>44953</v>
      </c>
      <c r="E355" s="8">
        <f>IF(B355="Inactive", EDATE(D355,K355), "")</f>
        <v>45073</v>
      </c>
      <c r="F355" t="s">
        <v>12</v>
      </c>
      <c r="G355">
        <v>11.1</v>
      </c>
      <c r="H355" t="str" cm="1">
        <f t="array" ref="H355">_xlfn.IFS(G355&gt;=20,"20-25", G355&gt;=15,"15-20", G355&gt;=10,"10-15", G355&gt;=5,"5-10", G355&gt;=1,"1-5", G355&lt;1,"Less than 1")</f>
        <v>10-15</v>
      </c>
      <c r="I355">
        <v>8</v>
      </c>
      <c r="J355">
        <v>4</v>
      </c>
      <c r="K355" s="6">
        <v>4</v>
      </c>
      <c r="L355" s="2">
        <v>1.99</v>
      </c>
      <c r="M355" s="6">
        <v>32</v>
      </c>
      <c r="N355" t="str" cm="1">
        <f t="array" ref="N355">_xlfn.IFS(M355&gt;=50,"50-60 Days", M355&gt;=40,"40-50 Days", M355&gt;=30, "30-40 Days", M355&gt;=20, "20-30 Days", M355&gt;=10, "10-20 Days", M355&gt;=0, "0-10 Days")</f>
        <v>30-40 Days</v>
      </c>
    </row>
    <row r="356" spans="1:14">
      <c r="A356">
        <v>355</v>
      </c>
      <c r="B356" t="s">
        <v>28</v>
      </c>
      <c r="C356" s="5">
        <v>45324</v>
      </c>
      <c r="D356" s="8">
        <v>45324</v>
      </c>
      <c r="E356" s="8">
        <f>IF(B356="Inactive", EDATE(D356,K356), "")</f>
        <v>45567</v>
      </c>
      <c r="F356" t="s">
        <v>12</v>
      </c>
      <c r="G356">
        <v>14.1</v>
      </c>
      <c r="H356" t="str" cm="1">
        <f t="array" ref="H356">_xlfn.IFS(G356&gt;=20,"20-25", G356&gt;=15,"15-20", G356&gt;=10,"10-15", G356&gt;=5,"5-10", G356&gt;=1,"1-5", G356&lt;1,"Less than 1")</f>
        <v>10-15</v>
      </c>
      <c r="I356">
        <v>5</v>
      </c>
      <c r="J356">
        <v>3</v>
      </c>
      <c r="K356" s="6">
        <v>8</v>
      </c>
      <c r="L356" s="2">
        <v>1.99</v>
      </c>
      <c r="M356" s="6">
        <v>0</v>
      </c>
      <c r="N356" t="str" cm="1">
        <f t="array" ref="N356">_xlfn.IFS(M356&gt;=50,"50-60 Days", M356&gt;=40,"40-50 Days", M356&gt;=30, "30-40 Days", M356&gt;=20, "20-30 Days", M356&gt;=10, "10-20 Days", M356&gt;=0, "0-10 Days")</f>
        <v>0-10 Days</v>
      </c>
    </row>
    <row r="357" spans="1:14">
      <c r="A357">
        <v>356</v>
      </c>
      <c r="B357" t="s">
        <v>28</v>
      </c>
      <c r="C357" s="5">
        <v>45316</v>
      </c>
      <c r="D357" s="8">
        <v>45316</v>
      </c>
      <c r="E357" s="8">
        <f>IF(B357="Inactive", EDATE(D357,K357), "")</f>
        <v>45682</v>
      </c>
      <c r="F357" t="s">
        <v>12</v>
      </c>
      <c r="G357">
        <v>22.7</v>
      </c>
      <c r="H357" t="str" cm="1">
        <f t="array" ref="H357">_xlfn.IFS(G357&gt;=20,"20-25", G357&gt;=15,"15-20", G357&gt;=10,"10-15", G357&gt;=5,"5-10", G357&gt;=1,"1-5", G357&lt;1,"Less than 1")</f>
        <v>20-25</v>
      </c>
      <c r="I357">
        <v>3</v>
      </c>
      <c r="J357">
        <v>4</v>
      </c>
      <c r="K357" s="6">
        <v>12</v>
      </c>
      <c r="L357" s="2">
        <v>1.99</v>
      </c>
      <c r="M357" s="6">
        <v>33</v>
      </c>
      <c r="N357" t="str" cm="1">
        <f t="array" ref="N357">_xlfn.IFS(M357&gt;=50,"50-60 Days", M357&gt;=40,"40-50 Days", M357&gt;=30, "30-40 Days", M357&gt;=20, "20-30 Days", M357&gt;=10, "10-20 Days", M357&gt;=0, "0-10 Days")</f>
        <v>30-40 Days</v>
      </c>
    </row>
    <row r="358" spans="1:14">
      <c r="A358">
        <v>357</v>
      </c>
      <c r="B358" t="s">
        <v>28</v>
      </c>
      <c r="C358" s="5">
        <v>45372</v>
      </c>
      <c r="D358" s="8">
        <v>45372</v>
      </c>
      <c r="E358" s="8">
        <f>IF(B358="Inactive", EDATE(D358,K358), "")</f>
        <v>45464</v>
      </c>
      <c r="F358" t="s">
        <v>12</v>
      </c>
      <c r="G358">
        <v>7.1</v>
      </c>
      <c r="H358" t="str" cm="1">
        <f t="array" ref="H358">_xlfn.IFS(G358&gt;=20,"20-25", G358&gt;=15,"15-20", G358&gt;=10,"10-15", G358&gt;=5,"5-10", G358&gt;=1,"1-5", G358&lt;1,"Less than 1")</f>
        <v>5-10</v>
      </c>
      <c r="I358">
        <v>4</v>
      </c>
      <c r="J358">
        <v>3</v>
      </c>
      <c r="K358" s="6">
        <v>3</v>
      </c>
      <c r="L358" s="2">
        <v>1.99</v>
      </c>
      <c r="M358" s="6">
        <v>9</v>
      </c>
      <c r="N358" t="str" cm="1">
        <f t="array" ref="N358">_xlfn.IFS(M358&gt;=50,"50-60 Days", M358&gt;=40,"40-50 Days", M358&gt;=30, "30-40 Days", M358&gt;=20, "20-30 Days", M358&gt;=10, "10-20 Days", M358&gt;=0, "0-10 Days")</f>
        <v>0-10 Days</v>
      </c>
    </row>
    <row r="359" spans="1:14">
      <c r="A359">
        <v>358</v>
      </c>
      <c r="B359" t="s">
        <v>29</v>
      </c>
      <c r="C359" s="5">
        <v>45567</v>
      </c>
      <c r="D359" s="8">
        <v>45567</v>
      </c>
      <c r="E359" s="8" t="str">
        <f>IF(B359="Inactive", EDATE(D359,K359), "")</f>
        <v/>
      </c>
      <c r="F359" t="s">
        <v>14</v>
      </c>
      <c r="G359">
        <v>7.8</v>
      </c>
      <c r="H359" t="str" cm="1">
        <f t="array" ref="H359">_xlfn.IFS(G359&gt;=20,"20-25", G359&gt;=15,"15-20", G359&gt;=10,"10-15", G359&gt;=5,"5-10", G359&gt;=1,"1-5", G359&lt;1,"Less than 1")</f>
        <v>5-10</v>
      </c>
      <c r="I359">
        <v>1</v>
      </c>
      <c r="J359">
        <v>2</v>
      </c>
      <c r="K359" s="6">
        <v>9</v>
      </c>
      <c r="L359" s="2">
        <v>3.99</v>
      </c>
      <c r="M359" s="6">
        <v>16</v>
      </c>
      <c r="N359" t="str" cm="1">
        <f t="array" ref="N359">_xlfn.IFS(M359&gt;=50,"50-60 Days", M359&gt;=40,"40-50 Days", M359&gt;=30, "30-40 Days", M359&gt;=20, "20-30 Days", M359&gt;=10, "10-20 Days", M359&gt;=0, "0-10 Days")</f>
        <v>10-20 Days</v>
      </c>
    </row>
    <row r="360" spans="1:14">
      <c r="A360">
        <v>359</v>
      </c>
      <c r="B360" t="s">
        <v>29</v>
      </c>
      <c r="C360" s="5">
        <v>45267</v>
      </c>
      <c r="D360" s="8">
        <v>45267</v>
      </c>
      <c r="E360" s="8" t="str">
        <f>IF(B360="Inactive", EDATE(D360,K360), "")</f>
        <v/>
      </c>
      <c r="F360" t="s">
        <v>14</v>
      </c>
      <c r="G360">
        <v>11.7</v>
      </c>
      <c r="H360" t="str" cm="1">
        <f t="array" ref="H360">_xlfn.IFS(G360&gt;=20,"20-25", G360&gt;=15,"15-20", G360&gt;=10,"10-15", G360&gt;=5,"5-10", G360&gt;=1,"1-5", G360&lt;1,"Less than 1")</f>
        <v>10-15</v>
      </c>
      <c r="I360">
        <v>2</v>
      </c>
      <c r="J360">
        <v>2</v>
      </c>
      <c r="K360" s="6">
        <v>5</v>
      </c>
      <c r="L360" s="2">
        <v>3.99</v>
      </c>
      <c r="M360" s="6">
        <v>0</v>
      </c>
      <c r="N360" t="str" cm="1">
        <f t="array" ref="N360">_xlfn.IFS(M360&gt;=50,"50-60 Days", M360&gt;=40,"40-50 Days", M360&gt;=30, "30-40 Days", M360&gt;=20, "20-30 Days", M360&gt;=10, "10-20 Days", M360&gt;=0, "0-10 Days")</f>
        <v>0-10 Days</v>
      </c>
    </row>
    <row r="361" spans="1:14">
      <c r="A361">
        <v>360</v>
      </c>
      <c r="B361" t="s">
        <v>28</v>
      </c>
      <c r="C361" s="5">
        <v>45593</v>
      </c>
      <c r="D361" s="8">
        <v>45593</v>
      </c>
      <c r="E361" s="8">
        <f>IF(B361="Inactive", EDATE(D361,K361), "")</f>
        <v>45866</v>
      </c>
      <c r="F361" t="s">
        <v>10</v>
      </c>
      <c r="G361">
        <v>20.2</v>
      </c>
      <c r="H361" t="str" cm="1">
        <f t="array" ref="H361">_xlfn.IFS(G361&gt;=20,"20-25", G361&gt;=15,"15-20", G361&gt;=10,"10-15", G361&gt;=5,"5-10", G361&gt;=1,"1-5", G361&lt;1,"Less than 1")</f>
        <v>20-25</v>
      </c>
      <c r="I361">
        <v>5</v>
      </c>
      <c r="J361">
        <v>3</v>
      </c>
      <c r="K361" s="6">
        <v>9</v>
      </c>
      <c r="L361" s="2">
        <v>6.99</v>
      </c>
      <c r="M361" s="6">
        <v>21</v>
      </c>
      <c r="N361" t="str" cm="1">
        <f t="array" ref="N361">_xlfn.IFS(M361&gt;=50,"50-60 Days", M361&gt;=40,"40-50 Days", M361&gt;=30, "30-40 Days", M361&gt;=20, "20-30 Days", M361&gt;=10, "10-20 Days", M361&gt;=0, "0-10 Days")</f>
        <v>20-30 Days</v>
      </c>
    </row>
    <row r="362" spans="1:14">
      <c r="A362">
        <v>361</v>
      </c>
      <c r="B362" t="s">
        <v>28</v>
      </c>
      <c r="C362" s="5">
        <v>45334</v>
      </c>
      <c r="D362" s="8">
        <v>45334</v>
      </c>
      <c r="E362" s="8">
        <f>IF(B362="Inactive", EDATE(D362,K362), "")</f>
        <v>45424</v>
      </c>
      <c r="F362" t="s">
        <v>10</v>
      </c>
      <c r="G362">
        <v>7.9</v>
      </c>
      <c r="H362" t="str" cm="1">
        <f t="array" ref="H362">_xlfn.IFS(G362&gt;=20,"20-25", G362&gt;=15,"15-20", G362&gt;=10,"10-15", G362&gt;=5,"5-10", G362&gt;=1,"1-5", G362&lt;1,"Less than 1")</f>
        <v>5-10</v>
      </c>
      <c r="I362">
        <v>3</v>
      </c>
      <c r="J362">
        <v>3</v>
      </c>
      <c r="K362" s="6">
        <v>3</v>
      </c>
      <c r="L362" s="2">
        <v>6.99</v>
      </c>
      <c r="M362" s="6">
        <v>20</v>
      </c>
      <c r="N362" t="str" cm="1">
        <f t="array" ref="N362">_xlfn.IFS(M362&gt;=50,"50-60 Days", M362&gt;=40,"40-50 Days", M362&gt;=30, "30-40 Days", M362&gt;=20, "20-30 Days", M362&gt;=10, "10-20 Days", M362&gt;=0, "0-10 Days")</f>
        <v>20-30 Days</v>
      </c>
    </row>
    <row r="363" spans="1:14">
      <c r="A363">
        <v>362</v>
      </c>
      <c r="B363" t="s">
        <v>28</v>
      </c>
      <c r="C363" s="5">
        <v>45312</v>
      </c>
      <c r="D363" s="8">
        <v>45312</v>
      </c>
      <c r="E363" s="8">
        <f>IF(B363="Inactive", EDATE(D363,K363), "")</f>
        <v>45525</v>
      </c>
      <c r="F363" t="s">
        <v>14</v>
      </c>
      <c r="G363">
        <v>18.5</v>
      </c>
      <c r="H363" t="str" cm="1">
        <f t="array" ref="H363">_xlfn.IFS(G363&gt;=20,"20-25", G363&gt;=15,"15-20", G363&gt;=10,"10-15", G363&gt;=5,"5-10", G363&gt;=1,"1-5", G363&lt;1,"Less than 1")</f>
        <v>15-20</v>
      </c>
      <c r="I363">
        <v>7</v>
      </c>
      <c r="J363">
        <v>4</v>
      </c>
      <c r="K363" s="6">
        <v>7</v>
      </c>
      <c r="L363" s="2">
        <v>3.99</v>
      </c>
      <c r="M363" s="6">
        <v>50</v>
      </c>
      <c r="N363" t="str" cm="1">
        <f t="array" ref="N363">_xlfn.IFS(M363&gt;=50,"50-60 Days", M363&gt;=40,"40-50 Days", M363&gt;=30, "30-40 Days", M363&gt;=20, "20-30 Days", M363&gt;=10, "10-20 Days", M363&gt;=0, "0-10 Days")</f>
        <v>50-60 Days</v>
      </c>
    </row>
    <row r="364" spans="1:14">
      <c r="A364">
        <v>363</v>
      </c>
      <c r="B364" t="s">
        <v>28</v>
      </c>
      <c r="C364" s="5">
        <v>45490</v>
      </c>
      <c r="D364" s="8">
        <v>45490</v>
      </c>
      <c r="E364" s="8">
        <f>IF(B364="Inactive", EDATE(D364,K364), "")</f>
        <v>45764</v>
      </c>
      <c r="F364" t="s">
        <v>14</v>
      </c>
      <c r="G364">
        <v>9.4</v>
      </c>
      <c r="H364" t="str" cm="1">
        <f t="array" ref="H364">_xlfn.IFS(G364&gt;=20,"20-25", G364&gt;=15,"15-20", G364&gt;=10,"10-15", G364&gt;=5,"5-10", G364&gt;=1,"1-5", G364&lt;1,"Less than 1")</f>
        <v>5-10</v>
      </c>
      <c r="I364">
        <v>3</v>
      </c>
      <c r="J364">
        <v>4</v>
      </c>
      <c r="K364" s="6">
        <v>9</v>
      </c>
      <c r="L364" s="2">
        <v>3.99</v>
      </c>
      <c r="M364" s="6">
        <v>34</v>
      </c>
      <c r="N364" t="str" cm="1">
        <f t="array" ref="N364">_xlfn.IFS(M364&gt;=50,"50-60 Days", M364&gt;=40,"40-50 Days", M364&gt;=30, "30-40 Days", M364&gt;=20, "20-30 Days", M364&gt;=10, "10-20 Days", M364&gt;=0, "0-10 Days")</f>
        <v>30-40 Days</v>
      </c>
    </row>
    <row r="365" spans="1:14">
      <c r="A365">
        <v>364</v>
      </c>
      <c r="B365" t="s">
        <v>28</v>
      </c>
      <c r="C365" s="5">
        <v>45636</v>
      </c>
      <c r="D365" s="8">
        <v>45636</v>
      </c>
      <c r="E365" s="8">
        <f>IF(B365="Inactive", EDATE(D365,K365), "")</f>
        <v>45940</v>
      </c>
      <c r="F365" t="s">
        <v>12</v>
      </c>
      <c r="G365">
        <v>23.6</v>
      </c>
      <c r="H365" t="str" cm="1">
        <f t="array" ref="H365">_xlfn.IFS(G365&gt;=20,"20-25", G365&gt;=15,"15-20", G365&gt;=10,"10-15", G365&gt;=5,"5-10", G365&gt;=1,"1-5", G365&lt;1,"Less than 1")</f>
        <v>20-25</v>
      </c>
      <c r="I365">
        <v>3</v>
      </c>
      <c r="J365">
        <v>3</v>
      </c>
      <c r="K365" s="6">
        <v>10</v>
      </c>
      <c r="L365" s="2">
        <v>1.99</v>
      </c>
      <c r="M365" s="6">
        <v>51</v>
      </c>
      <c r="N365" t="str" cm="1">
        <f t="array" ref="N365">_xlfn.IFS(M365&gt;=50,"50-60 Days", M365&gt;=40,"40-50 Days", M365&gt;=30, "30-40 Days", M365&gt;=20, "20-30 Days", M365&gt;=10, "10-20 Days", M365&gt;=0, "0-10 Days")</f>
        <v>50-60 Days</v>
      </c>
    </row>
    <row r="366" spans="1:14">
      <c r="A366">
        <v>365</v>
      </c>
      <c r="B366" t="s">
        <v>28</v>
      </c>
      <c r="C366" s="5">
        <v>45601</v>
      </c>
      <c r="D366" s="8">
        <v>45601</v>
      </c>
      <c r="E366" s="8">
        <f>IF(B366="Inactive", EDATE(D366,K366), "")</f>
        <v>45874</v>
      </c>
      <c r="F366" t="s">
        <v>12</v>
      </c>
      <c r="G366">
        <v>17</v>
      </c>
      <c r="H366" t="str" cm="1">
        <f t="array" ref="H366">_xlfn.IFS(G366&gt;=20,"20-25", G366&gt;=15,"15-20", G366&gt;=10,"10-15", G366&gt;=5,"5-10", G366&gt;=1,"1-5", G366&lt;1,"Less than 1")</f>
        <v>15-20</v>
      </c>
      <c r="I366">
        <v>2</v>
      </c>
      <c r="J366">
        <v>5</v>
      </c>
      <c r="K366" s="6">
        <v>9</v>
      </c>
      <c r="L366" s="2">
        <v>1.99</v>
      </c>
      <c r="M366" s="6">
        <v>19</v>
      </c>
      <c r="N366" t="str" cm="1">
        <f t="array" ref="N366">_xlfn.IFS(M366&gt;=50,"50-60 Days", M366&gt;=40,"40-50 Days", M366&gt;=30, "30-40 Days", M366&gt;=20, "20-30 Days", M366&gt;=10, "10-20 Days", M366&gt;=0, "0-10 Days")</f>
        <v>10-20 Days</v>
      </c>
    </row>
    <row r="367" spans="1:14">
      <c r="A367">
        <v>366</v>
      </c>
      <c r="B367" t="s">
        <v>28</v>
      </c>
      <c r="C367" s="5">
        <v>45337</v>
      </c>
      <c r="D367" s="8">
        <v>45337</v>
      </c>
      <c r="E367" s="8">
        <f>IF(B367="Inactive", EDATE(D367,K367), "")</f>
        <v>45641</v>
      </c>
      <c r="F367" t="s">
        <v>12</v>
      </c>
      <c r="G367">
        <v>19.8</v>
      </c>
      <c r="H367" t="str" cm="1">
        <f t="array" ref="H367">_xlfn.IFS(G367&gt;=20,"20-25", G367&gt;=15,"15-20", G367&gt;=10,"10-15", G367&gt;=5,"5-10", G367&gt;=1,"1-5", G367&lt;1,"Less than 1")</f>
        <v>15-20</v>
      </c>
      <c r="I367">
        <v>1</v>
      </c>
      <c r="J367">
        <v>3</v>
      </c>
      <c r="K367" s="6">
        <v>10</v>
      </c>
      <c r="L367" s="2">
        <v>1.99</v>
      </c>
      <c r="M367" s="6">
        <v>38</v>
      </c>
      <c r="N367" t="str" cm="1">
        <f t="array" ref="N367">_xlfn.IFS(M367&gt;=50,"50-60 Days", M367&gt;=40,"40-50 Days", M367&gt;=30, "30-40 Days", M367&gt;=20, "20-30 Days", M367&gt;=10, "10-20 Days", M367&gt;=0, "0-10 Days")</f>
        <v>30-40 Days</v>
      </c>
    </row>
    <row r="368" spans="1:14">
      <c r="A368">
        <v>367</v>
      </c>
      <c r="B368" t="s">
        <v>29</v>
      </c>
      <c r="C368" s="5">
        <v>45295</v>
      </c>
      <c r="D368" s="8">
        <v>45295</v>
      </c>
      <c r="E368" s="8" t="str">
        <f>IF(B368="Inactive", EDATE(D368,K368), "")</f>
        <v/>
      </c>
      <c r="F368" t="s">
        <v>10</v>
      </c>
      <c r="G368">
        <v>23.1</v>
      </c>
      <c r="H368" t="str" cm="1">
        <f t="array" ref="H368">_xlfn.IFS(G368&gt;=20,"20-25", G368&gt;=15,"15-20", G368&gt;=10,"10-15", G368&gt;=5,"5-10", G368&gt;=1,"1-5", G368&lt;1,"Less than 1")</f>
        <v>20-25</v>
      </c>
      <c r="I368">
        <v>6</v>
      </c>
      <c r="J368">
        <v>4</v>
      </c>
      <c r="K368" s="6">
        <v>11</v>
      </c>
      <c r="L368" s="2">
        <v>6.99</v>
      </c>
      <c r="M368" s="6">
        <v>2</v>
      </c>
      <c r="N368" t="str" cm="1">
        <f t="array" ref="N368">_xlfn.IFS(M368&gt;=50,"50-60 Days", M368&gt;=40,"40-50 Days", M368&gt;=30, "30-40 Days", M368&gt;=20, "20-30 Days", M368&gt;=10, "10-20 Days", M368&gt;=0, "0-10 Days")</f>
        <v>0-10 Days</v>
      </c>
    </row>
    <row r="369" spans="1:14">
      <c r="A369">
        <v>368</v>
      </c>
      <c r="B369" t="s">
        <v>28</v>
      </c>
      <c r="C369" s="5">
        <v>45607</v>
      </c>
      <c r="D369" s="8">
        <v>45607</v>
      </c>
      <c r="E369" s="8">
        <f>IF(B369="Inactive", EDATE(D369,K369), "")</f>
        <v>45972</v>
      </c>
      <c r="F369" t="s">
        <v>10</v>
      </c>
      <c r="G369">
        <v>15</v>
      </c>
      <c r="H369" t="str" cm="1">
        <f t="array" ref="H369">_xlfn.IFS(G369&gt;=20,"20-25", G369&gt;=15,"15-20", G369&gt;=10,"10-15", G369&gt;=5,"5-10", G369&gt;=1,"1-5", G369&lt;1,"Less than 1")</f>
        <v>15-20</v>
      </c>
      <c r="I369">
        <v>1</v>
      </c>
      <c r="J369">
        <v>0</v>
      </c>
      <c r="K369" s="6">
        <v>12</v>
      </c>
      <c r="L369" s="2">
        <v>6.99</v>
      </c>
      <c r="M369" s="6">
        <v>49</v>
      </c>
      <c r="N369" t="str" cm="1">
        <f t="array" ref="N369">_xlfn.IFS(M369&gt;=50,"50-60 Days", M369&gt;=40,"40-50 Days", M369&gt;=30, "30-40 Days", M369&gt;=20, "20-30 Days", M369&gt;=10, "10-20 Days", M369&gt;=0, "0-10 Days")</f>
        <v>40-50 Days</v>
      </c>
    </row>
    <row r="370" spans="1:14">
      <c r="A370">
        <v>369</v>
      </c>
      <c r="B370" t="s">
        <v>29</v>
      </c>
      <c r="C370" s="5">
        <v>45336</v>
      </c>
      <c r="D370" s="8">
        <v>45336</v>
      </c>
      <c r="E370" s="8" t="str">
        <f>IF(B370="Inactive", EDATE(D370,K370), "")</f>
        <v/>
      </c>
      <c r="F370" t="s">
        <v>14</v>
      </c>
      <c r="G370">
        <v>16.399999999999999</v>
      </c>
      <c r="H370" t="str" cm="1">
        <f t="array" ref="H370">_xlfn.IFS(G370&gt;=20,"20-25", G370&gt;=15,"15-20", G370&gt;=10,"10-15", G370&gt;=5,"5-10", G370&gt;=1,"1-5", G370&lt;1,"Less than 1")</f>
        <v>15-20</v>
      </c>
      <c r="I370">
        <v>0</v>
      </c>
      <c r="J370">
        <v>4</v>
      </c>
      <c r="K370" s="6">
        <v>4</v>
      </c>
      <c r="L370" s="2">
        <v>3.99</v>
      </c>
      <c r="M370" s="6">
        <v>41</v>
      </c>
      <c r="N370" t="str" cm="1">
        <f t="array" ref="N370">_xlfn.IFS(M370&gt;=50,"50-60 Days", M370&gt;=40,"40-50 Days", M370&gt;=30, "30-40 Days", M370&gt;=20, "20-30 Days", M370&gt;=10, "10-20 Days", M370&gt;=0, "0-10 Days")</f>
        <v>40-50 Days</v>
      </c>
    </row>
    <row r="371" spans="1:14">
      <c r="A371">
        <v>370</v>
      </c>
      <c r="B371" t="s">
        <v>28</v>
      </c>
      <c r="C371" s="5">
        <v>45458</v>
      </c>
      <c r="D371" s="8">
        <v>45458</v>
      </c>
      <c r="E371" s="8">
        <f>IF(B371="Inactive", EDATE(D371,K371), "")</f>
        <v>45762</v>
      </c>
      <c r="F371" t="s">
        <v>14</v>
      </c>
      <c r="G371">
        <v>3.1</v>
      </c>
      <c r="H371" t="str" cm="1">
        <f t="array" ref="H371">_xlfn.IFS(G371&gt;=20,"20-25", G371&gt;=15,"15-20", G371&gt;=10,"10-15", G371&gt;=5,"5-10", G371&gt;=1,"1-5", G371&lt;1,"Less than 1")</f>
        <v>1-5</v>
      </c>
      <c r="I371">
        <v>1</v>
      </c>
      <c r="J371">
        <v>2</v>
      </c>
      <c r="K371" s="6">
        <v>10</v>
      </c>
      <c r="L371" s="2">
        <v>3.99</v>
      </c>
      <c r="M371" s="6">
        <v>14</v>
      </c>
      <c r="N371" t="str" cm="1">
        <f t="array" ref="N371">_xlfn.IFS(M371&gt;=50,"50-60 Days", M371&gt;=40,"40-50 Days", M371&gt;=30, "30-40 Days", M371&gt;=20, "20-30 Days", M371&gt;=10, "10-20 Days", M371&gt;=0, "0-10 Days")</f>
        <v>10-20 Days</v>
      </c>
    </row>
    <row r="372" spans="1:14">
      <c r="A372">
        <v>371</v>
      </c>
      <c r="B372" t="s">
        <v>28</v>
      </c>
      <c r="C372" s="5">
        <v>45634</v>
      </c>
      <c r="D372" s="8">
        <v>45634</v>
      </c>
      <c r="E372" s="8">
        <f>IF(B372="Inactive", EDATE(D372,K372), "")</f>
        <v>45785</v>
      </c>
      <c r="F372" t="s">
        <v>10</v>
      </c>
      <c r="G372">
        <v>11.4</v>
      </c>
      <c r="H372" t="str" cm="1">
        <f t="array" ref="H372">_xlfn.IFS(G372&gt;=20,"20-25", G372&gt;=15,"15-20", G372&gt;=10,"10-15", G372&gt;=5,"5-10", G372&gt;=1,"1-5", G372&lt;1,"Less than 1")</f>
        <v>10-15</v>
      </c>
      <c r="I372">
        <v>6</v>
      </c>
      <c r="J372">
        <v>3</v>
      </c>
      <c r="K372" s="6">
        <v>5</v>
      </c>
      <c r="L372" s="2">
        <v>6.99</v>
      </c>
      <c r="M372" s="6">
        <v>49</v>
      </c>
      <c r="N372" t="str" cm="1">
        <f t="array" ref="N372">_xlfn.IFS(M372&gt;=50,"50-60 Days", M372&gt;=40,"40-50 Days", M372&gt;=30, "30-40 Days", M372&gt;=20, "20-30 Days", M372&gt;=10, "10-20 Days", M372&gt;=0, "0-10 Days")</f>
        <v>40-50 Days</v>
      </c>
    </row>
    <row r="373" spans="1:14">
      <c r="A373">
        <v>372</v>
      </c>
      <c r="B373" t="s">
        <v>28</v>
      </c>
      <c r="C373" s="5">
        <v>45014</v>
      </c>
      <c r="D373" s="8">
        <v>45014</v>
      </c>
      <c r="E373" s="8">
        <f>IF(B373="Inactive", EDATE(D373,K373), "")</f>
        <v>45136</v>
      </c>
      <c r="F373" t="s">
        <v>10</v>
      </c>
      <c r="G373">
        <v>9</v>
      </c>
      <c r="H373" t="str" cm="1">
        <f t="array" ref="H373">_xlfn.IFS(G373&gt;=20,"20-25", G373&gt;=15,"15-20", G373&gt;=10,"10-15", G373&gt;=5,"5-10", G373&gt;=1,"1-5", G373&lt;1,"Less than 1")</f>
        <v>5-10</v>
      </c>
      <c r="I373">
        <v>0</v>
      </c>
      <c r="J373">
        <v>3</v>
      </c>
      <c r="K373" s="6">
        <v>4</v>
      </c>
      <c r="L373" s="2">
        <v>6.99</v>
      </c>
      <c r="M373" s="6">
        <v>6</v>
      </c>
      <c r="N373" t="str" cm="1">
        <f t="array" ref="N373">_xlfn.IFS(M373&gt;=50,"50-60 Days", M373&gt;=40,"40-50 Days", M373&gt;=30, "30-40 Days", M373&gt;=20, "20-30 Days", M373&gt;=10, "10-20 Days", M373&gt;=0, "0-10 Days")</f>
        <v>0-10 Days</v>
      </c>
    </row>
    <row r="374" spans="1:14">
      <c r="A374">
        <v>373</v>
      </c>
      <c r="B374" t="s">
        <v>28</v>
      </c>
      <c r="C374" s="5">
        <v>45421</v>
      </c>
      <c r="D374" s="8">
        <v>45421</v>
      </c>
      <c r="E374" s="8">
        <f>IF(B374="Inactive", EDATE(D374,K374), "")</f>
        <v>45544</v>
      </c>
      <c r="F374" t="s">
        <v>12</v>
      </c>
      <c r="G374">
        <v>9</v>
      </c>
      <c r="H374" t="str" cm="1">
        <f t="array" ref="H374">_xlfn.IFS(G374&gt;=20,"20-25", G374&gt;=15,"15-20", G374&gt;=10,"10-15", G374&gt;=5,"5-10", G374&gt;=1,"1-5", G374&lt;1,"Less than 1")</f>
        <v>5-10</v>
      </c>
      <c r="I374">
        <v>5</v>
      </c>
      <c r="J374">
        <v>3</v>
      </c>
      <c r="K374" s="6">
        <v>4</v>
      </c>
      <c r="L374" s="2">
        <v>1.99</v>
      </c>
      <c r="M374" s="6">
        <v>50</v>
      </c>
      <c r="N374" t="str" cm="1">
        <f t="array" ref="N374">_xlfn.IFS(M374&gt;=50,"50-60 Days", M374&gt;=40,"40-50 Days", M374&gt;=30, "30-40 Days", M374&gt;=20, "20-30 Days", M374&gt;=10, "10-20 Days", M374&gt;=0, "0-10 Days")</f>
        <v>50-60 Days</v>
      </c>
    </row>
    <row r="375" spans="1:14">
      <c r="A375">
        <v>374</v>
      </c>
      <c r="B375" t="s">
        <v>28</v>
      </c>
      <c r="C375" s="5">
        <v>45654</v>
      </c>
      <c r="D375" s="8">
        <v>45654</v>
      </c>
      <c r="E375" s="8">
        <f>IF(B375="Inactive", EDATE(D375,K375), "")</f>
        <v>45989</v>
      </c>
      <c r="F375" t="s">
        <v>14</v>
      </c>
      <c r="G375">
        <v>2.9</v>
      </c>
      <c r="H375" t="str" cm="1">
        <f t="array" ref="H375">_xlfn.IFS(G375&gt;=20,"20-25", G375&gt;=15,"15-20", G375&gt;=10,"10-15", G375&gt;=5,"5-10", G375&gt;=1,"1-5", G375&lt;1,"Less than 1")</f>
        <v>1-5</v>
      </c>
      <c r="I375">
        <v>7</v>
      </c>
      <c r="J375">
        <v>2</v>
      </c>
      <c r="K375" s="6">
        <v>11</v>
      </c>
      <c r="L375" s="2">
        <v>3.99</v>
      </c>
      <c r="M375" s="6">
        <v>4</v>
      </c>
      <c r="N375" t="str" cm="1">
        <f t="array" ref="N375">_xlfn.IFS(M375&gt;=50,"50-60 Days", M375&gt;=40,"40-50 Days", M375&gt;=30, "30-40 Days", M375&gt;=20, "20-30 Days", M375&gt;=10, "10-20 Days", M375&gt;=0, "0-10 Days")</f>
        <v>0-10 Days</v>
      </c>
    </row>
    <row r="376" spans="1:14">
      <c r="A376">
        <v>375</v>
      </c>
      <c r="B376" t="s">
        <v>28</v>
      </c>
      <c r="C376" s="5">
        <v>45176</v>
      </c>
      <c r="D376" s="8">
        <v>45176</v>
      </c>
      <c r="E376" s="8">
        <f>IF(B376="Inactive", EDATE(D376,K376), "")</f>
        <v>45206</v>
      </c>
      <c r="F376" t="s">
        <v>12</v>
      </c>
      <c r="G376">
        <v>21.3</v>
      </c>
      <c r="H376" t="str" cm="1">
        <f t="array" ref="H376">_xlfn.IFS(G376&gt;=20,"20-25", G376&gt;=15,"15-20", G376&gt;=10,"10-15", G376&gt;=5,"5-10", G376&gt;=1,"1-5", G376&lt;1,"Less than 1")</f>
        <v>20-25</v>
      </c>
      <c r="I376">
        <v>1</v>
      </c>
      <c r="J376">
        <v>5</v>
      </c>
      <c r="K376" s="6">
        <v>1</v>
      </c>
      <c r="L376" s="2">
        <v>1.99</v>
      </c>
      <c r="M376" s="6">
        <v>51</v>
      </c>
      <c r="N376" t="str" cm="1">
        <f t="array" ref="N376">_xlfn.IFS(M376&gt;=50,"50-60 Days", M376&gt;=40,"40-50 Days", M376&gt;=30, "30-40 Days", M376&gt;=20, "20-30 Days", M376&gt;=10, "10-20 Days", M376&gt;=0, "0-10 Days")</f>
        <v>50-60 Days</v>
      </c>
    </row>
    <row r="377" spans="1:14">
      <c r="A377">
        <v>376</v>
      </c>
      <c r="B377" t="s">
        <v>29</v>
      </c>
      <c r="C377" s="5">
        <v>45164</v>
      </c>
      <c r="D377" s="8">
        <v>45164</v>
      </c>
      <c r="E377" s="8" t="str">
        <f>IF(B377="Inactive", EDATE(D377,K377), "")</f>
        <v/>
      </c>
      <c r="F377" t="s">
        <v>10</v>
      </c>
      <c r="G377">
        <v>14</v>
      </c>
      <c r="H377" t="str" cm="1">
        <f t="array" ref="H377">_xlfn.IFS(G377&gt;=20,"20-25", G377&gt;=15,"15-20", G377&gt;=10,"10-15", G377&gt;=5,"5-10", G377&gt;=1,"1-5", G377&lt;1,"Less than 1")</f>
        <v>10-15</v>
      </c>
      <c r="I377">
        <v>5</v>
      </c>
      <c r="J377">
        <v>4</v>
      </c>
      <c r="K377" s="6">
        <v>4</v>
      </c>
      <c r="L377" s="2">
        <v>6.99</v>
      </c>
      <c r="M377" s="6">
        <v>27</v>
      </c>
      <c r="N377" t="str" cm="1">
        <f t="array" ref="N377">_xlfn.IFS(M377&gt;=50,"50-60 Days", M377&gt;=40,"40-50 Days", M377&gt;=30, "30-40 Days", M377&gt;=20, "20-30 Days", M377&gt;=10, "10-20 Days", M377&gt;=0, "0-10 Days")</f>
        <v>20-30 Days</v>
      </c>
    </row>
    <row r="378" spans="1:14">
      <c r="A378">
        <v>377</v>
      </c>
      <c r="B378" t="s">
        <v>29</v>
      </c>
      <c r="C378" s="5">
        <v>45129</v>
      </c>
      <c r="D378" s="8">
        <v>45129</v>
      </c>
      <c r="E378" s="8" t="str">
        <f>IF(B378="Inactive", EDATE(D378,K378), "")</f>
        <v/>
      </c>
      <c r="F378" t="s">
        <v>14</v>
      </c>
      <c r="G378">
        <v>5.0999999999999996</v>
      </c>
      <c r="H378" t="str" cm="1">
        <f t="array" ref="H378">_xlfn.IFS(G378&gt;=20,"20-25", G378&gt;=15,"15-20", G378&gt;=10,"10-15", G378&gt;=5,"5-10", G378&gt;=1,"1-5", G378&lt;1,"Less than 1")</f>
        <v>5-10</v>
      </c>
      <c r="I378">
        <v>6</v>
      </c>
      <c r="J378">
        <v>3</v>
      </c>
      <c r="K378" s="6">
        <v>4</v>
      </c>
      <c r="L378" s="2">
        <v>3.99</v>
      </c>
      <c r="M378" s="6">
        <v>1</v>
      </c>
      <c r="N378" t="str" cm="1">
        <f t="array" ref="N378">_xlfn.IFS(M378&gt;=50,"50-60 Days", M378&gt;=40,"40-50 Days", M378&gt;=30, "30-40 Days", M378&gt;=20, "20-30 Days", M378&gt;=10, "10-20 Days", M378&gt;=0, "0-10 Days")</f>
        <v>0-10 Days</v>
      </c>
    </row>
    <row r="379" spans="1:14">
      <c r="A379">
        <v>378</v>
      </c>
      <c r="B379" t="s">
        <v>29</v>
      </c>
      <c r="C379" s="5">
        <v>44991</v>
      </c>
      <c r="D379" s="8">
        <v>44991</v>
      </c>
      <c r="E379" s="8" t="str">
        <f>IF(B379="Inactive", EDATE(D379,K379), "")</f>
        <v/>
      </c>
      <c r="F379" t="s">
        <v>14</v>
      </c>
      <c r="G379">
        <v>10</v>
      </c>
      <c r="H379" t="str" cm="1">
        <f t="array" ref="H379">_xlfn.IFS(G379&gt;=20,"20-25", G379&gt;=15,"15-20", G379&gt;=10,"10-15", G379&gt;=5,"5-10", G379&gt;=1,"1-5", G379&lt;1,"Less than 1")</f>
        <v>10-15</v>
      </c>
      <c r="I379">
        <v>3</v>
      </c>
      <c r="J379">
        <v>1</v>
      </c>
      <c r="K379" s="6">
        <v>10</v>
      </c>
      <c r="L379" s="2">
        <v>3.99</v>
      </c>
      <c r="M379" s="6">
        <v>17</v>
      </c>
      <c r="N379" t="str" cm="1">
        <f t="array" ref="N379">_xlfn.IFS(M379&gt;=50,"50-60 Days", M379&gt;=40,"40-50 Days", M379&gt;=30, "30-40 Days", M379&gt;=20, "20-30 Days", M379&gt;=10, "10-20 Days", M379&gt;=0, "0-10 Days")</f>
        <v>10-20 Days</v>
      </c>
    </row>
    <row r="380" spans="1:14">
      <c r="A380">
        <v>379</v>
      </c>
      <c r="B380" t="s">
        <v>28</v>
      </c>
      <c r="C380" s="5">
        <v>45395</v>
      </c>
      <c r="D380" s="8">
        <v>45395</v>
      </c>
      <c r="E380" s="8">
        <f>IF(B380="Inactive", EDATE(D380,K380), "")</f>
        <v>45486</v>
      </c>
      <c r="F380" t="s">
        <v>10</v>
      </c>
      <c r="G380">
        <v>20.100000000000001</v>
      </c>
      <c r="H380" t="str" cm="1">
        <f t="array" ref="H380">_xlfn.IFS(G380&gt;=20,"20-25", G380&gt;=15,"15-20", G380&gt;=10,"10-15", G380&gt;=5,"5-10", G380&gt;=1,"1-5", G380&lt;1,"Less than 1")</f>
        <v>20-25</v>
      </c>
      <c r="I380">
        <v>8</v>
      </c>
      <c r="J380">
        <v>1</v>
      </c>
      <c r="K380" s="6">
        <v>3</v>
      </c>
      <c r="L380" s="2">
        <v>6.99</v>
      </c>
      <c r="M380" s="6">
        <v>23</v>
      </c>
      <c r="N380" t="str" cm="1">
        <f t="array" ref="N380">_xlfn.IFS(M380&gt;=50,"50-60 Days", M380&gt;=40,"40-50 Days", M380&gt;=30, "30-40 Days", M380&gt;=20, "20-30 Days", M380&gt;=10, "10-20 Days", M380&gt;=0, "0-10 Days")</f>
        <v>20-30 Days</v>
      </c>
    </row>
    <row r="381" spans="1:14">
      <c r="A381">
        <v>380</v>
      </c>
      <c r="B381" t="s">
        <v>28</v>
      </c>
      <c r="C381" s="5">
        <v>45324</v>
      </c>
      <c r="D381" s="8">
        <v>45324</v>
      </c>
      <c r="E381" s="8">
        <f>IF(B381="Inactive", EDATE(D381,K381), "")</f>
        <v>45506</v>
      </c>
      <c r="F381" t="s">
        <v>12</v>
      </c>
      <c r="G381">
        <v>16.899999999999999</v>
      </c>
      <c r="H381" t="str" cm="1">
        <f t="array" ref="H381">_xlfn.IFS(G381&gt;=20,"20-25", G381&gt;=15,"15-20", G381&gt;=10,"10-15", G381&gt;=5,"5-10", G381&gt;=1,"1-5", G381&lt;1,"Less than 1")</f>
        <v>15-20</v>
      </c>
      <c r="I381">
        <v>7</v>
      </c>
      <c r="J381">
        <v>4</v>
      </c>
      <c r="K381" s="6">
        <v>6</v>
      </c>
      <c r="L381" s="2">
        <v>1.99</v>
      </c>
      <c r="M381" s="6">
        <v>40</v>
      </c>
      <c r="N381" t="str" cm="1">
        <f t="array" ref="N381">_xlfn.IFS(M381&gt;=50,"50-60 Days", M381&gt;=40,"40-50 Days", M381&gt;=30, "30-40 Days", M381&gt;=20, "20-30 Days", M381&gt;=10, "10-20 Days", M381&gt;=0, "0-10 Days")</f>
        <v>40-50 Days</v>
      </c>
    </row>
    <row r="382" spans="1:14">
      <c r="A382">
        <v>381</v>
      </c>
      <c r="B382" t="s">
        <v>28</v>
      </c>
      <c r="C382" s="5">
        <v>45103</v>
      </c>
      <c r="D382" s="8">
        <v>45103</v>
      </c>
      <c r="E382" s="8">
        <f>IF(B382="Inactive", EDATE(D382,K382), "")</f>
        <v>45377</v>
      </c>
      <c r="F382" t="s">
        <v>10</v>
      </c>
      <c r="G382">
        <v>14.9</v>
      </c>
      <c r="H382" t="str" cm="1">
        <f t="array" ref="H382">_xlfn.IFS(G382&gt;=20,"20-25", G382&gt;=15,"15-20", G382&gt;=10,"10-15", G382&gt;=5,"5-10", G382&gt;=1,"1-5", G382&lt;1,"Less than 1")</f>
        <v>10-15</v>
      </c>
      <c r="I382">
        <v>5</v>
      </c>
      <c r="J382">
        <v>2</v>
      </c>
      <c r="K382" s="6">
        <v>9</v>
      </c>
      <c r="L382" s="2">
        <v>6.99</v>
      </c>
      <c r="M382" s="6">
        <v>54</v>
      </c>
      <c r="N382" t="str" cm="1">
        <f t="array" ref="N382">_xlfn.IFS(M382&gt;=50,"50-60 Days", M382&gt;=40,"40-50 Days", M382&gt;=30, "30-40 Days", M382&gt;=20, "20-30 Days", M382&gt;=10, "10-20 Days", M382&gt;=0, "0-10 Days")</f>
        <v>50-60 Days</v>
      </c>
    </row>
    <row r="383" spans="1:14">
      <c r="A383">
        <v>382</v>
      </c>
      <c r="B383" t="s">
        <v>28</v>
      </c>
      <c r="C383" s="5">
        <v>45171</v>
      </c>
      <c r="D383" s="8">
        <v>45171</v>
      </c>
      <c r="E383" s="8">
        <f>IF(B383="Inactive", EDATE(D383,K383), "")</f>
        <v>45384</v>
      </c>
      <c r="F383" t="s">
        <v>10</v>
      </c>
      <c r="G383">
        <v>23</v>
      </c>
      <c r="H383" t="str" cm="1">
        <f t="array" ref="H383">_xlfn.IFS(G383&gt;=20,"20-25", G383&gt;=15,"15-20", G383&gt;=10,"10-15", G383&gt;=5,"5-10", G383&gt;=1,"1-5", G383&lt;1,"Less than 1")</f>
        <v>20-25</v>
      </c>
      <c r="I383">
        <v>1</v>
      </c>
      <c r="J383">
        <v>5</v>
      </c>
      <c r="K383" s="6">
        <v>7</v>
      </c>
      <c r="L383" s="2">
        <v>6.99</v>
      </c>
      <c r="M383" s="6">
        <v>8</v>
      </c>
      <c r="N383" t="str" cm="1">
        <f t="array" ref="N383">_xlfn.IFS(M383&gt;=50,"50-60 Days", M383&gt;=40,"40-50 Days", M383&gt;=30, "30-40 Days", M383&gt;=20, "20-30 Days", M383&gt;=10, "10-20 Days", M383&gt;=0, "0-10 Days")</f>
        <v>0-10 Days</v>
      </c>
    </row>
    <row r="384" spans="1:14">
      <c r="A384">
        <v>383</v>
      </c>
      <c r="B384" t="s">
        <v>28</v>
      </c>
      <c r="C384" s="5">
        <v>45068</v>
      </c>
      <c r="D384" s="8">
        <v>45068</v>
      </c>
      <c r="E384" s="8">
        <f>IF(B384="Inactive", EDATE(D384,K384), "")</f>
        <v>45160</v>
      </c>
      <c r="F384" t="s">
        <v>14</v>
      </c>
      <c r="G384">
        <v>5</v>
      </c>
      <c r="H384" t="str" cm="1">
        <f t="array" ref="H384">_xlfn.IFS(G384&gt;=20,"20-25", G384&gt;=15,"15-20", G384&gt;=10,"10-15", G384&gt;=5,"5-10", G384&gt;=1,"1-5", G384&lt;1,"Less than 1")</f>
        <v>5-10</v>
      </c>
      <c r="I384">
        <v>2</v>
      </c>
      <c r="J384">
        <v>4</v>
      </c>
      <c r="K384" s="6">
        <v>3</v>
      </c>
      <c r="L384" s="2">
        <v>3.99</v>
      </c>
      <c r="M384" s="6">
        <v>24</v>
      </c>
      <c r="N384" t="str" cm="1">
        <f t="array" ref="N384">_xlfn.IFS(M384&gt;=50,"50-60 Days", M384&gt;=40,"40-50 Days", M384&gt;=30, "30-40 Days", M384&gt;=20, "20-30 Days", M384&gt;=10, "10-20 Days", M384&gt;=0, "0-10 Days")</f>
        <v>20-30 Days</v>
      </c>
    </row>
    <row r="385" spans="1:14">
      <c r="A385">
        <v>384</v>
      </c>
      <c r="B385" t="s">
        <v>28</v>
      </c>
      <c r="C385" s="5">
        <v>45587</v>
      </c>
      <c r="D385" s="8">
        <v>45587</v>
      </c>
      <c r="E385" s="8">
        <f>IF(B385="Inactive", EDATE(D385,K385), "")</f>
        <v>45860</v>
      </c>
      <c r="F385" t="s">
        <v>10</v>
      </c>
      <c r="G385">
        <v>10.9</v>
      </c>
      <c r="H385" t="str" cm="1">
        <f t="array" ref="H385">_xlfn.IFS(G385&gt;=20,"20-25", G385&gt;=15,"15-20", G385&gt;=10,"10-15", G385&gt;=5,"5-10", G385&gt;=1,"1-5", G385&lt;1,"Less than 1")</f>
        <v>10-15</v>
      </c>
      <c r="I385">
        <v>7</v>
      </c>
      <c r="J385">
        <v>5</v>
      </c>
      <c r="K385" s="6">
        <v>9</v>
      </c>
      <c r="L385" s="2">
        <v>6.99</v>
      </c>
      <c r="M385" s="6">
        <v>34</v>
      </c>
      <c r="N385" t="str" cm="1">
        <f t="array" ref="N385">_xlfn.IFS(M385&gt;=50,"50-60 Days", M385&gt;=40,"40-50 Days", M385&gt;=30, "30-40 Days", M385&gt;=20, "20-30 Days", M385&gt;=10, "10-20 Days", M385&gt;=0, "0-10 Days")</f>
        <v>30-40 Days</v>
      </c>
    </row>
    <row r="386" spans="1:14">
      <c r="A386">
        <v>385</v>
      </c>
      <c r="B386" t="s">
        <v>28</v>
      </c>
      <c r="C386" s="5">
        <v>45388</v>
      </c>
      <c r="D386" s="8">
        <v>45388</v>
      </c>
      <c r="E386" s="8">
        <f>IF(B386="Inactive", EDATE(D386,K386), "")</f>
        <v>45753</v>
      </c>
      <c r="F386" t="s">
        <v>12</v>
      </c>
      <c r="G386">
        <v>4.5999999999999996</v>
      </c>
      <c r="H386" t="str" cm="1">
        <f t="array" ref="H386">_xlfn.IFS(G386&gt;=20,"20-25", G386&gt;=15,"15-20", G386&gt;=10,"10-15", G386&gt;=5,"5-10", G386&gt;=1,"1-5", G386&lt;1,"Less than 1")</f>
        <v>1-5</v>
      </c>
      <c r="I386">
        <v>4</v>
      </c>
      <c r="J386">
        <v>1</v>
      </c>
      <c r="K386" s="6">
        <v>12</v>
      </c>
      <c r="L386" s="2">
        <v>1.99</v>
      </c>
      <c r="M386" s="6">
        <v>11</v>
      </c>
      <c r="N386" t="str" cm="1">
        <f t="array" ref="N386">_xlfn.IFS(M386&gt;=50,"50-60 Days", M386&gt;=40,"40-50 Days", M386&gt;=30, "30-40 Days", M386&gt;=20, "20-30 Days", M386&gt;=10, "10-20 Days", M386&gt;=0, "0-10 Days")</f>
        <v>10-20 Days</v>
      </c>
    </row>
    <row r="387" spans="1:14">
      <c r="A387">
        <v>386</v>
      </c>
      <c r="B387" t="s">
        <v>28</v>
      </c>
      <c r="C387" s="5">
        <v>45320</v>
      </c>
      <c r="D387" s="8">
        <v>45320</v>
      </c>
      <c r="E387" s="8">
        <f>IF(B387="Inactive", EDATE(D387,K387), "")</f>
        <v>45380</v>
      </c>
      <c r="F387" t="s">
        <v>10</v>
      </c>
      <c r="G387">
        <v>21.7</v>
      </c>
      <c r="H387" t="str" cm="1">
        <f t="array" ref="H387">_xlfn.IFS(G387&gt;=20,"20-25", G387&gt;=15,"15-20", G387&gt;=10,"10-15", G387&gt;=5,"5-10", G387&gt;=1,"1-5", G387&lt;1,"Less than 1")</f>
        <v>20-25</v>
      </c>
      <c r="I387">
        <v>0</v>
      </c>
      <c r="J387">
        <v>3</v>
      </c>
      <c r="K387" s="6">
        <v>2</v>
      </c>
      <c r="L387" s="2">
        <v>6.99</v>
      </c>
      <c r="M387" s="6">
        <v>8</v>
      </c>
      <c r="N387" t="str" cm="1">
        <f t="array" ref="N387">_xlfn.IFS(M387&gt;=50,"50-60 Days", M387&gt;=40,"40-50 Days", M387&gt;=30, "30-40 Days", M387&gt;=20, "20-30 Days", M387&gt;=10, "10-20 Days", M387&gt;=0, "0-10 Days")</f>
        <v>0-10 Days</v>
      </c>
    </row>
    <row r="388" spans="1:14">
      <c r="A388">
        <v>387</v>
      </c>
      <c r="B388" t="s">
        <v>28</v>
      </c>
      <c r="C388" s="5">
        <v>45381</v>
      </c>
      <c r="D388" s="8">
        <v>45381</v>
      </c>
      <c r="E388" s="8">
        <f>IF(B388="Inactive", EDATE(D388,K388), "")</f>
        <v>45716</v>
      </c>
      <c r="F388" t="s">
        <v>10</v>
      </c>
      <c r="G388">
        <v>16.5</v>
      </c>
      <c r="H388" t="str" cm="1">
        <f t="array" ref="H388">_xlfn.IFS(G388&gt;=20,"20-25", G388&gt;=15,"15-20", G388&gt;=10,"10-15", G388&gt;=5,"5-10", G388&gt;=1,"1-5", G388&lt;1,"Less than 1")</f>
        <v>15-20</v>
      </c>
      <c r="I388">
        <v>6</v>
      </c>
      <c r="J388">
        <v>5</v>
      </c>
      <c r="K388" s="6">
        <v>11</v>
      </c>
      <c r="L388" s="2">
        <v>6.99</v>
      </c>
      <c r="M388" s="6">
        <v>31</v>
      </c>
      <c r="N388" t="str" cm="1">
        <f t="array" ref="N388">_xlfn.IFS(M388&gt;=50,"50-60 Days", M388&gt;=40,"40-50 Days", M388&gt;=30, "30-40 Days", M388&gt;=20, "20-30 Days", M388&gt;=10, "10-20 Days", M388&gt;=0, "0-10 Days")</f>
        <v>30-40 Days</v>
      </c>
    </row>
    <row r="389" spans="1:14">
      <c r="A389">
        <v>388</v>
      </c>
      <c r="B389" t="s">
        <v>28</v>
      </c>
      <c r="C389" s="5">
        <v>45157</v>
      </c>
      <c r="D389" s="8">
        <v>45157</v>
      </c>
      <c r="E389" s="8">
        <f>IF(B389="Inactive", EDATE(D389,K389), "")</f>
        <v>45279</v>
      </c>
      <c r="F389" t="s">
        <v>14</v>
      </c>
      <c r="G389">
        <v>2.5</v>
      </c>
      <c r="H389" t="str" cm="1">
        <f t="array" ref="H389">_xlfn.IFS(G389&gt;=20,"20-25", G389&gt;=15,"15-20", G389&gt;=10,"10-15", G389&gt;=5,"5-10", G389&gt;=1,"1-5", G389&lt;1,"Less than 1")</f>
        <v>1-5</v>
      </c>
      <c r="I389">
        <v>0</v>
      </c>
      <c r="J389">
        <v>1</v>
      </c>
      <c r="K389" s="6">
        <v>4</v>
      </c>
      <c r="L389" s="2">
        <v>3.99</v>
      </c>
      <c r="M389" s="6">
        <v>18</v>
      </c>
      <c r="N389" t="str" cm="1">
        <f t="array" ref="N389">_xlfn.IFS(M389&gt;=50,"50-60 Days", M389&gt;=40,"40-50 Days", M389&gt;=30, "30-40 Days", M389&gt;=20, "20-30 Days", M389&gt;=10, "10-20 Days", M389&gt;=0, "0-10 Days")</f>
        <v>10-20 Days</v>
      </c>
    </row>
    <row r="390" spans="1:14">
      <c r="A390">
        <v>389</v>
      </c>
      <c r="B390" t="s">
        <v>28</v>
      </c>
      <c r="C390" s="5">
        <v>45434</v>
      </c>
      <c r="D390" s="8">
        <v>45434</v>
      </c>
      <c r="E390" s="8">
        <f>IF(B390="Inactive", EDATE(D390,K390), "")</f>
        <v>45648</v>
      </c>
      <c r="F390" t="s">
        <v>10</v>
      </c>
      <c r="G390">
        <v>4.5999999999999996</v>
      </c>
      <c r="H390" t="str" cm="1">
        <f t="array" ref="H390">_xlfn.IFS(G390&gt;=20,"20-25", G390&gt;=15,"15-20", G390&gt;=10,"10-15", G390&gt;=5,"5-10", G390&gt;=1,"1-5", G390&lt;1,"Less than 1")</f>
        <v>1-5</v>
      </c>
      <c r="I390">
        <v>7</v>
      </c>
      <c r="J390">
        <v>4</v>
      </c>
      <c r="K390" s="6">
        <v>7</v>
      </c>
      <c r="L390" s="2">
        <v>6.99</v>
      </c>
      <c r="M390" s="6">
        <v>47</v>
      </c>
      <c r="N390" t="str" cm="1">
        <f t="array" ref="N390">_xlfn.IFS(M390&gt;=50,"50-60 Days", M390&gt;=40,"40-50 Days", M390&gt;=30, "30-40 Days", M390&gt;=20, "20-30 Days", M390&gt;=10, "10-20 Days", M390&gt;=0, "0-10 Days")</f>
        <v>40-50 Days</v>
      </c>
    </row>
    <row r="391" spans="1:14">
      <c r="A391">
        <v>390</v>
      </c>
      <c r="B391" t="s">
        <v>28</v>
      </c>
      <c r="C391" s="5">
        <v>45302</v>
      </c>
      <c r="D391" s="8">
        <v>45302</v>
      </c>
      <c r="E391" s="8">
        <f>IF(B391="Inactive", EDATE(D391,K391), "")</f>
        <v>45637</v>
      </c>
      <c r="F391" t="s">
        <v>10</v>
      </c>
      <c r="G391">
        <v>3.3</v>
      </c>
      <c r="H391" t="str" cm="1">
        <f t="array" ref="H391">_xlfn.IFS(G391&gt;=20,"20-25", G391&gt;=15,"15-20", G391&gt;=10,"10-15", G391&gt;=5,"5-10", G391&gt;=1,"1-5", G391&lt;1,"Less than 1")</f>
        <v>1-5</v>
      </c>
      <c r="I391">
        <v>1</v>
      </c>
      <c r="J391">
        <v>2</v>
      </c>
      <c r="K391" s="6">
        <v>11</v>
      </c>
      <c r="L391" s="2">
        <v>6.99</v>
      </c>
      <c r="M391" s="6">
        <v>49</v>
      </c>
      <c r="N391" t="str" cm="1">
        <f t="array" ref="N391">_xlfn.IFS(M391&gt;=50,"50-60 Days", M391&gt;=40,"40-50 Days", M391&gt;=30, "30-40 Days", M391&gt;=20, "20-30 Days", M391&gt;=10, "10-20 Days", M391&gt;=0, "0-10 Days")</f>
        <v>40-50 Days</v>
      </c>
    </row>
    <row r="392" spans="1:14">
      <c r="A392">
        <v>391</v>
      </c>
      <c r="B392" t="s">
        <v>29</v>
      </c>
      <c r="C392" s="5">
        <v>45031</v>
      </c>
      <c r="D392" s="8">
        <v>45031</v>
      </c>
      <c r="E392" s="8" t="str">
        <f>IF(B392="Inactive", EDATE(D392,K392), "")</f>
        <v/>
      </c>
      <c r="F392" t="s">
        <v>10</v>
      </c>
      <c r="G392">
        <v>19.100000000000001</v>
      </c>
      <c r="H392" t="str" cm="1">
        <f t="array" ref="H392">_xlfn.IFS(G392&gt;=20,"20-25", G392&gt;=15,"15-20", G392&gt;=10,"10-15", G392&gt;=5,"5-10", G392&gt;=1,"1-5", G392&lt;1,"Less than 1")</f>
        <v>15-20</v>
      </c>
      <c r="I392">
        <v>7</v>
      </c>
      <c r="J392">
        <v>4</v>
      </c>
      <c r="K392" s="6">
        <v>1</v>
      </c>
      <c r="L392" s="2">
        <v>6.99</v>
      </c>
      <c r="M392" s="6">
        <v>13</v>
      </c>
      <c r="N392" t="str" cm="1">
        <f t="array" ref="N392">_xlfn.IFS(M392&gt;=50,"50-60 Days", M392&gt;=40,"40-50 Days", M392&gt;=30, "30-40 Days", M392&gt;=20, "20-30 Days", M392&gt;=10, "10-20 Days", M392&gt;=0, "0-10 Days")</f>
        <v>10-20 Days</v>
      </c>
    </row>
    <row r="393" spans="1:14">
      <c r="A393">
        <v>392</v>
      </c>
      <c r="B393" t="s">
        <v>28</v>
      </c>
      <c r="C393" s="5">
        <v>45016</v>
      </c>
      <c r="D393" s="8">
        <v>45016</v>
      </c>
      <c r="E393" s="8">
        <f>IF(B393="Inactive", EDATE(D393,K393), "")</f>
        <v>45199</v>
      </c>
      <c r="F393" t="s">
        <v>10</v>
      </c>
      <c r="G393">
        <v>7.8</v>
      </c>
      <c r="H393" t="str" cm="1">
        <f t="array" ref="H393">_xlfn.IFS(G393&gt;=20,"20-25", G393&gt;=15,"15-20", G393&gt;=10,"10-15", G393&gt;=5,"5-10", G393&gt;=1,"1-5", G393&lt;1,"Less than 1")</f>
        <v>5-10</v>
      </c>
      <c r="I393">
        <v>0</v>
      </c>
      <c r="J393">
        <v>3</v>
      </c>
      <c r="K393" s="6">
        <v>6</v>
      </c>
      <c r="L393" s="2">
        <v>6.99</v>
      </c>
      <c r="M393" s="6">
        <v>16</v>
      </c>
      <c r="N393" t="str" cm="1">
        <f t="array" ref="N393">_xlfn.IFS(M393&gt;=50,"50-60 Days", M393&gt;=40,"40-50 Days", M393&gt;=30, "30-40 Days", M393&gt;=20, "20-30 Days", M393&gt;=10, "10-20 Days", M393&gt;=0, "0-10 Days")</f>
        <v>10-20 Days</v>
      </c>
    </row>
    <row r="394" spans="1:14">
      <c r="A394">
        <v>393</v>
      </c>
      <c r="B394" t="s">
        <v>29</v>
      </c>
      <c r="C394" s="5">
        <v>45632</v>
      </c>
      <c r="D394" s="8">
        <v>45632</v>
      </c>
      <c r="E394" s="8" t="str">
        <f>IF(B394="Inactive", EDATE(D394,K394), "")</f>
        <v/>
      </c>
      <c r="F394" t="s">
        <v>14</v>
      </c>
      <c r="G394">
        <v>19.5</v>
      </c>
      <c r="H394" t="str" cm="1">
        <f t="array" ref="H394">_xlfn.IFS(G394&gt;=20,"20-25", G394&gt;=15,"15-20", G394&gt;=10,"10-15", G394&gt;=5,"5-10", G394&gt;=1,"1-5", G394&lt;1,"Less than 1")</f>
        <v>15-20</v>
      </c>
      <c r="I394">
        <v>3</v>
      </c>
      <c r="J394">
        <v>1</v>
      </c>
      <c r="K394" s="6">
        <v>3</v>
      </c>
      <c r="L394" s="2">
        <v>3.99</v>
      </c>
      <c r="M394" s="6">
        <v>51</v>
      </c>
      <c r="N394" t="str" cm="1">
        <f t="array" ref="N394">_xlfn.IFS(M394&gt;=50,"50-60 Days", M394&gt;=40,"40-50 Days", M394&gt;=30, "30-40 Days", M394&gt;=20, "20-30 Days", M394&gt;=10, "10-20 Days", M394&gt;=0, "0-10 Days")</f>
        <v>50-60 Days</v>
      </c>
    </row>
    <row r="395" spans="1:14">
      <c r="A395">
        <v>394</v>
      </c>
      <c r="B395" t="s">
        <v>28</v>
      </c>
      <c r="C395" s="5">
        <v>44987</v>
      </c>
      <c r="D395" s="8">
        <v>44987</v>
      </c>
      <c r="E395" s="8">
        <f>IF(B395="Inactive", EDATE(D395,K395), "")</f>
        <v>45293</v>
      </c>
      <c r="F395" t="s">
        <v>14</v>
      </c>
      <c r="G395">
        <v>4.5999999999999996</v>
      </c>
      <c r="H395" t="str" cm="1">
        <f t="array" ref="H395">_xlfn.IFS(G395&gt;=20,"20-25", G395&gt;=15,"15-20", G395&gt;=10,"10-15", G395&gt;=5,"5-10", G395&gt;=1,"1-5", G395&lt;1,"Less than 1")</f>
        <v>1-5</v>
      </c>
      <c r="I395">
        <v>2</v>
      </c>
      <c r="J395">
        <v>1</v>
      </c>
      <c r="K395" s="6">
        <v>10</v>
      </c>
      <c r="L395" s="2">
        <v>3.99</v>
      </c>
      <c r="M395" s="6">
        <v>52</v>
      </c>
      <c r="N395" t="str" cm="1">
        <f t="array" ref="N395">_xlfn.IFS(M395&gt;=50,"50-60 Days", M395&gt;=40,"40-50 Days", M395&gt;=30, "30-40 Days", M395&gt;=20, "20-30 Days", M395&gt;=10, "10-20 Days", M395&gt;=0, "0-10 Days")</f>
        <v>50-60 Days</v>
      </c>
    </row>
    <row r="396" spans="1:14">
      <c r="A396">
        <v>395</v>
      </c>
      <c r="B396" t="s">
        <v>29</v>
      </c>
      <c r="C396" s="5">
        <v>45226</v>
      </c>
      <c r="D396" s="8">
        <v>45226</v>
      </c>
      <c r="E396" s="8" t="str">
        <f>IF(B396="Inactive", EDATE(D396,K396), "")</f>
        <v/>
      </c>
      <c r="F396" t="s">
        <v>10</v>
      </c>
      <c r="G396">
        <v>13.5</v>
      </c>
      <c r="H396" t="str" cm="1">
        <f t="array" ref="H396">_xlfn.IFS(G396&gt;=20,"20-25", G396&gt;=15,"15-20", G396&gt;=10,"10-15", G396&gt;=5,"5-10", G396&gt;=1,"1-5", G396&lt;1,"Less than 1")</f>
        <v>10-15</v>
      </c>
      <c r="I396">
        <v>8</v>
      </c>
      <c r="J396">
        <v>1</v>
      </c>
      <c r="K396" s="6">
        <v>8</v>
      </c>
      <c r="L396" s="2">
        <v>6.99</v>
      </c>
      <c r="M396" s="6">
        <v>20</v>
      </c>
      <c r="N396" t="str" cm="1">
        <f t="array" ref="N396">_xlfn.IFS(M396&gt;=50,"50-60 Days", M396&gt;=40,"40-50 Days", M396&gt;=30, "30-40 Days", M396&gt;=20, "20-30 Days", M396&gt;=10, "10-20 Days", M396&gt;=0, "0-10 Days")</f>
        <v>20-30 Days</v>
      </c>
    </row>
    <row r="397" spans="1:14">
      <c r="A397">
        <v>396</v>
      </c>
      <c r="B397" t="s">
        <v>28</v>
      </c>
      <c r="C397" s="5">
        <v>45348</v>
      </c>
      <c r="D397" s="8">
        <v>45348</v>
      </c>
      <c r="E397" s="8">
        <f>IF(B397="Inactive", EDATE(D397,K397), "")</f>
        <v>45530</v>
      </c>
      <c r="F397" t="s">
        <v>14</v>
      </c>
      <c r="G397">
        <v>23.8</v>
      </c>
      <c r="H397" t="str" cm="1">
        <f t="array" ref="H397">_xlfn.IFS(G397&gt;=20,"20-25", G397&gt;=15,"15-20", G397&gt;=10,"10-15", G397&gt;=5,"5-10", G397&gt;=1,"1-5", G397&lt;1,"Less than 1")</f>
        <v>20-25</v>
      </c>
      <c r="I397">
        <v>8</v>
      </c>
      <c r="J397">
        <v>5</v>
      </c>
      <c r="K397" s="6">
        <v>6</v>
      </c>
      <c r="L397" s="2">
        <v>3.99</v>
      </c>
      <c r="M397" s="6">
        <v>52</v>
      </c>
      <c r="N397" t="str" cm="1">
        <f t="array" ref="N397">_xlfn.IFS(M397&gt;=50,"50-60 Days", M397&gt;=40,"40-50 Days", M397&gt;=30, "30-40 Days", M397&gt;=20, "20-30 Days", M397&gt;=10, "10-20 Days", M397&gt;=0, "0-10 Days")</f>
        <v>50-60 Days</v>
      </c>
    </row>
    <row r="398" spans="1:14">
      <c r="A398">
        <v>397</v>
      </c>
      <c r="B398" t="s">
        <v>28</v>
      </c>
      <c r="C398" s="5">
        <v>45076</v>
      </c>
      <c r="D398" s="8">
        <v>45076</v>
      </c>
      <c r="E398" s="8">
        <f>IF(B398="Inactive", EDATE(D398,K398), "")</f>
        <v>45260</v>
      </c>
      <c r="F398" t="s">
        <v>12</v>
      </c>
      <c r="G398">
        <v>21.7</v>
      </c>
      <c r="H398" t="str" cm="1">
        <f t="array" ref="H398">_xlfn.IFS(G398&gt;=20,"20-25", G398&gt;=15,"15-20", G398&gt;=10,"10-15", G398&gt;=5,"5-10", G398&gt;=1,"1-5", G398&lt;1,"Less than 1")</f>
        <v>20-25</v>
      </c>
      <c r="I398">
        <v>2</v>
      </c>
      <c r="J398">
        <v>5</v>
      </c>
      <c r="K398" s="6">
        <v>6</v>
      </c>
      <c r="L398" s="2">
        <v>1.99</v>
      </c>
      <c r="M398" s="6">
        <v>55</v>
      </c>
      <c r="N398" t="str" cm="1">
        <f t="array" ref="N398">_xlfn.IFS(M398&gt;=50,"50-60 Days", M398&gt;=40,"40-50 Days", M398&gt;=30, "30-40 Days", M398&gt;=20, "20-30 Days", M398&gt;=10, "10-20 Days", M398&gt;=0, "0-10 Days")</f>
        <v>50-60 Days</v>
      </c>
    </row>
    <row r="399" spans="1:14">
      <c r="A399">
        <v>398</v>
      </c>
      <c r="B399" t="s">
        <v>29</v>
      </c>
      <c r="C399" s="5">
        <v>45202</v>
      </c>
      <c r="D399" s="8">
        <v>45202</v>
      </c>
      <c r="E399" s="8" t="str">
        <f>IF(B399="Inactive", EDATE(D399,K399), "")</f>
        <v/>
      </c>
      <c r="F399" t="s">
        <v>10</v>
      </c>
      <c r="G399">
        <v>20.8</v>
      </c>
      <c r="H399" t="str" cm="1">
        <f t="array" ref="H399">_xlfn.IFS(G399&gt;=20,"20-25", G399&gt;=15,"15-20", G399&gt;=10,"10-15", G399&gt;=5,"5-10", G399&gt;=1,"1-5", G399&lt;1,"Less than 1")</f>
        <v>20-25</v>
      </c>
      <c r="I399">
        <v>6</v>
      </c>
      <c r="J399">
        <v>3</v>
      </c>
      <c r="K399" s="6">
        <v>7</v>
      </c>
      <c r="L399" s="2">
        <v>6.99</v>
      </c>
      <c r="M399" s="6">
        <v>9</v>
      </c>
      <c r="N399" t="str" cm="1">
        <f t="array" ref="N399">_xlfn.IFS(M399&gt;=50,"50-60 Days", M399&gt;=40,"40-50 Days", M399&gt;=30, "30-40 Days", M399&gt;=20, "20-30 Days", M399&gt;=10, "10-20 Days", M399&gt;=0, "0-10 Days")</f>
        <v>0-10 Days</v>
      </c>
    </row>
    <row r="400" spans="1:14">
      <c r="A400">
        <v>399</v>
      </c>
      <c r="B400" t="s">
        <v>29</v>
      </c>
      <c r="C400" s="5">
        <v>45022</v>
      </c>
      <c r="D400" s="8">
        <v>45022</v>
      </c>
      <c r="E400" s="8" t="str">
        <f>IF(B400="Inactive", EDATE(D400,K400), "")</f>
        <v/>
      </c>
      <c r="F400" t="s">
        <v>10</v>
      </c>
      <c r="G400">
        <v>9.6999999999999993</v>
      </c>
      <c r="H400" t="str" cm="1">
        <f t="array" ref="H400">_xlfn.IFS(G400&gt;=20,"20-25", G400&gt;=15,"15-20", G400&gt;=10,"10-15", G400&gt;=5,"5-10", G400&gt;=1,"1-5", G400&lt;1,"Less than 1")</f>
        <v>5-10</v>
      </c>
      <c r="I400">
        <v>1</v>
      </c>
      <c r="J400">
        <v>5</v>
      </c>
      <c r="K400" s="6">
        <v>9</v>
      </c>
      <c r="L400" s="2">
        <v>6.99</v>
      </c>
      <c r="M400" s="6">
        <v>50</v>
      </c>
      <c r="N400" t="str" cm="1">
        <f t="array" ref="N400">_xlfn.IFS(M400&gt;=50,"50-60 Days", M400&gt;=40,"40-50 Days", M400&gt;=30, "30-40 Days", M400&gt;=20, "20-30 Days", M400&gt;=10, "10-20 Days", M400&gt;=0, "0-10 Days")</f>
        <v>50-60 Days</v>
      </c>
    </row>
    <row r="401" spans="1:14">
      <c r="A401">
        <v>400</v>
      </c>
      <c r="B401" t="s">
        <v>28</v>
      </c>
      <c r="C401" s="5">
        <v>45522</v>
      </c>
      <c r="D401" s="8">
        <v>45522</v>
      </c>
      <c r="E401" s="8">
        <f>IF(B401="Inactive", EDATE(D401,K401), "")</f>
        <v>45856</v>
      </c>
      <c r="F401" t="s">
        <v>14</v>
      </c>
      <c r="G401">
        <v>18.899999999999999</v>
      </c>
      <c r="H401" t="str" cm="1">
        <f t="array" ref="H401">_xlfn.IFS(G401&gt;=20,"20-25", G401&gt;=15,"15-20", G401&gt;=10,"10-15", G401&gt;=5,"5-10", G401&gt;=1,"1-5", G401&lt;1,"Less than 1")</f>
        <v>15-20</v>
      </c>
      <c r="I401">
        <v>5</v>
      </c>
      <c r="J401">
        <v>3</v>
      </c>
      <c r="K401" s="6">
        <v>11</v>
      </c>
      <c r="L401" s="2">
        <v>3.99</v>
      </c>
      <c r="M401" s="6">
        <v>60</v>
      </c>
      <c r="N401" t="str" cm="1">
        <f t="array" ref="N401">_xlfn.IFS(M401&gt;=50,"50-60 Days", M401&gt;=40,"40-50 Days", M401&gt;=30, "30-40 Days", M401&gt;=20, "20-30 Days", M401&gt;=10, "10-20 Days", M401&gt;=0, "0-10 Days")</f>
        <v>50-60 Days</v>
      </c>
    </row>
    <row r="402" spans="1:14">
      <c r="A402">
        <v>401</v>
      </c>
      <c r="B402" t="s">
        <v>28</v>
      </c>
      <c r="C402" s="5">
        <v>44991</v>
      </c>
      <c r="D402" s="8">
        <v>44991</v>
      </c>
      <c r="E402" s="8">
        <f>IF(B402="Inactive", EDATE(D402,K402), "")</f>
        <v>45052</v>
      </c>
      <c r="F402" t="s">
        <v>12</v>
      </c>
      <c r="G402">
        <v>18.399999999999999</v>
      </c>
      <c r="H402" t="str" cm="1">
        <f t="array" ref="H402">_xlfn.IFS(G402&gt;=20,"20-25", G402&gt;=15,"15-20", G402&gt;=10,"10-15", G402&gt;=5,"5-10", G402&gt;=1,"1-5", G402&lt;1,"Less than 1")</f>
        <v>15-20</v>
      </c>
      <c r="I402">
        <v>7</v>
      </c>
      <c r="J402">
        <v>5</v>
      </c>
      <c r="K402" s="6">
        <v>2</v>
      </c>
      <c r="L402" s="2">
        <v>1.99</v>
      </c>
      <c r="M402" s="6">
        <v>42</v>
      </c>
      <c r="N402" t="str" cm="1">
        <f t="array" ref="N402">_xlfn.IFS(M402&gt;=50,"50-60 Days", M402&gt;=40,"40-50 Days", M402&gt;=30, "30-40 Days", M402&gt;=20, "20-30 Days", M402&gt;=10, "10-20 Days", M402&gt;=0, "0-10 Days")</f>
        <v>40-50 Days</v>
      </c>
    </row>
    <row r="403" spans="1:14">
      <c r="A403">
        <v>402</v>
      </c>
      <c r="B403" t="s">
        <v>28</v>
      </c>
      <c r="C403" s="5">
        <v>45217</v>
      </c>
      <c r="D403" s="8">
        <v>45217</v>
      </c>
      <c r="E403" s="8">
        <f>IF(B403="Inactive", EDATE(D403,K403), "")</f>
        <v>45491</v>
      </c>
      <c r="F403" t="s">
        <v>10</v>
      </c>
      <c r="G403">
        <v>5.8</v>
      </c>
      <c r="H403" t="str" cm="1">
        <f t="array" ref="H403">_xlfn.IFS(G403&gt;=20,"20-25", G403&gt;=15,"15-20", G403&gt;=10,"10-15", G403&gt;=5,"5-10", G403&gt;=1,"1-5", G403&lt;1,"Less than 1")</f>
        <v>5-10</v>
      </c>
      <c r="I403">
        <v>6</v>
      </c>
      <c r="J403">
        <v>1</v>
      </c>
      <c r="K403" s="6">
        <v>9</v>
      </c>
      <c r="L403" s="2">
        <v>6.99</v>
      </c>
      <c r="M403" s="6">
        <v>31</v>
      </c>
      <c r="N403" t="str" cm="1">
        <f t="array" ref="N403">_xlfn.IFS(M403&gt;=50,"50-60 Days", M403&gt;=40,"40-50 Days", M403&gt;=30, "30-40 Days", M403&gt;=20, "20-30 Days", M403&gt;=10, "10-20 Days", M403&gt;=0, "0-10 Days")</f>
        <v>30-40 Days</v>
      </c>
    </row>
    <row r="404" spans="1:14">
      <c r="A404">
        <v>403</v>
      </c>
      <c r="B404" t="s">
        <v>28</v>
      </c>
      <c r="C404" s="5">
        <v>44976</v>
      </c>
      <c r="D404" s="8">
        <v>44976</v>
      </c>
      <c r="E404" s="8">
        <f>IF(B404="Inactive", EDATE(D404,K404), "")</f>
        <v>45341</v>
      </c>
      <c r="F404" t="s">
        <v>14</v>
      </c>
      <c r="G404">
        <v>14.7</v>
      </c>
      <c r="H404" t="str" cm="1">
        <f t="array" ref="H404">_xlfn.IFS(G404&gt;=20,"20-25", G404&gt;=15,"15-20", G404&gt;=10,"10-15", G404&gt;=5,"5-10", G404&gt;=1,"1-5", G404&lt;1,"Less than 1")</f>
        <v>10-15</v>
      </c>
      <c r="I404">
        <v>7</v>
      </c>
      <c r="J404">
        <v>2</v>
      </c>
      <c r="K404" s="6">
        <v>12</v>
      </c>
      <c r="L404" s="2">
        <v>3.99</v>
      </c>
      <c r="M404" s="6">
        <v>57</v>
      </c>
      <c r="N404" t="str" cm="1">
        <f t="array" ref="N404">_xlfn.IFS(M404&gt;=50,"50-60 Days", M404&gt;=40,"40-50 Days", M404&gt;=30, "30-40 Days", M404&gt;=20, "20-30 Days", M404&gt;=10, "10-20 Days", M404&gt;=0, "0-10 Days")</f>
        <v>50-60 Days</v>
      </c>
    </row>
    <row r="405" spans="1:14">
      <c r="A405">
        <v>404</v>
      </c>
      <c r="B405" t="s">
        <v>29</v>
      </c>
      <c r="C405" s="5">
        <v>45088</v>
      </c>
      <c r="D405" s="8">
        <v>45088</v>
      </c>
      <c r="E405" s="8" t="str">
        <f>IF(B405="Inactive", EDATE(D405,K405), "")</f>
        <v/>
      </c>
      <c r="F405" t="s">
        <v>12</v>
      </c>
      <c r="G405">
        <v>15.8</v>
      </c>
      <c r="H405" t="str" cm="1">
        <f t="array" ref="H405">_xlfn.IFS(G405&gt;=20,"20-25", G405&gt;=15,"15-20", G405&gt;=10,"10-15", G405&gt;=5,"5-10", G405&gt;=1,"1-5", G405&lt;1,"Less than 1")</f>
        <v>15-20</v>
      </c>
      <c r="I405">
        <v>7</v>
      </c>
      <c r="J405">
        <v>0</v>
      </c>
      <c r="K405" s="6">
        <v>3</v>
      </c>
      <c r="L405" s="2">
        <v>1.99</v>
      </c>
      <c r="M405" s="6">
        <v>7</v>
      </c>
      <c r="N405" t="str" cm="1">
        <f t="array" ref="N405">_xlfn.IFS(M405&gt;=50,"50-60 Days", M405&gt;=40,"40-50 Days", M405&gt;=30, "30-40 Days", M405&gt;=20, "20-30 Days", M405&gt;=10, "10-20 Days", M405&gt;=0, "0-10 Days")</f>
        <v>0-10 Days</v>
      </c>
    </row>
    <row r="406" spans="1:14">
      <c r="A406">
        <v>405</v>
      </c>
      <c r="B406" t="s">
        <v>29</v>
      </c>
      <c r="C406" s="5">
        <v>45592</v>
      </c>
      <c r="D406" s="8">
        <v>45592</v>
      </c>
      <c r="E406" s="8" t="str">
        <f>IF(B406="Inactive", EDATE(D406,K406), "")</f>
        <v/>
      </c>
      <c r="F406" t="s">
        <v>14</v>
      </c>
      <c r="G406">
        <v>0.5</v>
      </c>
      <c r="H406" t="str" cm="1">
        <f t="array" ref="H406">_xlfn.IFS(G406&gt;=20,"20-25", G406&gt;=15,"15-20", G406&gt;=10,"10-15", G406&gt;=5,"5-10", G406&gt;=1,"1-5", G406&lt;1,"Less than 1")</f>
        <v>Less than 1</v>
      </c>
      <c r="I406">
        <v>6</v>
      </c>
      <c r="J406">
        <v>1</v>
      </c>
      <c r="K406" s="6">
        <v>10</v>
      </c>
      <c r="L406" s="2">
        <v>3.99</v>
      </c>
      <c r="M406" s="6">
        <v>44</v>
      </c>
      <c r="N406" t="str" cm="1">
        <f t="array" ref="N406">_xlfn.IFS(M406&gt;=50,"50-60 Days", M406&gt;=40,"40-50 Days", M406&gt;=30, "30-40 Days", M406&gt;=20, "20-30 Days", M406&gt;=10, "10-20 Days", M406&gt;=0, "0-10 Days")</f>
        <v>40-50 Days</v>
      </c>
    </row>
    <row r="407" spans="1:14">
      <c r="A407">
        <v>406</v>
      </c>
      <c r="B407" t="s">
        <v>28</v>
      </c>
      <c r="C407" s="5">
        <v>45011</v>
      </c>
      <c r="D407" s="8">
        <v>45011</v>
      </c>
      <c r="E407" s="8">
        <f>IF(B407="Inactive", EDATE(D407,K407), "")</f>
        <v>45133</v>
      </c>
      <c r="F407" t="s">
        <v>14</v>
      </c>
      <c r="G407">
        <v>21.9</v>
      </c>
      <c r="H407" t="str" cm="1">
        <f t="array" ref="H407">_xlfn.IFS(G407&gt;=20,"20-25", G407&gt;=15,"15-20", G407&gt;=10,"10-15", G407&gt;=5,"5-10", G407&gt;=1,"1-5", G407&lt;1,"Less than 1")</f>
        <v>20-25</v>
      </c>
      <c r="I407">
        <v>4</v>
      </c>
      <c r="J407">
        <v>0</v>
      </c>
      <c r="K407" s="6">
        <v>4</v>
      </c>
      <c r="L407" s="2">
        <v>3.99</v>
      </c>
      <c r="M407" s="6">
        <v>41</v>
      </c>
      <c r="N407" t="str" cm="1">
        <f t="array" ref="N407">_xlfn.IFS(M407&gt;=50,"50-60 Days", M407&gt;=40,"40-50 Days", M407&gt;=30, "30-40 Days", M407&gt;=20, "20-30 Days", M407&gt;=10, "10-20 Days", M407&gt;=0, "0-10 Days")</f>
        <v>40-50 Days</v>
      </c>
    </row>
    <row r="408" spans="1:14">
      <c r="A408">
        <v>407</v>
      </c>
      <c r="B408" t="s">
        <v>28</v>
      </c>
      <c r="C408" s="5">
        <v>45366</v>
      </c>
      <c r="D408" s="8">
        <v>45366</v>
      </c>
      <c r="E408" s="8">
        <f>IF(B408="Inactive", EDATE(D408,K408), "")</f>
        <v>45488</v>
      </c>
      <c r="F408" t="s">
        <v>14</v>
      </c>
      <c r="G408">
        <v>1.8</v>
      </c>
      <c r="H408" t="str" cm="1">
        <f t="array" ref="H408">_xlfn.IFS(G408&gt;=20,"20-25", G408&gt;=15,"15-20", G408&gt;=10,"10-15", G408&gt;=5,"5-10", G408&gt;=1,"1-5", G408&lt;1,"Less than 1")</f>
        <v>1-5</v>
      </c>
      <c r="I408">
        <v>4</v>
      </c>
      <c r="J408">
        <v>5</v>
      </c>
      <c r="K408" s="6">
        <v>4</v>
      </c>
      <c r="L408" s="2">
        <v>3.99</v>
      </c>
      <c r="M408" s="6">
        <v>44</v>
      </c>
      <c r="N408" t="str" cm="1">
        <f t="array" ref="N408">_xlfn.IFS(M408&gt;=50,"50-60 Days", M408&gt;=40,"40-50 Days", M408&gt;=30, "30-40 Days", M408&gt;=20, "20-30 Days", M408&gt;=10, "10-20 Days", M408&gt;=0, "0-10 Days")</f>
        <v>40-50 Days</v>
      </c>
    </row>
    <row r="409" spans="1:14">
      <c r="A409">
        <v>408</v>
      </c>
      <c r="B409" t="s">
        <v>28</v>
      </c>
      <c r="C409" s="5">
        <v>45534</v>
      </c>
      <c r="D409" s="8">
        <v>45534</v>
      </c>
      <c r="E409" s="8">
        <f>IF(B409="Inactive", EDATE(D409,K409), "")</f>
        <v>45595</v>
      </c>
      <c r="F409" t="s">
        <v>10</v>
      </c>
      <c r="G409">
        <v>17.7</v>
      </c>
      <c r="H409" t="str" cm="1">
        <f t="array" ref="H409">_xlfn.IFS(G409&gt;=20,"20-25", G409&gt;=15,"15-20", G409&gt;=10,"10-15", G409&gt;=5,"5-10", G409&gt;=1,"1-5", G409&lt;1,"Less than 1")</f>
        <v>15-20</v>
      </c>
      <c r="I409">
        <v>0</v>
      </c>
      <c r="J409">
        <v>1</v>
      </c>
      <c r="K409" s="6">
        <v>2</v>
      </c>
      <c r="L409" s="2">
        <v>6.99</v>
      </c>
      <c r="M409" s="6">
        <v>30</v>
      </c>
      <c r="N409" t="str" cm="1">
        <f t="array" ref="N409">_xlfn.IFS(M409&gt;=50,"50-60 Days", M409&gt;=40,"40-50 Days", M409&gt;=30, "30-40 Days", M409&gt;=20, "20-30 Days", M409&gt;=10, "10-20 Days", M409&gt;=0, "0-10 Days")</f>
        <v>30-40 Days</v>
      </c>
    </row>
    <row r="410" spans="1:14">
      <c r="A410">
        <v>409</v>
      </c>
      <c r="B410" t="s">
        <v>28</v>
      </c>
      <c r="C410" s="5">
        <v>45050</v>
      </c>
      <c r="D410" s="8">
        <v>45050</v>
      </c>
      <c r="E410" s="8">
        <f>IF(B410="Inactive", EDATE(D410,K410), "")</f>
        <v>45416</v>
      </c>
      <c r="F410" t="s">
        <v>12</v>
      </c>
      <c r="G410">
        <v>17.2</v>
      </c>
      <c r="H410" t="str" cm="1">
        <f t="array" ref="H410">_xlfn.IFS(G410&gt;=20,"20-25", G410&gt;=15,"15-20", G410&gt;=10,"10-15", G410&gt;=5,"5-10", G410&gt;=1,"1-5", G410&lt;1,"Less than 1")</f>
        <v>15-20</v>
      </c>
      <c r="I410">
        <v>0</v>
      </c>
      <c r="J410">
        <v>0</v>
      </c>
      <c r="K410" s="6">
        <v>12</v>
      </c>
      <c r="L410" s="2">
        <v>1.99</v>
      </c>
      <c r="M410" s="6">
        <v>44</v>
      </c>
      <c r="N410" t="str" cm="1">
        <f t="array" ref="N410">_xlfn.IFS(M410&gt;=50,"50-60 Days", M410&gt;=40,"40-50 Days", M410&gt;=30, "30-40 Days", M410&gt;=20, "20-30 Days", M410&gt;=10, "10-20 Days", M410&gt;=0, "0-10 Days")</f>
        <v>40-50 Days</v>
      </c>
    </row>
    <row r="411" spans="1:14">
      <c r="A411">
        <v>410</v>
      </c>
      <c r="B411" t="s">
        <v>29</v>
      </c>
      <c r="C411" s="5">
        <v>45031</v>
      </c>
      <c r="D411" s="8">
        <v>45031</v>
      </c>
      <c r="E411" s="8" t="str">
        <f>IF(B411="Inactive", EDATE(D411,K411), "")</f>
        <v/>
      </c>
      <c r="F411" t="s">
        <v>14</v>
      </c>
      <c r="G411">
        <v>12.2</v>
      </c>
      <c r="H411" t="str" cm="1">
        <f t="array" ref="H411">_xlfn.IFS(G411&gt;=20,"20-25", G411&gt;=15,"15-20", G411&gt;=10,"10-15", G411&gt;=5,"5-10", G411&gt;=1,"1-5", G411&lt;1,"Less than 1")</f>
        <v>10-15</v>
      </c>
      <c r="I411">
        <v>3</v>
      </c>
      <c r="J411">
        <v>3</v>
      </c>
      <c r="K411" s="6">
        <v>3</v>
      </c>
      <c r="L411" s="2">
        <v>3.99</v>
      </c>
      <c r="M411" s="6">
        <v>5</v>
      </c>
      <c r="N411" t="str" cm="1">
        <f t="array" ref="N411">_xlfn.IFS(M411&gt;=50,"50-60 Days", M411&gt;=40,"40-50 Days", M411&gt;=30, "30-40 Days", M411&gt;=20, "20-30 Days", M411&gt;=10, "10-20 Days", M411&gt;=0, "0-10 Days")</f>
        <v>0-10 Days</v>
      </c>
    </row>
    <row r="412" spans="1:14">
      <c r="A412">
        <v>411</v>
      </c>
      <c r="B412" t="s">
        <v>29</v>
      </c>
      <c r="C412" s="5">
        <v>45063</v>
      </c>
      <c r="D412" s="8">
        <v>45063</v>
      </c>
      <c r="E412" s="8" t="str">
        <f>IF(B412="Inactive", EDATE(D412,K412), "")</f>
        <v/>
      </c>
      <c r="F412" t="s">
        <v>12</v>
      </c>
      <c r="G412">
        <v>9.5</v>
      </c>
      <c r="H412" t="str" cm="1">
        <f t="array" ref="H412">_xlfn.IFS(G412&gt;=20,"20-25", G412&gt;=15,"15-20", G412&gt;=10,"10-15", G412&gt;=5,"5-10", G412&gt;=1,"1-5", G412&lt;1,"Less than 1")</f>
        <v>5-10</v>
      </c>
      <c r="I412">
        <v>4</v>
      </c>
      <c r="J412">
        <v>1</v>
      </c>
      <c r="K412" s="6">
        <v>7</v>
      </c>
      <c r="L412" s="2">
        <v>1.99</v>
      </c>
      <c r="M412" s="6">
        <v>24</v>
      </c>
      <c r="N412" t="str" cm="1">
        <f t="array" ref="N412">_xlfn.IFS(M412&gt;=50,"50-60 Days", M412&gt;=40,"40-50 Days", M412&gt;=30, "30-40 Days", M412&gt;=20, "20-30 Days", M412&gt;=10, "10-20 Days", M412&gt;=0, "0-10 Days")</f>
        <v>20-30 Days</v>
      </c>
    </row>
    <row r="413" spans="1:14">
      <c r="A413">
        <v>412</v>
      </c>
      <c r="B413" t="s">
        <v>28</v>
      </c>
      <c r="C413" s="5">
        <v>45286</v>
      </c>
      <c r="D413" s="8">
        <v>45286</v>
      </c>
      <c r="E413" s="8">
        <f>IF(B413="Inactive", EDATE(D413,K413), "")</f>
        <v>45408</v>
      </c>
      <c r="F413" t="s">
        <v>10</v>
      </c>
      <c r="G413">
        <v>2.2000000000000002</v>
      </c>
      <c r="H413" t="str" cm="1">
        <f t="array" ref="H413">_xlfn.IFS(G413&gt;=20,"20-25", G413&gt;=15,"15-20", G413&gt;=10,"10-15", G413&gt;=5,"5-10", G413&gt;=1,"1-5", G413&lt;1,"Less than 1")</f>
        <v>1-5</v>
      </c>
      <c r="I413">
        <v>0</v>
      </c>
      <c r="J413">
        <v>4</v>
      </c>
      <c r="K413" s="6">
        <v>4</v>
      </c>
      <c r="L413" s="2">
        <v>6.99</v>
      </c>
      <c r="M413" s="6">
        <v>41</v>
      </c>
      <c r="N413" t="str" cm="1">
        <f t="array" ref="N413">_xlfn.IFS(M413&gt;=50,"50-60 Days", M413&gt;=40,"40-50 Days", M413&gt;=30, "30-40 Days", M413&gt;=20, "20-30 Days", M413&gt;=10, "10-20 Days", M413&gt;=0, "0-10 Days")</f>
        <v>40-50 Days</v>
      </c>
    </row>
    <row r="414" spans="1:14">
      <c r="A414">
        <v>413</v>
      </c>
      <c r="B414" t="s">
        <v>29</v>
      </c>
      <c r="C414" s="5">
        <v>45149</v>
      </c>
      <c r="D414" s="8">
        <v>45149</v>
      </c>
      <c r="E414" s="8" t="str">
        <f>IF(B414="Inactive", EDATE(D414,K414), "")</f>
        <v/>
      </c>
      <c r="F414" t="s">
        <v>10</v>
      </c>
      <c r="G414">
        <v>15.9</v>
      </c>
      <c r="H414" t="str" cm="1">
        <f t="array" ref="H414">_xlfn.IFS(G414&gt;=20,"20-25", G414&gt;=15,"15-20", G414&gt;=10,"10-15", G414&gt;=5,"5-10", G414&gt;=1,"1-5", G414&lt;1,"Less than 1")</f>
        <v>15-20</v>
      </c>
      <c r="I414">
        <v>2</v>
      </c>
      <c r="J414">
        <v>3</v>
      </c>
      <c r="K414" s="6">
        <v>5</v>
      </c>
      <c r="L414" s="2">
        <v>6.99</v>
      </c>
      <c r="M414" s="6">
        <v>39</v>
      </c>
      <c r="N414" t="str" cm="1">
        <f t="array" ref="N414">_xlfn.IFS(M414&gt;=50,"50-60 Days", M414&gt;=40,"40-50 Days", M414&gt;=30, "30-40 Days", M414&gt;=20, "20-30 Days", M414&gt;=10, "10-20 Days", M414&gt;=0, "0-10 Days")</f>
        <v>30-40 Days</v>
      </c>
    </row>
    <row r="415" spans="1:14">
      <c r="A415">
        <v>414</v>
      </c>
      <c r="B415" t="s">
        <v>28</v>
      </c>
      <c r="C415" s="5">
        <v>45366</v>
      </c>
      <c r="D415" s="8">
        <v>45366</v>
      </c>
      <c r="E415" s="8">
        <f>IF(B415="Inactive", EDATE(D415,K415), "")</f>
        <v>45458</v>
      </c>
      <c r="F415" t="s">
        <v>12</v>
      </c>
      <c r="G415">
        <v>3.9</v>
      </c>
      <c r="H415" t="str" cm="1">
        <f t="array" ref="H415">_xlfn.IFS(G415&gt;=20,"20-25", G415&gt;=15,"15-20", G415&gt;=10,"10-15", G415&gt;=5,"5-10", G415&gt;=1,"1-5", G415&lt;1,"Less than 1")</f>
        <v>1-5</v>
      </c>
      <c r="I415">
        <v>1</v>
      </c>
      <c r="J415">
        <v>4</v>
      </c>
      <c r="K415" s="6">
        <v>3</v>
      </c>
      <c r="L415" s="2">
        <v>1.99</v>
      </c>
      <c r="M415" s="6">
        <v>46</v>
      </c>
      <c r="N415" t="str" cm="1">
        <f t="array" ref="N415">_xlfn.IFS(M415&gt;=50,"50-60 Days", M415&gt;=40,"40-50 Days", M415&gt;=30, "30-40 Days", M415&gt;=20, "20-30 Days", M415&gt;=10, "10-20 Days", M415&gt;=0, "0-10 Days")</f>
        <v>40-50 Days</v>
      </c>
    </row>
    <row r="416" spans="1:14">
      <c r="A416">
        <v>415</v>
      </c>
      <c r="B416" t="s">
        <v>29</v>
      </c>
      <c r="C416" s="5">
        <v>45549</v>
      </c>
      <c r="D416" s="8">
        <v>45549</v>
      </c>
      <c r="E416" s="8" t="str">
        <f>IF(B416="Inactive", EDATE(D416,K416), "")</f>
        <v/>
      </c>
      <c r="F416" t="s">
        <v>14</v>
      </c>
      <c r="G416">
        <v>6.6</v>
      </c>
      <c r="H416" t="str" cm="1">
        <f t="array" ref="H416">_xlfn.IFS(G416&gt;=20,"20-25", G416&gt;=15,"15-20", G416&gt;=10,"10-15", G416&gt;=5,"5-10", G416&gt;=1,"1-5", G416&lt;1,"Less than 1")</f>
        <v>5-10</v>
      </c>
      <c r="I416">
        <v>1</v>
      </c>
      <c r="J416">
        <v>1</v>
      </c>
      <c r="K416" s="6">
        <v>3</v>
      </c>
      <c r="L416" s="2">
        <v>3.99</v>
      </c>
      <c r="M416" s="6">
        <v>35</v>
      </c>
      <c r="N416" t="str" cm="1">
        <f t="array" ref="N416">_xlfn.IFS(M416&gt;=50,"50-60 Days", M416&gt;=40,"40-50 Days", M416&gt;=30, "30-40 Days", M416&gt;=20, "20-30 Days", M416&gt;=10, "10-20 Days", M416&gt;=0, "0-10 Days")</f>
        <v>30-40 Days</v>
      </c>
    </row>
    <row r="417" spans="1:14">
      <c r="A417">
        <v>416</v>
      </c>
      <c r="B417" t="s">
        <v>29</v>
      </c>
      <c r="C417" s="5">
        <v>45120</v>
      </c>
      <c r="D417" s="8">
        <v>45120</v>
      </c>
      <c r="E417" s="8" t="str">
        <f>IF(B417="Inactive", EDATE(D417,K417), "")</f>
        <v/>
      </c>
      <c r="F417" t="s">
        <v>14</v>
      </c>
      <c r="G417">
        <v>21.3</v>
      </c>
      <c r="H417" t="str" cm="1">
        <f t="array" ref="H417">_xlfn.IFS(G417&gt;=20,"20-25", G417&gt;=15,"15-20", G417&gt;=10,"10-15", G417&gt;=5,"5-10", G417&gt;=1,"1-5", G417&lt;1,"Less than 1")</f>
        <v>20-25</v>
      </c>
      <c r="I417">
        <v>4</v>
      </c>
      <c r="J417">
        <v>1</v>
      </c>
      <c r="K417" s="6">
        <v>1</v>
      </c>
      <c r="L417" s="2">
        <v>3.99</v>
      </c>
      <c r="M417" s="6">
        <v>33</v>
      </c>
      <c r="N417" t="str" cm="1">
        <f t="array" ref="N417">_xlfn.IFS(M417&gt;=50,"50-60 Days", M417&gt;=40,"40-50 Days", M417&gt;=30, "30-40 Days", M417&gt;=20, "20-30 Days", M417&gt;=10, "10-20 Days", M417&gt;=0, "0-10 Days")</f>
        <v>30-40 Days</v>
      </c>
    </row>
    <row r="418" spans="1:14">
      <c r="A418">
        <v>417</v>
      </c>
      <c r="B418" t="s">
        <v>29</v>
      </c>
      <c r="C418" s="5">
        <v>45173</v>
      </c>
      <c r="D418" s="8">
        <v>45173</v>
      </c>
      <c r="E418" s="8" t="str">
        <f>IF(B418="Inactive", EDATE(D418,K418), "")</f>
        <v/>
      </c>
      <c r="F418" t="s">
        <v>10</v>
      </c>
      <c r="G418">
        <v>7.7</v>
      </c>
      <c r="H418" t="str" cm="1">
        <f t="array" ref="H418">_xlfn.IFS(G418&gt;=20,"20-25", G418&gt;=15,"15-20", G418&gt;=10,"10-15", G418&gt;=5,"5-10", G418&gt;=1,"1-5", G418&lt;1,"Less than 1")</f>
        <v>5-10</v>
      </c>
      <c r="I418">
        <v>0</v>
      </c>
      <c r="J418">
        <v>1</v>
      </c>
      <c r="K418" s="6">
        <v>9</v>
      </c>
      <c r="L418" s="2">
        <v>6.99</v>
      </c>
      <c r="M418" s="6">
        <v>31</v>
      </c>
      <c r="N418" t="str" cm="1">
        <f t="array" ref="N418">_xlfn.IFS(M418&gt;=50,"50-60 Days", M418&gt;=40,"40-50 Days", M418&gt;=30, "30-40 Days", M418&gt;=20, "20-30 Days", M418&gt;=10, "10-20 Days", M418&gt;=0, "0-10 Days")</f>
        <v>30-40 Days</v>
      </c>
    </row>
    <row r="419" spans="1:14">
      <c r="A419">
        <v>418</v>
      </c>
      <c r="B419" t="s">
        <v>28</v>
      </c>
      <c r="C419" s="5">
        <v>45323</v>
      </c>
      <c r="D419" s="8">
        <v>45323</v>
      </c>
      <c r="E419" s="8">
        <f>IF(B419="Inactive", EDATE(D419,K419), "")</f>
        <v>45383</v>
      </c>
      <c r="F419" t="s">
        <v>14</v>
      </c>
      <c r="G419">
        <v>13.4</v>
      </c>
      <c r="H419" t="str" cm="1">
        <f t="array" ref="H419">_xlfn.IFS(G419&gt;=20,"20-25", G419&gt;=15,"15-20", G419&gt;=10,"10-15", G419&gt;=5,"5-10", G419&gt;=1,"1-5", G419&lt;1,"Less than 1")</f>
        <v>10-15</v>
      </c>
      <c r="I419">
        <v>0</v>
      </c>
      <c r="J419">
        <v>2</v>
      </c>
      <c r="K419" s="6">
        <v>2</v>
      </c>
      <c r="L419" s="2">
        <v>3.99</v>
      </c>
      <c r="M419" s="6">
        <v>59</v>
      </c>
      <c r="N419" t="str" cm="1">
        <f t="array" ref="N419">_xlfn.IFS(M419&gt;=50,"50-60 Days", M419&gt;=40,"40-50 Days", M419&gt;=30, "30-40 Days", M419&gt;=20, "20-30 Days", M419&gt;=10, "10-20 Days", M419&gt;=0, "0-10 Days")</f>
        <v>50-60 Days</v>
      </c>
    </row>
    <row r="420" spans="1:14">
      <c r="A420">
        <v>419</v>
      </c>
      <c r="B420" t="s">
        <v>28</v>
      </c>
      <c r="C420" s="5">
        <v>45528</v>
      </c>
      <c r="D420" s="8">
        <v>45528</v>
      </c>
      <c r="E420" s="8">
        <f>IF(B420="Inactive", EDATE(D420,K420), "")</f>
        <v>45801</v>
      </c>
      <c r="F420" t="s">
        <v>10</v>
      </c>
      <c r="G420">
        <v>9.5</v>
      </c>
      <c r="H420" t="str" cm="1">
        <f t="array" ref="H420">_xlfn.IFS(G420&gt;=20,"20-25", G420&gt;=15,"15-20", G420&gt;=10,"10-15", G420&gt;=5,"5-10", G420&gt;=1,"1-5", G420&lt;1,"Less than 1")</f>
        <v>5-10</v>
      </c>
      <c r="I420">
        <v>2</v>
      </c>
      <c r="J420">
        <v>3</v>
      </c>
      <c r="K420" s="6">
        <v>9</v>
      </c>
      <c r="L420" s="2">
        <v>6.99</v>
      </c>
      <c r="M420" s="6">
        <v>49</v>
      </c>
      <c r="N420" t="str" cm="1">
        <f t="array" ref="N420">_xlfn.IFS(M420&gt;=50,"50-60 Days", M420&gt;=40,"40-50 Days", M420&gt;=30, "30-40 Days", M420&gt;=20, "20-30 Days", M420&gt;=10, "10-20 Days", M420&gt;=0, "0-10 Days")</f>
        <v>40-50 Days</v>
      </c>
    </row>
    <row r="421" spans="1:14">
      <c r="A421">
        <v>420</v>
      </c>
      <c r="B421" t="s">
        <v>29</v>
      </c>
      <c r="C421" s="5">
        <v>45445</v>
      </c>
      <c r="D421" s="8">
        <v>45445</v>
      </c>
      <c r="E421" s="8" t="str">
        <f>IF(B421="Inactive", EDATE(D421,K421), "")</f>
        <v/>
      </c>
      <c r="F421" t="s">
        <v>12</v>
      </c>
      <c r="G421">
        <v>6.9</v>
      </c>
      <c r="H421" t="str" cm="1">
        <f t="array" ref="H421">_xlfn.IFS(G421&gt;=20,"20-25", G421&gt;=15,"15-20", G421&gt;=10,"10-15", G421&gt;=5,"5-10", G421&gt;=1,"1-5", G421&lt;1,"Less than 1")</f>
        <v>5-10</v>
      </c>
      <c r="I421">
        <v>0</v>
      </c>
      <c r="J421">
        <v>0</v>
      </c>
      <c r="K421" s="6">
        <v>1</v>
      </c>
      <c r="L421" s="2">
        <v>1.99</v>
      </c>
      <c r="M421" s="6">
        <v>60</v>
      </c>
      <c r="N421" t="str" cm="1">
        <f t="array" ref="N421">_xlfn.IFS(M421&gt;=50,"50-60 Days", M421&gt;=40,"40-50 Days", M421&gt;=30, "30-40 Days", M421&gt;=20, "20-30 Days", M421&gt;=10, "10-20 Days", M421&gt;=0, "0-10 Days")</f>
        <v>50-60 Days</v>
      </c>
    </row>
    <row r="422" spans="1:14">
      <c r="A422">
        <v>421</v>
      </c>
      <c r="B422" t="s">
        <v>28</v>
      </c>
      <c r="C422" s="5">
        <v>45476</v>
      </c>
      <c r="D422" s="8">
        <v>45476</v>
      </c>
      <c r="E422" s="8">
        <f>IF(B422="Inactive", EDATE(D422,K422), "")</f>
        <v>45811</v>
      </c>
      <c r="F422" t="s">
        <v>14</v>
      </c>
      <c r="G422">
        <v>19.3</v>
      </c>
      <c r="H422" t="str" cm="1">
        <f t="array" ref="H422">_xlfn.IFS(G422&gt;=20,"20-25", G422&gt;=15,"15-20", G422&gt;=10,"10-15", G422&gt;=5,"5-10", G422&gt;=1,"1-5", G422&lt;1,"Less than 1")</f>
        <v>15-20</v>
      </c>
      <c r="I422">
        <v>6</v>
      </c>
      <c r="J422">
        <v>5</v>
      </c>
      <c r="K422" s="6">
        <v>11</v>
      </c>
      <c r="L422" s="2">
        <v>3.99</v>
      </c>
      <c r="M422" s="6">
        <v>25</v>
      </c>
      <c r="N422" t="str" cm="1">
        <f t="array" ref="N422">_xlfn.IFS(M422&gt;=50,"50-60 Days", M422&gt;=40,"40-50 Days", M422&gt;=30, "30-40 Days", M422&gt;=20, "20-30 Days", M422&gt;=10, "10-20 Days", M422&gt;=0, "0-10 Days")</f>
        <v>20-30 Days</v>
      </c>
    </row>
    <row r="423" spans="1:14">
      <c r="A423">
        <v>422</v>
      </c>
      <c r="B423" t="s">
        <v>29</v>
      </c>
      <c r="C423" s="5">
        <v>45086</v>
      </c>
      <c r="D423" s="8">
        <v>45086</v>
      </c>
      <c r="E423" s="8" t="str">
        <f>IF(B423="Inactive", EDATE(D423,K423), "")</f>
        <v/>
      </c>
      <c r="F423" t="s">
        <v>10</v>
      </c>
      <c r="G423">
        <v>7.3</v>
      </c>
      <c r="H423" t="str" cm="1">
        <f t="array" ref="H423">_xlfn.IFS(G423&gt;=20,"20-25", G423&gt;=15,"15-20", G423&gt;=10,"10-15", G423&gt;=5,"5-10", G423&gt;=1,"1-5", G423&lt;1,"Less than 1")</f>
        <v>5-10</v>
      </c>
      <c r="I423">
        <v>4</v>
      </c>
      <c r="J423">
        <v>0</v>
      </c>
      <c r="K423" s="6">
        <v>4</v>
      </c>
      <c r="L423" s="2">
        <v>6.99</v>
      </c>
      <c r="M423" s="6">
        <v>32</v>
      </c>
      <c r="N423" t="str" cm="1">
        <f t="array" ref="N423">_xlfn.IFS(M423&gt;=50,"50-60 Days", M423&gt;=40,"40-50 Days", M423&gt;=30, "30-40 Days", M423&gt;=20, "20-30 Days", M423&gt;=10, "10-20 Days", M423&gt;=0, "0-10 Days")</f>
        <v>30-40 Days</v>
      </c>
    </row>
    <row r="424" spans="1:14">
      <c r="A424">
        <v>423</v>
      </c>
      <c r="B424" t="s">
        <v>28</v>
      </c>
      <c r="C424" s="5">
        <v>45171</v>
      </c>
      <c r="D424" s="8">
        <v>45171</v>
      </c>
      <c r="E424" s="8">
        <f>IF(B424="Inactive", EDATE(D424,K424), "")</f>
        <v>45384</v>
      </c>
      <c r="F424" t="s">
        <v>10</v>
      </c>
      <c r="G424">
        <v>10.1</v>
      </c>
      <c r="H424" t="str" cm="1">
        <f t="array" ref="H424">_xlfn.IFS(G424&gt;=20,"20-25", G424&gt;=15,"15-20", G424&gt;=10,"10-15", G424&gt;=5,"5-10", G424&gt;=1,"1-5", G424&lt;1,"Less than 1")</f>
        <v>10-15</v>
      </c>
      <c r="I424">
        <v>1</v>
      </c>
      <c r="J424">
        <v>2</v>
      </c>
      <c r="K424" s="6">
        <v>7</v>
      </c>
      <c r="L424" s="2">
        <v>6.99</v>
      </c>
      <c r="M424" s="6">
        <v>44</v>
      </c>
      <c r="N424" t="str" cm="1">
        <f t="array" ref="N424">_xlfn.IFS(M424&gt;=50,"50-60 Days", M424&gt;=40,"40-50 Days", M424&gt;=30, "30-40 Days", M424&gt;=20, "20-30 Days", M424&gt;=10, "10-20 Days", M424&gt;=0, "0-10 Days")</f>
        <v>40-50 Days</v>
      </c>
    </row>
    <row r="425" spans="1:14">
      <c r="A425">
        <v>424</v>
      </c>
      <c r="B425" t="s">
        <v>28</v>
      </c>
      <c r="C425" s="5">
        <v>44983</v>
      </c>
      <c r="D425" s="8">
        <v>44983</v>
      </c>
      <c r="E425" s="8">
        <f>IF(B425="Inactive", EDATE(D425,K425), "")</f>
        <v>45164</v>
      </c>
      <c r="F425" t="s">
        <v>12</v>
      </c>
      <c r="G425">
        <v>2.6</v>
      </c>
      <c r="H425" t="str" cm="1">
        <f t="array" ref="H425">_xlfn.IFS(G425&gt;=20,"20-25", G425&gt;=15,"15-20", G425&gt;=10,"10-15", G425&gt;=5,"5-10", G425&gt;=1,"1-5", G425&lt;1,"Less than 1")</f>
        <v>1-5</v>
      </c>
      <c r="I425">
        <v>6</v>
      </c>
      <c r="J425">
        <v>0</v>
      </c>
      <c r="K425" s="6">
        <v>6</v>
      </c>
      <c r="L425" s="2">
        <v>1.99</v>
      </c>
      <c r="M425" s="6">
        <v>29</v>
      </c>
      <c r="N425" t="str" cm="1">
        <f t="array" ref="N425">_xlfn.IFS(M425&gt;=50,"50-60 Days", M425&gt;=40,"40-50 Days", M425&gt;=30, "30-40 Days", M425&gt;=20, "20-30 Days", M425&gt;=10, "10-20 Days", M425&gt;=0, "0-10 Days")</f>
        <v>20-30 Days</v>
      </c>
    </row>
    <row r="426" spans="1:14">
      <c r="A426">
        <v>425</v>
      </c>
      <c r="B426" t="s">
        <v>28</v>
      </c>
      <c r="C426" s="5">
        <v>45282</v>
      </c>
      <c r="D426" s="8">
        <v>45282</v>
      </c>
      <c r="E426" s="8">
        <f>IF(B426="Inactive", EDATE(D426,K426), "")</f>
        <v>45404</v>
      </c>
      <c r="F426" t="s">
        <v>14</v>
      </c>
      <c r="G426">
        <v>3.4</v>
      </c>
      <c r="H426" t="str" cm="1">
        <f t="array" ref="H426">_xlfn.IFS(G426&gt;=20,"20-25", G426&gt;=15,"15-20", G426&gt;=10,"10-15", G426&gt;=5,"5-10", G426&gt;=1,"1-5", G426&lt;1,"Less than 1")</f>
        <v>1-5</v>
      </c>
      <c r="I426">
        <v>2</v>
      </c>
      <c r="J426">
        <v>5</v>
      </c>
      <c r="K426" s="6">
        <v>4</v>
      </c>
      <c r="L426" s="2">
        <v>3.99</v>
      </c>
      <c r="M426" s="6">
        <v>0</v>
      </c>
      <c r="N426" t="str" cm="1">
        <f t="array" ref="N426">_xlfn.IFS(M426&gt;=50,"50-60 Days", M426&gt;=40,"40-50 Days", M426&gt;=30, "30-40 Days", M426&gt;=20, "20-30 Days", M426&gt;=10, "10-20 Days", M426&gt;=0, "0-10 Days")</f>
        <v>0-10 Days</v>
      </c>
    </row>
    <row r="427" spans="1:14">
      <c r="A427">
        <v>426</v>
      </c>
      <c r="B427" t="s">
        <v>28</v>
      </c>
      <c r="C427" s="5">
        <v>45202</v>
      </c>
      <c r="D427" s="8">
        <v>45202</v>
      </c>
      <c r="E427" s="8">
        <f>IF(B427="Inactive", EDATE(D427,K427), "")</f>
        <v>45568</v>
      </c>
      <c r="F427" t="s">
        <v>10</v>
      </c>
      <c r="G427">
        <v>19.7</v>
      </c>
      <c r="H427" t="str" cm="1">
        <f t="array" ref="H427">_xlfn.IFS(G427&gt;=20,"20-25", G427&gt;=15,"15-20", G427&gt;=10,"10-15", G427&gt;=5,"5-10", G427&gt;=1,"1-5", G427&lt;1,"Less than 1")</f>
        <v>15-20</v>
      </c>
      <c r="I427">
        <v>4</v>
      </c>
      <c r="J427">
        <v>1</v>
      </c>
      <c r="K427" s="6">
        <v>12</v>
      </c>
      <c r="L427" s="2">
        <v>6.99</v>
      </c>
      <c r="M427" s="6">
        <v>23</v>
      </c>
      <c r="N427" t="str" cm="1">
        <f t="array" ref="N427">_xlfn.IFS(M427&gt;=50,"50-60 Days", M427&gt;=40,"40-50 Days", M427&gt;=30, "30-40 Days", M427&gt;=20, "20-30 Days", M427&gt;=10, "10-20 Days", M427&gt;=0, "0-10 Days")</f>
        <v>20-30 Days</v>
      </c>
    </row>
    <row r="428" spans="1:14">
      <c r="A428">
        <v>427</v>
      </c>
      <c r="B428" t="s">
        <v>28</v>
      </c>
      <c r="C428" s="5">
        <v>45463</v>
      </c>
      <c r="D428" s="8">
        <v>45463</v>
      </c>
      <c r="E428" s="8">
        <f>IF(B428="Inactive", EDATE(D428,K428), "")</f>
        <v>45555</v>
      </c>
      <c r="F428" t="s">
        <v>10</v>
      </c>
      <c r="G428">
        <v>19.399999999999999</v>
      </c>
      <c r="H428" t="str" cm="1">
        <f t="array" ref="H428">_xlfn.IFS(G428&gt;=20,"20-25", G428&gt;=15,"15-20", G428&gt;=10,"10-15", G428&gt;=5,"5-10", G428&gt;=1,"1-5", G428&lt;1,"Less than 1")</f>
        <v>15-20</v>
      </c>
      <c r="I428">
        <v>0</v>
      </c>
      <c r="J428">
        <v>2</v>
      </c>
      <c r="K428" s="6">
        <v>3</v>
      </c>
      <c r="L428" s="2">
        <v>6.99</v>
      </c>
      <c r="M428" s="6">
        <v>51</v>
      </c>
      <c r="N428" t="str" cm="1">
        <f t="array" ref="N428">_xlfn.IFS(M428&gt;=50,"50-60 Days", M428&gt;=40,"40-50 Days", M428&gt;=30, "30-40 Days", M428&gt;=20, "20-30 Days", M428&gt;=10, "10-20 Days", M428&gt;=0, "0-10 Days")</f>
        <v>50-60 Days</v>
      </c>
    </row>
    <row r="429" spans="1:14">
      <c r="A429">
        <v>428</v>
      </c>
      <c r="B429" t="s">
        <v>28</v>
      </c>
      <c r="C429" s="5">
        <v>44983</v>
      </c>
      <c r="D429" s="8">
        <v>44983</v>
      </c>
      <c r="E429" s="8">
        <f>IF(B429="Inactive", EDATE(D429,K429), "")</f>
        <v>45164</v>
      </c>
      <c r="F429" t="s">
        <v>12</v>
      </c>
      <c r="G429">
        <v>18</v>
      </c>
      <c r="H429" t="str" cm="1">
        <f t="array" ref="H429">_xlfn.IFS(G429&gt;=20,"20-25", G429&gt;=15,"15-20", G429&gt;=10,"10-15", G429&gt;=5,"5-10", G429&gt;=1,"1-5", G429&lt;1,"Less than 1")</f>
        <v>15-20</v>
      </c>
      <c r="I429">
        <v>1</v>
      </c>
      <c r="J429">
        <v>3</v>
      </c>
      <c r="K429" s="6">
        <v>6</v>
      </c>
      <c r="L429" s="2">
        <v>1.99</v>
      </c>
      <c r="M429" s="6">
        <v>29</v>
      </c>
      <c r="N429" t="str" cm="1">
        <f t="array" ref="N429">_xlfn.IFS(M429&gt;=50,"50-60 Days", M429&gt;=40,"40-50 Days", M429&gt;=30, "30-40 Days", M429&gt;=20, "20-30 Days", M429&gt;=10, "10-20 Days", M429&gt;=0, "0-10 Days")</f>
        <v>20-30 Days</v>
      </c>
    </row>
    <row r="430" spans="1:14">
      <c r="A430">
        <v>429</v>
      </c>
      <c r="B430" t="s">
        <v>29</v>
      </c>
      <c r="C430" s="5">
        <v>45045</v>
      </c>
      <c r="D430" s="8">
        <v>45045</v>
      </c>
      <c r="E430" s="8" t="str">
        <f>IF(B430="Inactive", EDATE(D430,K430), "")</f>
        <v/>
      </c>
      <c r="F430" t="s">
        <v>14</v>
      </c>
      <c r="G430">
        <v>9.5</v>
      </c>
      <c r="H430" t="str" cm="1">
        <f t="array" ref="H430">_xlfn.IFS(G430&gt;=20,"20-25", G430&gt;=15,"15-20", G430&gt;=10,"10-15", G430&gt;=5,"5-10", G430&gt;=1,"1-5", G430&lt;1,"Less than 1")</f>
        <v>5-10</v>
      </c>
      <c r="I430">
        <v>4</v>
      </c>
      <c r="J430">
        <v>0</v>
      </c>
      <c r="K430" s="6">
        <v>4</v>
      </c>
      <c r="L430" s="2">
        <v>3.99</v>
      </c>
      <c r="M430" s="6">
        <v>57</v>
      </c>
      <c r="N430" t="str" cm="1">
        <f t="array" ref="N430">_xlfn.IFS(M430&gt;=50,"50-60 Days", M430&gt;=40,"40-50 Days", M430&gt;=30, "30-40 Days", M430&gt;=20, "20-30 Days", M430&gt;=10, "10-20 Days", M430&gt;=0, "0-10 Days")</f>
        <v>50-60 Days</v>
      </c>
    </row>
    <row r="431" spans="1:14">
      <c r="A431">
        <v>430</v>
      </c>
      <c r="B431" t="s">
        <v>29</v>
      </c>
      <c r="C431" s="5">
        <v>45319</v>
      </c>
      <c r="D431" s="8">
        <v>45319</v>
      </c>
      <c r="E431" s="8" t="str">
        <f>IF(B431="Inactive", EDATE(D431,K431), "")</f>
        <v/>
      </c>
      <c r="F431" t="s">
        <v>12</v>
      </c>
      <c r="G431">
        <v>0.6</v>
      </c>
      <c r="H431" t="str" cm="1">
        <f t="array" ref="H431">_xlfn.IFS(G431&gt;=20,"20-25", G431&gt;=15,"15-20", G431&gt;=10,"10-15", G431&gt;=5,"5-10", G431&gt;=1,"1-5", G431&lt;1,"Less than 1")</f>
        <v>Less than 1</v>
      </c>
      <c r="I431">
        <v>0</v>
      </c>
      <c r="J431">
        <v>1</v>
      </c>
      <c r="K431" s="6">
        <v>11</v>
      </c>
      <c r="L431" s="2">
        <v>1.99</v>
      </c>
      <c r="M431" s="6">
        <v>2</v>
      </c>
      <c r="N431" t="str" cm="1">
        <f t="array" ref="N431">_xlfn.IFS(M431&gt;=50,"50-60 Days", M431&gt;=40,"40-50 Days", M431&gt;=30, "30-40 Days", M431&gt;=20, "20-30 Days", M431&gt;=10, "10-20 Days", M431&gt;=0, "0-10 Days")</f>
        <v>0-10 Days</v>
      </c>
    </row>
    <row r="432" spans="1:14">
      <c r="A432">
        <v>431</v>
      </c>
      <c r="B432" t="s">
        <v>29</v>
      </c>
      <c r="C432" s="5">
        <v>45598</v>
      </c>
      <c r="D432" s="8">
        <v>45598</v>
      </c>
      <c r="E432" s="8" t="str">
        <f>IF(B432="Inactive", EDATE(D432,K432), "")</f>
        <v/>
      </c>
      <c r="F432" t="s">
        <v>12</v>
      </c>
      <c r="G432">
        <v>23.3</v>
      </c>
      <c r="H432" t="str" cm="1">
        <f t="array" ref="H432">_xlfn.IFS(G432&gt;=20,"20-25", G432&gt;=15,"15-20", G432&gt;=10,"10-15", G432&gt;=5,"5-10", G432&gt;=1,"1-5", G432&lt;1,"Less than 1")</f>
        <v>20-25</v>
      </c>
      <c r="I432">
        <v>0</v>
      </c>
      <c r="J432">
        <v>4</v>
      </c>
      <c r="K432" s="6">
        <v>4</v>
      </c>
      <c r="L432" s="2">
        <v>1.99</v>
      </c>
      <c r="M432" s="6">
        <v>51</v>
      </c>
      <c r="N432" t="str" cm="1">
        <f t="array" ref="N432">_xlfn.IFS(M432&gt;=50,"50-60 Days", M432&gt;=40,"40-50 Days", M432&gt;=30, "30-40 Days", M432&gt;=20, "20-30 Days", M432&gt;=10, "10-20 Days", M432&gt;=0, "0-10 Days")</f>
        <v>50-60 Days</v>
      </c>
    </row>
    <row r="433" spans="1:14">
      <c r="A433">
        <v>432</v>
      </c>
      <c r="B433" t="s">
        <v>28</v>
      </c>
      <c r="C433" s="5">
        <v>45006</v>
      </c>
      <c r="D433" s="8">
        <v>45006</v>
      </c>
      <c r="E433" s="8">
        <f>IF(B433="Inactive", EDATE(D433,K433), "")</f>
        <v>45159</v>
      </c>
      <c r="F433" t="s">
        <v>14</v>
      </c>
      <c r="G433">
        <v>8.4</v>
      </c>
      <c r="H433" t="str" cm="1">
        <f t="array" ref="H433">_xlfn.IFS(G433&gt;=20,"20-25", G433&gt;=15,"15-20", G433&gt;=10,"10-15", G433&gt;=5,"5-10", G433&gt;=1,"1-5", G433&lt;1,"Less than 1")</f>
        <v>5-10</v>
      </c>
      <c r="I433">
        <v>6</v>
      </c>
      <c r="J433">
        <v>5</v>
      </c>
      <c r="K433" s="6">
        <v>5</v>
      </c>
      <c r="L433" s="2">
        <v>3.99</v>
      </c>
      <c r="M433" s="6">
        <v>20</v>
      </c>
      <c r="N433" t="str" cm="1">
        <f t="array" ref="N433">_xlfn.IFS(M433&gt;=50,"50-60 Days", M433&gt;=40,"40-50 Days", M433&gt;=30, "30-40 Days", M433&gt;=20, "20-30 Days", M433&gt;=10, "10-20 Days", M433&gt;=0, "0-10 Days")</f>
        <v>20-30 Days</v>
      </c>
    </row>
    <row r="434" spans="1:14">
      <c r="A434">
        <v>433</v>
      </c>
      <c r="B434" t="s">
        <v>29</v>
      </c>
      <c r="C434" s="5">
        <v>44974</v>
      </c>
      <c r="D434" s="8">
        <v>44974</v>
      </c>
      <c r="E434" s="8" t="str">
        <f>IF(B434="Inactive", EDATE(D434,K434), "")</f>
        <v/>
      </c>
      <c r="F434" t="s">
        <v>10</v>
      </c>
      <c r="G434">
        <v>3.4</v>
      </c>
      <c r="H434" t="str" cm="1">
        <f t="array" ref="H434">_xlfn.IFS(G434&gt;=20,"20-25", G434&gt;=15,"15-20", G434&gt;=10,"10-15", G434&gt;=5,"5-10", G434&gt;=1,"1-5", G434&lt;1,"Less than 1")</f>
        <v>1-5</v>
      </c>
      <c r="I434">
        <v>0</v>
      </c>
      <c r="J434">
        <v>1</v>
      </c>
      <c r="K434" s="6">
        <v>8</v>
      </c>
      <c r="L434" s="2">
        <v>6.99</v>
      </c>
      <c r="M434" s="6">
        <v>14</v>
      </c>
      <c r="N434" t="str" cm="1">
        <f t="array" ref="N434">_xlfn.IFS(M434&gt;=50,"50-60 Days", M434&gt;=40,"40-50 Days", M434&gt;=30, "30-40 Days", M434&gt;=20, "20-30 Days", M434&gt;=10, "10-20 Days", M434&gt;=0, "0-10 Days")</f>
        <v>10-20 Days</v>
      </c>
    </row>
    <row r="435" spans="1:14">
      <c r="A435">
        <v>434</v>
      </c>
      <c r="B435" t="s">
        <v>28</v>
      </c>
      <c r="C435" s="5">
        <v>45394</v>
      </c>
      <c r="D435" s="8">
        <v>45394</v>
      </c>
      <c r="E435" s="8">
        <f>IF(B435="Inactive", EDATE(D435,K435), "")</f>
        <v>45455</v>
      </c>
      <c r="F435" t="s">
        <v>14</v>
      </c>
      <c r="G435">
        <v>22</v>
      </c>
      <c r="H435" t="str" cm="1">
        <f t="array" ref="H435">_xlfn.IFS(G435&gt;=20,"20-25", G435&gt;=15,"15-20", G435&gt;=10,"10-15", G435&gt;=5,"5-10", G435&gt;=1,"1-5", G435&lt;1,"Less than 1")</f>
        <v>20-25</v>
      </c>
      <c r="I435">
        <v>4</v>
      </c>
      <c r="J435">
        <v>2</v>
      </c>
      <c r="K435" s="6">
        <v>2</v>
      </c>
      <c r="L435" s="2">
        <v>3.99</v>
      </c>
      <c r="M435" s="6">
        <v>20</v>
      </c>
      <c r="N435" t="str" cm="1">
        <f t="array" ref="N435">_xlfn.IFS(M435&gt;=50,"50-60 Days", M435&gt;=40,"40-50 Days", M435&gt;=30, "30-40 Days", M435&gt;=20, "20-30 Days", M435&gt;=10, "10-20 Days", M435&gt;=0, "0-10 Days")</f>
        <v>20-30 Days</v>
      </c>
    </row>
    <row r="436" spans="1:14">
      <c r="A436">
        <v>435</v>
      </c>
      <c r="B436" t="s">
        <v>28</v>
      </c>
      <c r="C436" s="5">
        <v>45304</v>
      </c>
      <c r="D436" s="8">
        <v>45304</v>
      </c>
      <c r="E436" s="8">
        <f>IF(B436="Inactive", EDATE(D436,K436), "")</f>
        <v>45548</v>
      </c>
      <c r="F436" t="s">
        <v>12</v>
      </c>
      <c r="G436">
        <v>5.4</v>
      </c>
      <c r="H436" t="str" cm="1">
        <f t="array" ref="H436">_xlfn.IFS(G436&gt;=20,"20-25", G436&gt;=15,"15-20", G436&gt;=10,"10-15", G436&gt;=5,"5-10", G436&gt;=1,"1-5", G436&lt;1,"Less than 1")</f>
        <v>5-10</v>
      </c>
      <c r="I436">
        <v>4</v>
      </c>
      <c r="J436">
        <v>5</v>
      </c>
      <c r="K436" s="6">
        <v>8</v>
      </c>
      <c r="L436" s="2">
        <v>1.99</v>
      </c>
      <c r="M436" s="6">
        <v>39</v>
      </c>
      <c r="N436" t="str" cm="1">
        <f t="array" ref="N436">_xlfn.IFS(M436&gt;=50,"50-60 Days", M436&gt;=40,"40-50 Days", M436&gt;=30, "30-40 Days", M436&gt;=20, "20-30 Days", M436&gt;=10, "10-20 Days", M436&gt;=0, "0-10 Days")</f>
        <v>30-40 Days</v>
      </c>
    </row>
    <row r="437" spans="1:14">
      <c r="A437">
        <v>436</v>
      </c>
      <c r="B437" t="s">
        <v>28</v>
      </c>
      <c r="C437" s="5">
        <v>45178</v>
      </c>
      <c r="D437" s="8">
        <v>45178</v>
      </c>
      <c r="E437" s="8">
        <f>IF(B437="Inactive", EDATE(D437,K437), "")</f>
        <v>45513</v>
      </c>
      <c r="F437" t="s">
        <v>10</v>
      </c>
      <c r="G437">
        <v>24.9</v>
      </c>
      <c r="H437" t="str" cm="1">
        <f t="array" ref="H437">_xlfn.IFS(G437&gt;=20,"20-25", G437&gt;=15,"15-20", G437&gt;=10,"10-15", G437&gt;=5,"5-10", G437&gt;=1,"1-5", G437&lt;1,"Less than 1")</f>
        <v>20-25</v>
      </c>
      <c r="I437">
        <v>3</v>
      </c>
      <c r="J437">
        <v>5</v>
      </c>
      <c r="K437" s="6">
        <v>11</v>
      </c>
      <c r="L437" s="2">
        <v>6.99</v>
      </c>
      <c r="M437" s="6">
        <v>57</v>
      </c>
      <c r="N437" t="str" cm="1">
        <f t="array" ref="N437">_xlfn.IFS(M437&gt;=50,"50-60 Days", M437&gt;=40,"40-50 Days", M437&gt;=30, "30-40 Days", M437&gt;=20, "20-30 Days", M437&gt;=10, "10-20 Days", M437&gt;=0, "0-10 Days")</f>
        <v>50-60 Days</v>
      </c>
    </row>
    <row r="438" spans="1:14">
      <c r="A438">
        <v>437</v>
      </c>
      <c r="B438" t="s">
        <v>28</v>
      </c>
      <c r="C438" s="5">
        <v>45637</v>
      </c>
      <c r="D438" s="8">
        <v>45637</v>
      </c>
      <c r="E438" s="8">
        <f>IF(B438="Inactive", EDATE(D438,K438), "")</f>
        <v>45668</v>
      </c>
      <c r="F438" t="s">
        <v>12</v>
      </c>
      <c r="G438">
        <v>23.3</v>
      </c>
      <c r="H438" t="str" cm="1">
        <f t="array" ref="H438">_xlfn.IFS(G438&gt;=20,"20-25", G438&gt;=15,"15-20", G438&gt;=10,"10-15", G438&gt;=5,"5-10", G438&gt;=1,"1-5", G438&lt;1,"Less than 1")</f>
        <v>20-25</v>
      </c>
      <c r="I438">
        <v>0</v>
      </c>
      <c r="J438">
        <v>1</v>
      </c>
      <c r="K438" s="6">
        <v>1</v>
      </c>
      <c r="L438" s="2">
        <v>1.99</v>
      </c>
      <c r="M438" s="6">
        <v>34</v>
      </c>
      <c r="N438" t="str" cm="1">
        <f t="array" ref="N438">_xlfn.IFS(M438&gt;=50,"50-60 Days", M438&gt;=40,"40-50 Days", M438&gt;=30, "30-40 Days", M438&gt;=20, "20-30 Days", M438&gt;=10, "10-20 Days", M438&gt;=0, "0-10 Days")</f>
        <v>30-40 Days</v>
      </c>
    </row>
    <row r="439" spans="1:14">
      <c r="A439">
        <v>438</v>
      </c>
      <c r="B439" t="s">
        <v>28</v>
      </c>
      <c r="C439" s="5">
        <v>45137</v>
      </c>
      <c r="D439" s="8">
        <v>45137</v>
      </c>
      <c r="E439" s="8">
        <f>IF(B439="Inactive", EDATE(D439,K439), "")</f>
        <v>45381</v>
      </c>
      <c r="F439" t="s">
        <v>12</v>
      </c>
      <c r="G439">
        <v>0.5</v>
      </c>
      <c r="H439" t="str" cm="1">
        <f t="array" ref="H439">_xlfn.IFS(G439&gt;=20,"20-25", G439&gt;=15,"15-20", G439&gt;=10,"10-15", G439&gt;=5,"5-10", G439&gt;=1,"1-5", G439&lt;1,"Less than 1")</f>
        <v>Less than 1</v>
      </c>
      <c r="I439">
        <v>6</v>
      </c>
      <c r="J439">
        <v>5</v>
      </c>
      <c r="K439" s="6">
        <v>8</v>
      </c>
      <c r="L439" s="2">
        <v>1.99</v>
      </c>
      <c r="M439" s="6">
        <v>46</v>
      </c>
      <c r="N439" t="str" cm="1">
        <f t="array" ref="N439">_xlfn.IFS(M439&gt;=50,"50-60 Days", M439&gt;=40,"40-50 Days", M439&gt;=30, "30-40 Days", M439&gt;=20, "20-30 Days", M439&gt;=10, "10-20 Days", M439&gt;=0, "0-10 Days")</f>
        <v>40-50 Days</v>
      </c>
    </row>
    <row r="440" spans="1:14">
      <c r="A440">
        <v>439</v>
      </c>
      <c r="B440" t="s">
        <v>28</v>
      </c>
      <c r="C440" s="5">
        <v>44971</v>
      </c>
      <c r="D440" s="8">
        <v>44971</v>
      </c>
      <c r="E440" s="8">
        <f>IF(B440="Inactive", EDATE(D440,K440), "")</f>
        <v>45152</v>
      </c>
      <c r="F440" t="s">
        <v>10</v>
      </c>
      <c r="G440">
        <v>10.8</v>
      </c>
      <c r="H440" t="str" cm="1">
        <f t="array" ref="H440">_xlfn.IFS(G440&gt;=20,"20-25", G440&gt;=15,"15-20", G440&gt;=10,"10-15", G440&gt;=5,"5-10", G440&gt;=1,"1-5", G440&lt;1,"Less than 1")</f>
        <v>10-15</v>
      </c>
      <c r="I440">
        <v>0</v>
      </c>
      <c r="J440">
        <v>1</v>
      </c>
      <c r="K440" s="6">
        <v>6</v>
      </c>
      <c r="L440" s="2">
        <v>6.99</v>
      </c>
      <c r="M440" s="6">
        <v>45</v>
      </c>
      <c r="N440" t="str" cm="1">
        <f t="array" ref="N440">_xlfn.IFS(M440&gt;=50,"50-60 Days", M440&gt;=40,"40-50 Days", M440&gt;=30, "30-40 Days", M440&gt;=20, "20-30 Days", M440&gt;=10, "10-20 Days", M440&gt;=0, "0-10 Days")</f>
        <v>40-50 Days</v>
      </c>
    </row>
    <row r="441" spans="1:14">
      <c r="A441">
        <v>440</v>
      </c>
      <c r="B441" t="s">
        <v>28</v>
      </c>
      <c r="C441" s="5">
        <v>45024</v>
      </c>
      <c r="D441" s="8">
        <v>45024</v>
      </c>
      <c r="E441" s="8">
        <f>IF(B441="Inactive", EDATE(D441,K441), "")</f>
        <v>45390</v>
      </c>
      <c r="F441" t="s">
        <v>12</v>
      </c>
      <c r="G441">
        <v>10.6</v>
      </c>
      <c r="H441" t="str" cm="1">
        <f t="array" ref="H441">_xlfn.IFS(G441&gt;=20,"20-25", G441&gt;=15,"15-20", G441&gt;=10,"10-15", G441&gt;=5,"5-10", G441&gt;=1,"1-5", G441&lt;1,"Less than 1")</f>
        <v>10-15</v>
      </c>
      <c r="I441">
        <v>5</v>
      </c>
      <c r="J441">
        <v>3</v>
      </c>
      <c r="K441" s="6">
        <v>12</v>
      </c>
      <c r="L441" s="2">
        <v>1.99</v>
      </c>
      <c r="M441" s="6">
        <v>47</v>
      </c>
      <c r="N441" t="str" cm="1">
        <f t="array" ref="N441">_xlfn.IFS(M441&gt;=50,"50-60 Days", M441&gt;=40,"40-50 Days", M441&gt;=30, "30-40 Days", M441&gt;=20, "20-30 Days", M441&gt;=10, "10-20 Days", M441&gt;=0, "0-10 Days")</f>
        <v>40-50 Days</v>
      </c>
    </row>
    <row r="442" spans="1:14">
      <c r="A442">
        <v>441</v>
      </c>
      <c r="B442" t="s">
        <v>29</v>
      </c>
      <c r="C442" s="5">
        <v>45372</v>
      </c>
      <c r="D442" s="8">
        <v>45372</v>
      </c>
      <c r="E442" s="8" t="str">
        <f>IF(B442="Inactive", EDATE(D442,K442), "")</f>
        <v/>
      </c>
      <c r="F442" t="s">
        <v>10</v>
      </c>
      <c r="G442">
        <v>16.100000000000001</v>
      </c>
      <c r="H442" t="str" cm="1">
        <f t="array" ref="H442">_xlfn.IFS(G442&gt;=20,"20-25", G442&gt;=15,"15-20", G442&gt;=10,"10-15", G442&gt;=5,"5-10", G442&gt;=1,"1-5", G442&lt;1,"Less than 1")</f>
        <v>15-20</v>
      </c>
      <c r="I442">
        <v>6</v>
      </c>
      <c r="J442">
        <v>0</v>
      </c>
      <c r="K442" s="6">
        <v>3</v>
      </c>
      <c r="L442" s="2">
        <v>6.99</v>
      </c>
      <c r="M442" s="6">
        <v>37</v>
      </c>
      <c r="N442" t="str" cm="1">
        <f t="array" ref="N442">_xlfn.IFS(M442&gt;=50,"50-60 Days", M442&gt;=40,"40-50 Days", M442&gt;=30, "30-40 Days", M442&gt;=20, "20-30 Days", M442&gt;=10, "10-20 Days", M442&gt;=0, "0-10 Days")</f>
        <v>30-40 Days</v>
      </c>
    </row>
    <row r="443" spans="1:14">
      <c r="A443">
        <v>442</v>
      </c>
      <c r="B443" t="s">
        <v>29</v>
      </c>
      <c r="C443" s="5">
        <v>45644</v>
      </c>
      <c r="D443" s="8">
        <v>45644</v>
      </c>
      <c r="E443" s="8" t="str">
        <f>IF(B443="Inactive", EDATE(D443,K443), "")</f>
        <v/>
      </c>
      <c r="F443" t="s">
        <v>10</v>
      </c>
      <c r="G443">
        <v>6.3</v>
      </c>
      <c r="H443" t="str" cm="1">
        <f t="array" ref="H443">_xlfn.IFS(G443&gt;=20,"20-25", G443&gt;=15,"15-20", G443&gt;=10,"10-15", G443&gt;=5,"5-10", G443&gt;=1,"1-5", G443&lt;1,"Less than 1")</f>
        <v>5-10</v>
      </c>
      <c r="I443">
        <v>4</v>
      </c>
      <c r="J443">
        <v>2</v>
      </c>
      <c r="K443" s="6">
        <v>3</v>
      </c>
      <c r="L443" s="2">
        <v>6.99</v>
      </c>
      <c r="M443" s="6">
        <v>59</v>
      </c>
      <c r="N443" t="str" cm="1">
        <f t="array" ref="N443">_xlfn.IFS(M443&gt;=50,"50-60 Days", M443&gt;=40,"40-50 Days", M443&gt;=30, "30-40 Days", M443&gt;=20, "20-30 Days", M443&gt;=10, "10-20 Days", M443&gt;=0, "0-10 Days")</f>
        <v>50-60 Days</v>
      </c>
    </row>
    <row r="444" spans="1:14">
      <c r="A444">
        <v>443</v>
      </c>
      <c r="B444" t="s">
        <v>29</v>
      </c>
      <c r="C444" s="5">
        <v>45066</v>
      </c>
      <c r="D444" s="8">
        <v>45066</v>
      </c>
      <c r="E444" s="8" t="str">
        <f>IF(B444="Inactive", EDATE(D444,K444), "")</f>
        <v/>
      </c>
      <c r="F444" t="s">
        <v>10</v>
      </c>
      <c r="G444">
        <v>8.3000000000000007</v>
      </c>
      <c r="H444" t="str" cm="1">
        <f t="array" ref="H444">_xlfn.IFS(G444&gt;=20,"20-25", G444&gt;=15,"15-20", G444&gt;=10,"10-15", G444&gt;=5,"5-10", G444&gt;=1,"1-5", G444&lt;1,"Less than 1")</f>
        <v>5-10</v>
      </c>
      <c r="I444">
        <v>4</v>
      </c>
      <c r="J444">
        <v>1</v>
      </c>
      <c r="K444" s="6">
        <v>7</v>
      </c>
      <c r="L444" s="2">
        <v>6.99</v>
      </c>
      <c r="M444" s="6">
        <v>4</v>
      </c>
      <c r="N444" t="str" cm="1">
        <f t="array" ref="N444">_xlfn.IFS(M444&gt;=50,"50-60 Days", M444&gt;=40,"40-50 Days", M444&gt;=30, "30-40 Days", M444&gt;=20, "20-30 Days", M444&gt;=10, "10-20 Days", M444&gt;=0, "0-10 Days")</f>
        <v>0-10 Days</v>
      </c>
    </row>
    <row r="445" spans="1:14">
      <c r="A445">
        <v>444</v>
      </c>
      <c r="B445" t="s">
        <v>28</v>
      </c>
      <c r="C445" s="5">
        <v>45050</v>
      </c>
      <c r="D445" s="8">
        <v>45050</v>
      </c>
      <c r="E445" s="8">
        <f>IF(B445="Inactive", EDATE(D445,K445), "")</f>
        <v>45142</v>
      </c>
      <c r="F445" t="s">
        <v>10</v>
      </c>
      <c r="G445">
        <v>4.3</v>
      </c>
      <c r="H445" t="str" cm="1">
        <f t="array" ref="H445">_xlfn.IFS(G445&gt;=20,"20-25", G445&gt;=15,"15-20", G445&gt;=10,"10-15", G445&gt;=5,"5-10", G445&gt;=1,"1-5", G445&lt;1,"Less than 1")</f>
        <v>1-5</v>
      </c>
      <c r="I445">
        <v>2</v>
      </c>
      <c r="J445">
        <v>3</v>
      </c>
      <c r="K445" s="6">
        <v>3</v>
      </c>
      <c r="L445" s="2">
        <v>6.99</v>
      </c>
      <c r="M445" s="6">
        <v>29</v>
      </c>
      <c r="N445" t="str" cm="1">
        <f t="array" ref="N445">_xlfn.IFS(M445&gt;=50,"50-60 Days", M445&gt;=40,"40-50 Days", M445&gt;=30, "30-40 Days", M445&gt;=20, "20-30 Days", M445&gt;=10, "10-20 Days", M445&gt;=0, "0-10 Days")</f>
        <v>20-30 Days</v>
      </c>
    </row>
    <row r="446" spans="1:14">
      <c r="A446">
        <v>445</v>
      </c>
      <c r="B446" t="s">
        <v>29</v>
      </c>
      <c r="C446" s="5">
        <v>45049</v>
      </c>
      <c r="D446" s="8">
        <v>45049</v>
      </c>
      <c r="E446" s="8" t="str">
        <f>IF(B446="Inactive", EDATE(D446,K446), "")</f>
        <v/>
      </c>
      <c r="F446" t="s">
        <v>10</v>
      </c>
      <c r="G446">
        <v>24.1</v>
      </c>
      <c r="H446" t="str" cm="1">
        <f t="array" ref="H446">_xlfn.IFS(G446&gt;=20,"20-25", G446&gt;=15,"15-20", G446&gt;=10,"10-15", G446&gt;=5,"5-10", G446&gt;=1,"1-5", G446&lt;1,"Less than 1")</f>
        <v>20-25</v>
      </c>
      <c r="I446">
        <v>3</v>
      </c>
      <c r="J446">
        <v>3</v>
      </c>
      <c r="K446" s="6">
        <v>8</v>
      </c>
      <c r="L446" s="2">
        <v>6.99</v>
      </c>
      <c r="M446" s="6">
        <v>19</v>
      </c>
      <c r="N446" t="str" cm="1">
        <f t="array" ref="N446">_xlfn.IFS(M446&gt;=50,"50-60 Days", M446&gt;=40,"40-50 Days", M446&gt;=30, "30-40 Days", M446&gt;=20, "20-30 Days", M446&gt;=10, "10-20 Days", M446&gt;=0, "0-10 Days")</f>
        <v>10-20 Days</v>
      </c>
    </row>
    <row r="447" spans="1:14">
      <c r="A447">
        <v>446</v>
      </c>
      <c r="B447" t="s">
        <v>28</v>
      </c>
      <c r="C447" s="5">
        <v>45147</v>
      </c>
      <c r="D447" s="8">
        <v>45147</v>
      </c>
      <c r="E447" s="8">
        <f>IF(B447="Inactive", EDATE(D447,K447), "")</f>
        <v>45269</v>
      </c>
      <c r="F447" t="s">
        <v>12</v>
      </c>
      <c r="G447">
        <v>20.3</v>
      </c>
      <c r="H447" t="str" cm="1">
        <f t="array" ref="H447">_xlfn.IFS(G447&gt;=20,"20-25", G447&gt;=15,"15-20", G447&gt;=10,"10-15", G447&gt;=5,"5-10", G447&gt;=1,"1-5", G447&lt;1,"Less than 1")</f>
        <v>20-25</v>
      </c>
      <c r="I447">
        <v>4</v>
      </c>
      <c r="J447">
        <v>5</v>
      </c>
      <c r="K447" s="6">
        <v>4</v>
      </c>
      <c r="L447" s="2">
        <v>1.99</v>
      </c>
      <c r="M447" s="6">
        <v>44</v>
      </c>
      <c r="N447" t="str" cm="1">
        <f t="array" ref="N447">_xlfn.IFS(M447&gt;=50,"50-60 Days", M447&gt;=40,"40-50 Days", M447&gt;=30, "30-40 Days", M447&gt;=20, "20-30 Days", M447&gt;=10, "10-20 Days", M447&gt;=0, "0-10 Days")</f>
        <v>40-50 Days</v>
      </c>
    </row>
    <row r="448" spans="1:14">
      <c r="A448">
        <v>447</v>
      </c>
      <c r="B448" t="s">
        <v>28</v>
      </c>
      <c r="C448" s="5">
        <v>45620</v>
      </c>
      <c r="D448" s="8">
        <v>45620</v>
      </c>
      <c r="E448" s="8">
        <f>IF(B448="Inactive", EDATE(D448,K448), "")</f>
        <v>45740</v>
      </c>
      <c r="F448" t="s">
        <v>14</v>
      </c>
      <c r="G448">
        <v>2.7</v>
      </c>
      <c r="H448" t="str" cm="1">
        <f t="array" ref="H448">_xlfn.IFS(G448&gt;=20,"20-25", G448&gt;=15,"15-20", G448&gt;=10,"10-15", G448&gt;=5,"5-10", G448&gt;=1,"1-5", G448&lt;1,"Less than 1")</f>
        <v>1-5</v>
      </c>
      <c r="I448">
        <v>3</v>
      </c>
      <c r="J448">
        <v>2</v>
      </c>
      <c r="K448" s="6">
        <v>4</v>
      </c>
      <c r="L448" s="2">
        <v>3.99</v>
      </c>
      <c r="M448" s="6">
        <v>25</v>
      </c>
      <c r="N448" t="str" cm="1">
        <f t="array" ref="N448">_xlfn.IFS(M448&gt;=50,"50-60 Days", M448&gt;=40,"40-50 Days", M448&gt;=30, "30-40 Days", M448&gt;=20, "20-30 Days", M448&gt;=10, "10-20 Days", M448&gt;=0, "0-10 Days")</f>
        <v>20-30 Days</v>
      </c>
    </row>
    <row r="449" spans="1:14">
      <c r="A449">
        <v>448</v>
      </c>
      <c r="B449" t="s">
        <v>29</v>
      </c>
      <c r="C449" s="5">
        <v>45390</v>
      </c>
      <c r="D449" s="8">
        <v>45390</v>
      </c>
      <c r="E449" s="8" t="str">
        <f>IF(B449="Inactive", EDATE(D449,K449), "")</f>
        <v/>
      </c>
      <c r="F449" t="s">
        <v>14</v>
      </c>
      <c r="G449">
        <v>20.6</v>
      </c>
      <c r="H449" t="str" cm="1">
        <f t="array" ref="H449">_xlfn.IFS(G449&gt;=20,"20-25", G449&gt;=15,"15-20", G449&gt;=10,"10-15", G449&gt;=5,"5-10", G449&gt;=1,"1-5", G449&lt;1,"Less than 1")</f>
        <v>20-25</v>
      </c>
      <c r="I449">
        <v>2</v>
      </c>
      <c r="J449">
        <v>0</v>
      </c>
      <c r="K449" s="6">
        <v>6</v>
      </c>
      <c r="L449" s="2">
        <v>3.99</v>
      </c>
      <c r="M449" s="6">
        <v>60</v>
      </c>
      <c r="N449" t="str" cm="1">
        <f t="array" ref="N449">_xlfn.IFS(M449&gt;=50,"50-60 Days", M449&gt;=40,"40-50 Days", M449&gt;=30, "30-40 Days", M449&gt;=20, "20-30 Days", M449&gt;=10, "10-20 Days", M449&gt;=0, "0-10 Days")</f>
        <v>50-60 Days</v>
      </c>
    </row>
    <row r="450" spans="1:14">
      <c r="A450">
        <v>449</v>
      </c>
      <c r="B450" t="s">
        <v>29</v>
      </c>
      <c r="C450" s="5">
        <v>45051</v>
      </c>
      <c r="D450" s="8">
        <v>45051</v>
      </c>
      <c r="E450" s="8" t="str">
        <f>IF(B450="Inactive", EDATE(D450,K450), "")</f>
        <v/>
      </c>
      <c r="F450" t="s">
        <v>10</v>
      </c>
      <c r="G450">
        <v>6.6</v>
      </c>
      <c r="H450" t="str" cm="1">
        <f t="array" ref="H450">_xlfn.IFS(G450&gt;=20,"20-25", G450&gt;=15,"15-20", G450&gt;=10,"10-15", G450&gt;=5,"5-10", G450&gt;=1,"1-5", G450&lt;1,"Less than 1")</f>
        <v>5-10</v>
      </c>
      <c r="I450">
        <v>7</v>
      </c>
      <c r="J450">
        <v>0</v>
      </c>
      <c r="K450" s="6">
        <v>12</v>
      </c>
      <c r="L450" s="2">
        <v>6.99</v>
      </c>
      <c r="M450" s="6">
        <v>51</v>
      </c>
      <c r="N450" t="str" cm="1">
        <f t="array" ref="N450">_xlfn.IFS(M450&gt;=50,"50-60 Days", M450&gt;=40,"40-50 Days", M450&gt;=30, "30-40 Days", M450&gt;=20, "20-30 Days", M450&gt;=10, "10-20 Days", M450&gt;=0, "0-10 Days")</f>
        <v>50-60 Days</v>
      </c>
    </row>
    <row r="451" spans="1:14">
      <c r="A451">
        <v>450</v>
      </c>
      <c r="B451" t="s">
        <v>29</v>
      </c>
      <c r="C451" s="5">
        <v>45308</v>
      </c>
      <c r="D451" s="8">
        <v>45308</v>
      </c>
      <c r="E451" s="8" t="str">
        <f>IF(B451="Inactive", EDATE(D451,K451), "")</f>
        <v/>
      </c>
      <c r="F451" t="s">
        <v>12</v>
      </c>
      <c r="G451">
        <v>20.8</v>
      </c>
      <c r="H451" t="str" cm="1">
        <f t="array" ref="H451">_xlfn.IFS(G451&gt;=20,"20-25", G451&gt;=15,"15-20", G451&gt;=10,"10-15", G451&gt;=5,"5-10", G451&gt;=1,"1-5", G451&lt;1,"Less than 1")</f>
        <v>20-25</v>
      </c>
      <c r="I451">
        <v>3</v>
      </c>
      <c r="J451">
        <v>1</v>
      </c>
      <c r="K451" s="6">
        <v>2</v>
      </c>
      <c r="L451" s="2">
        <v>1.99</v>
      </c>
      <c r="M451" s="6">
        <v>12</v>
      </c>
      <c r="N451" t="str" cm="1">
        <f t="array" ref="N451">_xlfn.IFS(M451&gt;=50,"50-60 Days", M451&gt;=40,"40-50 Days", M451&gt;=30, "30-40 Days", M451&gt;=20, "20-30 Days", M451&gt;=10, "10-20 Days", M451&gt;=0, "0-10 Days")</f>
        <v>10-20 Days</v>
      </c>
    </row>
    <row r="452" spans="1:14">
      <c r="A452">
        <v>451</v>
      </c>
      <c r="B452" t="s">
        <v>29</v>
      </c>
      <c r="C452" s="5">
        <v>45129</v>
      </c>
      <c r="D452" s="8">
        <v>45129</v>
      </c>
      <c r="E452" s="8" t="str">
        <f>IF(B452="Inactive", EDATE(D452,K452), "")</f>
        <v/>
      </c>
      <c r="F452" t="s">
        <v>10</v>
      </c>
      <c r="G452">
        <v>14.8</v>
      </c>
      <c r="H452" t="str" cm="1">
        <f t="array" ref="H452">_xlfn.IFS(G452&gt;=20,"20-25", G452&gt;=15,"15-20", G452&gt;=10,"10-15", G452&gt;=5,"5-10", G452&gt;=1,"1-5", G452&lt;1,"Less than 1")</f>
        <v>10-15</v>
      </c>
      <c r="I452">
        <v>4</v>
      </c>
      <c r="J452">
        <v>0</v>
      </c>
      <c r="K452" s="6">
        <v>2</v>
      </c>
      <c r="L452" s="2">
        <v>6.99</v>
      </c>
      <c r="M452" s="6">
        <v>1</v>
      </c>
      <c r="N452" t="str" cm="1">
        <f t="array" ref="N452">_xlfn.IFS(M452&gt;=50,"50-60 Days", M452&gt;=40,"40-50 Days", M452&gt;=30, "30-40 Days", M452&gt;=20, "20-30 Days", M452&gt;=10, "10-20 Days", M452&gt;=0, "0-10 Days")</f>
        <v>0-10 Days</v>
      </c>
    </row>
    <row r="453" spans="1:14">
      <c r="A453">
        <v>452</v>
      </c>
      <c r="B453" t="s">
        <v>28</v>
      </c>
      <c r="C453" s="5">
        <v>45399</v>
      </c>
      <c r="D453" s="8">
        <v>45399</v>
      </c>
      <c r="E453" s="8">
        <f>IF(B453="Inactive", EDATE(D453,K453), "")</f>
        <v>45705</v>
      </c>
      <c r="F453" t="s">
        <v>10</v>
      </c>
      <c r="G453">
        <v>20.3</v>
      </c>
      <c r="H453" t="str" cm="1">
        <f t="array" ref="H453">_xlfn.IFS(G453&gt;=20,"20-25", G453&gt;=15,"15-20", G453&gt;=10,"10-15", G453&gt;=5,"5-10", G453&gt;=1,"1-5", G453&lt;1,"Less than 1")</f>
        <v>20-25</v>
      </c>
      <c r="I453">
        <v>1</v>
      </c>
      <c r="J453">
        <v>2</v>
      </c>
      <c r="K453" s="6">
        <v>10</v>
      </c>
      <c r="L453" s="2">
        <v>6.99</v>
      </c>
      <c r="M453" s="6">
        <v>7</v>
      </c>
      <c r="N453" t="str" cm="1">
        <f t="array" ref="N453">_xlfn.IFS(M453&gt;=50,"50-60 Days", M453&gt;=40,"40-50 Days", M453&gt;=30, "30-40 Days", M453&gt;=20, "20-30 Days", M453&gt;=10, "10-20 Days", M453&gt;=0, "0-10 Days")</f>
        <v>0-10 Days</v>
      </c>
    </row>
    <row r="454" spans="1:14">
      <c r="A454">
        <v>453</v>
      </c>
      <c r="B454" t="s">
        <v>28</v>
      </c>
      <c r="C454" s="5">
        <v>45318</v>
      </c>
      <c r="D454" s="8">
        <v>45318</v>
      </c>
      <c r="E454" s="8">
        <f>IF(B454="Inactive", EDATE(D454,K454), "")</f>
        <v>45439</v>
      </c>
      <c r="F454" t="s">
        <v>12</v>
      </c>
      <c r="G454">
        <v>23.1</v>
      </c>
      <c r="H454" t="str" cm="1">
        <f t="array" ref="H454">_xlfn.IFS(G454&gt;=20,"20-25", G454&gt;=15,"15-20", G454&gt;=10,"10-15", G454&gt;=5,"5-10", G454&gt;=1,"1-5", G454&lt;1,"Less than 1")</f>
        <v>20-25</v>
      </c>
      <c r="I454">
        <v>6</v>
      </c>
      <c r="J454">
        <v>5</v>
      </c>
      <c r="K454" s="6">
        <v>4</v>
      </c>
      <c r="L454" s="2">
        <v>1.99</v>
      </c>
      <c r="M454" s="6">
        <v>25</v>
      </c>
      <c r="N454" t="str" cm="1">
        <f t="array" ref="N454">_xlfn.IFS(M454&gt;=50,"50-60 Days", M454&gt;=40,"40-50 Days", M454&gt;=30, "30-40 Days", M454&gt;=20, "20-30 Days", M454&gt;=10, "10-20 Days", M454&gt;=0, "0-10 Days")</f>
        <v>20-30 Days</v>
      </c>
    </row>
    <row r="455" spans="1:14">
      <c r="A455">
        <v>454</v>
      </c>
      <c r="B455" t="s">
        <v>28</v>
      </c>
      <c r="C455" s="5">
        <v>45079</v>
      </c>
      <c r="D455" s="8">
        <v>45079</v>
      </c>
      <c r="E455" s="8">
        <f>IF(B455="Inactive", EDATE(D455,K455), "")</f>
        <v>45384</v>
      </c>
      <c r="F455" t="s">
        <v>10</v>
      </c>
      <c r="G455">
        <v>4.7</v>
      </c>
      <c r="H455" t="str" cm="1">
        <f t="array" ref="H455">_xlfn.IFS(G455&gt;=20,"20-25", G455&gt;=15,"15-20", G455&gt;=10,"10-15", G455&gt;=5,"5-10", G455&gt;=1,"1-5", G455&lt;1,"Less than 1")</f>
        <v>1-5</v>
      </c>
      <c r="I455">
        <v>3</v>
      </c>
      <c r="J455">
        <v>1</v>
      </c>
      <c r="K455" s="6">
        <v>10</v>
      </c>
      <c r="L455" s="2">
        <v>6.99</v>
      </c>
      <c r="M455" s="6">
        <v>17</v>
      </c>
      <c r="N455" t="str" cm="1">
        <f t="array" ref="N455">_xlfn.IFS(M455&gt;=50,"50-60 Days", M455&gt;=40,"40-50 Days", M455&gt;=30, "30-40 Days", M455&gt;=20, "20-30 Days", M455&gt;=10, "10-20 Days", M455&gt;=0, "0-10 Days")</f>
        <v>10-20 Days</v>
      </c>
    </row>
    <row r="456" spans="1:14">
      <c r="A456">
        <v>455</v>
      </c>
      <c r="B456" t="s">
        <v>28</v>
      </c>
      <c r="C456" s="5">
        <v>44989</v>
      </c>
      <c r="D456" s="8">
        <v>44989</v>
      </c>
      <c r="E456" s="8">
        <f>IF(B456="Inactive", EDATE(D456,K456), "")</f>
        <v>45173</v>
      </c>
      <c r="F456" t="s">
        <v>12</v>
      </c>
      <c r="G456">
        <v>16.399999999999999</v>
      </c>
      <c r="H456" t="str" cm="1">
        <f t="array" ref="H456">_xlfn.IFS(G456&gt;=20,"20-25", G456&gt;=15,"15-20", G456&gt;=10,"10-15", G456&gt;=5,"5-10", G456&gt;=1,"1-5", G456&lt;1,"Less than 1")</f>
        <v>15-20</v>
      </c>
      <c r="I456">
        <v>7</v>
      </c>
      <c r="J456">
        <v>3</v>
      </c>
      <c r="K456" s="6">
        <v>6</v>
      </c>
      <c r="L456" s="2">
        <v>1.99</v>
      </c>
      <c r="M456" s="6">
        <v>56</v>
      </c>
      <c r="N456" t="str" cm="1">
        <f t="array" ref="N456">_xlfn.IFS(M456&gt;=50,"50-60 Days", M456&gt;=40,"40-50 Days", M456&gt;=30, "30-40 Days", M456&gt;=20, "20-30 Days", M456&gt;=10, "10-20 Days", M456&gt;=0, "0-10 Days")</f>
        <v>50-60 Days</v>
      </c>
    </row>
    <row r="457" spans="1:14">
      <c r="A457">
        <v>456</v>
      </c>
      <c r="B457" t="s">
        <v>29</v>
      </c>
      <c r="C457" s="5">
        <v>45465</v>
      </c>
      <c r="D457" s="8">
        <v>45465</v>
      </c>
      <c r="E457" s="8" t="str">
        <f>IF(B457="Inactive", EDATE(D457,K457), "")</f>
        <v/>
      </c>
      <c r="F457" t="s">
        <v>12</v>
      </c>
      <c r="G457">
        <v>9.9</v>
      </c>
      <c r="H457" t="str" cm="1">
        <f t="array" ref="H457">_xlfn.IFS(G457&gt;=20,"20-25", G457&gt;=15,"15-20", G457&gt;=10,"10-15", G457&gt;=5,"5-10", G457&gt;=1,"1-5", G457&lt;1,"Less than 1")</f>
        <v>5-10</v>
      </c>
      <c r="I457">
        <v>6</v>
      </c>
      <c r="J457">
        <v>1</v>
      </c>
      <c r="K457" s="6">
        <v>6</v>
      </c>
      <c r="L457" s="2">
        <v>1.99</v>
      </c>
      <c r="M457" s="6">
        <v>41</v>
      </c>
      <c r="N457" t="str" cm="1">
        <f t="array" ref="N457">_xlfn.IFS(M457&gt;=50,"50-60 Days", M457&gt;=40,"40-50 Days", M457&gt;=30, "30-40 Days", M457&gt;=20, "20-30 Days", M457&gt;=10, "10-20 Days", M457&gt;=0, "0-10 Days")</f>
        <v>40-50 Days</v>
      </c>
    </row>
    <row r="458" spans="1:14">
      <c r="A458">
        <v>457</v>
      </c>
      <c r="B458" t="s">
        <v>28</v>
      </c>
      <c r="C458" s="5">
        <v>45423</v>
      </c>
      <c r="D458" s="8">
        <v>45423</v>
      </c>
      <c r="E458" s="8">
        <f>IF(B458="Inactive", EDATE(D458,K458), "")</f>
        <v>45788</v>
      </c>
      <c r="F458" t="s">
        <v>12</v>
      </c>
      <c r="G458">
        <v>20</v>
      </c>
      <c r="H458" t="str" cm="1">
        <f t="array" ref="H458">_xlfn.IFS(G458&gt;=20,"20-25", G458&gt;=15,"15-20", G458&gt;=10,"10-15", G458&gt;=5,"5-10", G458&gt;=1,"1-5", G458&lt;1,"Less than 1")</f>
        <v>20-25</v>
      </c>
      <c r="I458">
        <v>6</v>
      </c>
      <c r="J458">
        <v>5</v>
      </c>
      <c r="K458" s="6">
        <v>12</v>
      </c>
      <c r="L458" s="2">
        <v>1.99</v>
      </c>
      <c r="M458" s="6">
        <v>22</v>
      </c>
      <c r="N458" t="str" cm="1">
        <f t="array" ref="N458">_xlfn.IFS(M458&gt;=50,"50-60 Days", M458&gt;=40,"40-50 Days", M458&gt;=30, "30-40 Days", M458&gt;=20, "20-30 Days", M458&gt;=10, "10-20 Days", M458&gt;=0, "0-10 Days")</f>
        <v>20-30 Days</v>
      </c>
    </row>
    <row r="459" spans="1:14">
      <c r="A459">
        <v>458</v>
      </c>
      <c r="B459" t="s">
        <v>29</v>
      </c>
      <c r="C459" s="5">
        <v>45151</v>
      </c>
      <c r="D459" s="8">
        <v>45151</v>
      </c>
      <c r="E459" s="8" t="str">
        <f>IF(B459="Inactive", EDATE(D459,K459), "")</f>
        <v/>
      </c>
      <c r="F459" t="s">
        <v>14</v>
      </c>
      <c r="G459">
        <v>8.4</v>
      </c>
      <c r="H459" t="str" cm="1">
        <f t="array" ref="H459">_xlfn.IFS(G459&gt;=20,"20-25", G459&gt;=15,"15-20", G459&gt;=10,"10-15", G459&gt;=5,"5-10", G459&gt;=1,"1-5", G459&lt;1,"Less than 1")</f>
        <v>5-10</v>
      </c>
      <c r="I459">
        <v>4</v>
      </c>
      <c r="J459">
        <v>1</v>
      </c>
      <c r="K459" s="6">
        <v>11</v>
      </c>
      <c r="L459" s="2">
        <v>3.99</v>
      </c>
      <c r="M459" s="6">
        <v>1</v>
      </c>
      <c r="N459" t="str" cm="1">
        <f t="array" ref="N459">_xlfn.IFS(M459&gt;=50,"50-60 Days", M459&gt;=40,"40-50 Days", M459&gt;=30, "30-40 Days", M459&gt;=20, "20-30 Days", M459&gt;=10, "10-20 Days", M459&gt;=0, "0-10 Days")</f>
        <v>0-10 Days</v>
      </c>
    </row>
    <row r="460" spans="1:14">
      <c r="A460">
        <v>459</v>
      </c>
      <c r="B460" t="s">
        <v>28</v>
      </c>
      <c r="C460" s="5">
        <v>45165</v>
      </c>
      <c r="D460" s="8">
        <v>45165</v>
      </c>
      <c r="E460" s="8">
        <f>IF(B460="Inactive", EDATE(D460,K460), "")</f>
        <v>45349</v>
      </c>
      <c r="F460" t="s">
        <v>12</v>
      </c>
      <c r="G460">
        <v>1.9</v>
      </c>
      <c r="H460" t="str" cm="1">
        <f t="array" ref="H460">_xlfn.IFS(G460&gt;=20,"20-25", G460&gt;=15,"15-20", G460&gt;=10,"10-15", G460&gt;=5,"5-10", G460&gt;=1,"1-5", G460&lt;1,"Less than 1")</f>
        <v>1-5</v>
      </c>
      <c r="I460">
        <v>7</v>
      </c>
      <c r="J460">
        <v>4</v>
      </c>
      <c r="K460" s="6">
        <v>6</v>
      </c>
      <c r="L460" s="2">
        <v>1.99</v>
      </c>
      <c r="M460" s="6">
        <v>22</v>
      </c>
      <c r="N460" t="str" cm="1">
        <f t="array" ref="N460">_xlfn.IFS(M460&gt;=50,"50-60 Days", M460&gt;=40,"40-50 Days", M460&gt;=30, "30-40 Days", M460&gt;=20, "20-30 Days", M460&gt;=10, "10-20 Days", M460&gt;=0, "0-10 Days")</f>
        <v>20-30 Days</v>
      </c>
    </row>
    <row r="461" spans="1:14">
      <c r="A461">
        <v>460</v>
      </c>
      <c r="B461" t="s">
        <v>29</v>
      </c>
      <c r="C461" s="5">
        <v>44984</v>
      </c>
      <c r="D461" s="8">
        <v>44984</v>
      </c>
      <c r="E461" s="8" t="str">
        <f>IF(B461="Inactive", EDATE(D461,K461), "")</f>
        <v/>
      </c>
      <c r="F461" t="s">
        <v>12</v>
      </c>
      <c r="G461">
        <v>6.6</v>
      </c>
      <c r="H461" t="str" cm="1">
        <f t="array" ref="H461">_xlfn.IFS(G461&gt;=20,"20-25", G461&gt;=15,"15-20", G461&gt;=10,"10-15", G461&gt;=5,"5-10", G461&gt;=1,"1-5", G461&lt;1,"Less than 1")</f>
        <v>5-10</v>
      </c>
      <c r="I461">
        <v>3</v>
      </c>
      <c r="J461">
        <v>2</v>
      </c>
      <c r="K461" s="6">
        <v>3</v>
      </c>
      <c r="L461" s="2">
        <v>1.99</v>
      </c>
      <c r="M461" s="6">
        <v>34</v>
      </c>
      <c r="N461" t="str" cm="1">
        <f t="array" ref="N461">_xlfn.IFS(M461&gt;=50,"50-60 Days", M461&gt;=40,"40-50 Days", M461&gt;=30, "30-40 Days", M461&gt;=20, "20-30 Days", M461&gt;=10, "10-20 Days", M461&gt;=0, "0-10 Days")</f>
        <v>30-40 Days</v>
      </c>
    </row>
    <row r="462" spans="1:14">
      <c r="A462">
        <v>461</v>
      </c>
      <c r="B462" t="s">
        <v>29</v>
      </c>
      <c r="C462" s="5">
        <v>45641</v>
      </c>
      <c r="D462" s="8">
        <v>45641</v>
      </c>
      <c r="E462" s="8" t="str">
        <f>IF(B462="Inactive", EDATE(D462,K462), "")</f>
        <v/>
      </c>
      <c r="F462" t="s">
        <v>12</v>
      </c>
      <c r="G462">
        <v>9.1999999999999993</v>
      </c>
      <c r="H462" t="str" cm="1">
        <f t="array" ref="H462">_xlfn.IFS(G462&gt;=20,"20-25", G462&gt;=15,"15-20", G462&gt;=10,"10-15", G462&gt;=5,"5-10", G462&gt;=1,"1-5", G462&lt;1,"Less than 1")</f>
        <v>5-10</v>
      </c>
      <c r="I462">
        <v>2</v>
      </c>
      <c r="J462">
        <v>1</v>
      </c>
      <c r="K462" s="6">
        <v>9</v>
      </c>
      <c r="L462" s="2">
        <v>1.99</v>
      </c>
      <c r="M462" s="6">
        <v>15</v>
      </c>
      <c r="N462" t="str" cm="1">
        <f t="array" ref="N462">_xlfn.IFS(M462&gt;=50,"50-60 Days", M462&gt;=40,"40-50 Days", M462&gt;=30, "30-40 Days", M462&gt;=20, "20-30 Days", M462&gt;=10, "10-20 Days", M462&gt;=0, "0-10 Days")</f>
        <v>10-20 Days</v>
      </c>
    </row>
    <row r="463" spans="1:14">
      <c r="A463">
        <v>462</v>
      </c>
      <c r="B463" t="s">
        <v>28</v>
      </c>
      <c r="C463" s="5">
        <v>45119</v>
      </c>
      <c r="D463" s="8">
        <v>45119</v>
      </c>
      <c r="E463" s="8">
        <f>IF(B463="Inactive", EDATE(D463,K463), "")</f>
        <v>45150</v>
      </c>
      <c r="F463" t="s">
        <v>14</v>
      </c>
      <c r="G463">
        <v>17.7</v>
      </c>
      <c r="H463" t="str" cm="1">
        <f t="array" ref="H463">_xlfn.IFS(G463&gt;=20,"20-25", G463&gt;=15,"15-20", G463&gt;=10,"10-15", G463&gt;=5,"5-10", G463&gt;=1,"1-5", G463&lt;1,"Less than 1")</f>
        <v>15-20</v>
      </c>
      <c r="I463">
        <v>5</v>
      </c>
      <c r="J463">
        <v>4</v>
      </c>
      <c r="K463" s="6">
        <v>1</v>
      </c>
      <c r="L463" s="2">
        <v>3.99</v>
      </c>
      <c r="M463" s="6">
        <v>36</v>
      </c>
      <c r="N463" t="str" cm="1">
        <f t="array" ref="N463">_xlfn.IFS(M463&gt;=50,"50-60 Days", M463&gt;=40,"40-50 Days", M463&gt;=30, "30-40 Days", M463&gt;=20, "20-30 Days", M463&gt;=10, "10-20 Days", M463&gt;=0, "0-10 Days")</f>
        <v>30-40 Days</v>
      </c>
    </row>
    <row r="464" spans="1:14">
      <c r="A464">
        <v>463</v>
      </c>
      <c r="B464" t="s">
        <v>28</v>
      </c>
      <c r="C464" s="5">
        <v>45543</v>
      </c>
      <c r="D464" s="8">
        <v>45543</v>
      </c>
      <c r="E464" s="8">
        <f>IF(B464="Inactive", EDATE(D464,K464), "")</f>
        <v>45908</v>
      </c>
      <c r="F464" t="s">
        <v>14</v>
      </c>
      <c r="G464">
        <v>8.1</v>
      </c>
      <c r="H464" t="str" cm="1">
        <f t="array" ref="H464">_xlfn.IFS(G464&gt;=20,"20-25", G464&gt;=15,"15-20", G464&gt;=10,"10-15", G464&gt;=5,"5-10", G464&gt;=1,"1-5", G464&lt;1,"Less than 1")</f>
        <v>5-10</v>
      </c>
      <c r="I464">
        <v>7</v>
      </c>
      <c r="J464">
        <v>0</v>
      </c>
      <c r="K464" s="6">
        <v>12</v>
      </c>
      <c r="L464" s="2">
        <v>3.99</v>
      </c>
      <c r="M464" s="6">
        <v>5</v>
      </c>
      <c r="N464" t="str" cm="1">
        <f t="array" ref="N464">_xlfn.IFS(M464&gt;=50,"50-60 Days", M464&gt;=40,"40-50 Days", M464&gt;=30, "30-40 Days", M464&gt;=20, "20-30 Days", M464&gt;=10, "10-20 Days", M464&gt;=0, "0-10 Days")</f>
        <v>0-10 Days</v>
      </c>
    </row>
    <row r="465" spans="1:14">
      <c r="A465">
        <v>464</v>
      </c>
      <c r="B465" t="s">
        <v>29</v>
      </c>
      <c r="C465" s="5">
        <v>45060</v>
      </c>
      <c r="D465" s="8">
        <v>45060</v>
      </c>
      <c r="E465" s="8" t="str">
        <f>IF(B465="Inactive", EDATE(D465,K465), "")</f>
        <v/>
      </c>
      <c r="F465" t="s">
        <v>12</v>
      </c>
      <c r="G465">
        <v>13.4</v>
      </c>
      <c r="H465" t="str" cm="1">
        <f t="array" ref="H465">_xlfn.IFS(G465&gt;=20,"20-25", G465&gt;=15,"15-20", G465&gt;=10,"10-15", G465&gt;=5,"5-10", G465&gt;=1,"1-5", G465&lt;1,"Less than 1")</f>
        <v>10-15</v>
      </c>
      <c r="I465">
        <v>0</v>
      </c>
      <c r="J465">
        <v>2</v>
      </c>
      <c r="K465" s="6">
        <v>1</v>
      </c>
      <c r="L465" s="2">
        <v>1.99</v>
      </c>
      <c r="M465" s="6">
        <v>58</v>
      </c>
      <c r="N465" t="str" cm="1">
        <f t="array" ref="N465">_xlfn.IFS(M465&gt;=50,"50-60 Days", M465&gt;=40,"40-50 Days", M465&gt;=30, "30-40 Days", M465&gt;=20, "20-30 Days", M465&gt;=10, "10-20 Days", M465&gt;=0, "0-10 Days")</f>
        <v>50-60 Days</v>
      </c>
    </row>
    <row r="466" spans="1:14">
      <c r="A466">
        <v>465</v>
      </c>
      <c r="B466" t="s">
        <v>28</v>
      </c>
      <c r="C466" s="5">
        <v>45648</v>
      </c>
      <c r="D466" s="8">
        <v>45648</v>
      </c>
      <c r="E466" s="8">
        <f>IF(B466="Inactive", EDATE(D466,K466), "")</f>
        <v>45769</v>
      </c>
      <c r="F466" t="s">
        <v>14</v>
      </c>
      <c r="G466">
        <v>23</v>
      </c>
      <c r="H466" t="str" cm="1">
        <f t="array" ref="H466">_xlfn.IFS(G466&gt;=20,"20-25", G466&gt;=15,"15-20", G466&gt;=10,"10-15", G466&gt;=5,"5-10", G466&gt;=1,"1-5", G466&lt;1,"Less than 1")</f>
        <v>20-25</v>
      </c>
      <c r="I466">
        <v>5</v>
      </c>
      <c r="J466">
        <v>0</v>
      </c>
      <c r="K466" s="6">
        <v>4</v>
      </c>
      <c r="L466" s="2">
        <v>3.99</v>
      </c>
      <c r="M466" s="6">
        <v>1</v>
      </c>
      <c r="N466" t="str" cm="1">
        <f t="array" ref="N466">_xlfn.IFS(M466&gt;=50,"50-60 Days", M466&gt;=40,"40-50 Days", M466&gt;=30, "30-40 Days", M466&gt;=20, "20-30 Days", M466&gt;=10, "10-20 Days", M466&gt;=0, "0-10 Days")</f>
        <v>0-10 Days</v>
      </c>
    </row>
    <row r="467" spans="1:14">
      <c r="A467">
        <v>466</v>
      </c>
      <c r="B467" t="s">
        <v>29</v>
      </c>
      <c r="C467" s="5">
        <v>45605</v>
      </c>
      <c r="D467" s="8">
        <v>45605</v>
      </c>
      <c r="E467" s="8" t="str">
        <f>IF(B467="Inactive", EDATE(D467,K467), "")</f>
        <v/>
      </c>
      <c r="F467" t="s">
        <v>12</v>
      </c>
      <c r="G467">
        <v>21.2</v>
      </c>
      <c r="H467" t="str" cm="1">
        <f t="array" ref="H467">_xlfn.IFS(G467&gt;=20,"20-25", G467&gt;=15,"15-20", G467&gt;=10,"10-15", G467&gt;=5,"5-10", G467&gt;=1,"1-5", G467&lt;1,"Less than 1")</f>
        <v>20-25</v>
      </c>
      <c r="I467">
        <v>5</v>
      </c>
      <c r="J467">
        <v>0</v>
      </c>
      <c r="K467" s="6">
        <v>3</v>
      </c>
      <c r="L467" s="2">
        <v>1.99</v>
      </c>
      <c r="M467" s="6">
        <v>23</v>
      </c>
      <c r="N467" t="str" cm="1">
        <f t="array" ref="N467">_xlfn.IFS(M467&gt;=50,"50-60 Days", M467&gt;=40,"40-50 Days", M467&gt;=30, "30-40 Days", M467&gt;=20, "20-30 Days", M467&gt;=10, "10-20 Days", M467&gt;=0, "0-10 Days")</f>
        <v>20-30 Days</v>
      </c>
    </row>
    <row r="468" spans="1:14">
      <c r="A468">
        <v>467</v>
      </c>
      <c r="B468" t="s">
        <v>29</v>
      </c>
      <c r="C468" s="5">
        <v>45374</v>
      </c>
      <c r="D468" s="8">
        <v>45374</v>
      </c>
      <c r="E468" s="8" t="str">
        <f>IF(B468="Inactive", EDATE(D468,K468), "")</f>
        <v/>
      </c>
      <c r="F468" t="s">
        <v>14</v>
      </c>
      <c r="G468">
        <v>8.6999999999999993</v>
      </c>
      <c r="H468" t="str" cm="1">
        <f t="array" ref="H468">_xlfn.IFS(G468&gt;=20,"20-25", G468&gt;=15,"15-20", G468&gt;=10,"10-15", G468&gt;=5,"5-10", G468&gt;=1,"1-5", G468&lt;1,"Less than 1")</f>
        <v>5-10</v>
      </c>
      <c r="I468">
        <v>5</v>
      </c>
      <c r="J468">
        <v>1</v>
      </c>
      <c r="K468" s="6">
        <v>3</v>
      </c>
      <c r="L468" s="2">
        <v>3.99</v>
      </c>
      <c r="M468" s="6">
        <v>10</v>
      </c>
      <c r="N468" t="str" cm="1">
        <f t="array" ref="N468">_xlfn.IFS(M468&gt;=50,"50-60 Days", M468&gt;=40,"40-50 Days", M468&gt;=30, "30-40 Days", M468&gt;=20, "20-30 Days", M468&gt;=10, "10-20 Days", M468&gt;=0, "0-10 Days")</f>
        <v>10-20 Days</v>
      </c>
    </row>
    <row r="469" spans="1:14">
      <c r="A469">
        <v>468</v>
      </c>
      <c r="B469" t="s">
        <v>29</v>
      </c>
      <c r="C469" s="5">
        <v>45555</v>
      </c>
      <c r="D469" s="8">
        <v>45555</v>
      </c>
      <c r="E469" s="8" t="str">
        <f>IF(B469="Inactive", EDATE(D469,K469), "")</f>
        <v/>
      </c>
      <c r="F469" t="s">
        <v>10</v>
      </c>
      <c r="G469">
        <v>16.399999999999999</v>
      </c>
      <c r="H469" t="str" cm="1">
        <f t="array" ref="H469">_xlfn.IFS(G469&gt;=20,"20-25", G469&gt;=15,"15-20", G469&gt;=10,"10-15", G469&gt;=5,"5-10", G469&gt;=1,"1-5", G469&lt;1,"Less than 1")</f>
        <v>15-20</v>
      </c>
      <c r="I469">
        <v>2</v>
      </c>
      <c r="J469">
        <v>5</v>
      </c>
      <c r="K469" s="6">
        <v>11</v>
      </c>
      <c r="L469" s="2">
        <v>6.99</v>
      </c>
      <c r="M469" s="6">
        <v>35</v>
      </c>
      <c r="N469" t="str" cm="1">
        <f t="array" ref="N469">_xlfn.IFS(M469&gt;=50,"50-60 Days", M469&gt;=40,"40-50 Days", M469&gt;=30, "30-40 Days", M469&gt;=20, "20-30 Days", M469&gt;=10, "10-20 Days", M469&gt;=0, "0-10 Days")</f>
        <v>30-40 Days</v>
      </c>
    </row>
    <row r="470" spans="1:14">
      <c r="A470">
        <v>469</v>
      </c>
      <c r="B470" t="s">
        <v>29</v>
      </c>
      <c r="C470" s="5">
        <v>45228</v>
      </c>
      <c r="D470" s="8">
        <v>45228</v>
      </c>
      <c r="E470" s="8" t="str">
        <f>IF(B470="Inactive", EDATE(D470,K470), "")</f>
        <v/>
      </c>
      <c r="F470" t="s">
        <v>14</v>
      </c>
      <c r="G470">
        <v>16.8</v>
      </c>
      <c r="H470" t="str" cm="1">
        <f t="array" ref="H470">_xlfn.IFS(G470&gt;=20,"20-25", G470&gt;=15,"15-20", G470&gt;=10,"10-15", G470&gt;=5,"5-10", G470&gt;=1,"1-5", G470&lt;1,"Less than 1")</f>
        <v>15-20</v>
      </c>
      <c r="I470">
        <v>2</v>
      </c>
      <c r="J470">
        <v>3</v>
      </c>
      <c r="K470" s="6">
        <v>5</v>
      </c>
      <c r="L470" s="2">
        <v>3.99</v>
      </c>
      <c r="M470" s="6">
        <v>19</v>
      </c>
      <c r="N470" t="str" cm="1">
        <f t="array" ref="N470">_xlfn.IFS(M470&gt;=50,"50-60 Days", M470&gt;=40,"40-50 Days", M470&gt;=30, "30-40 Days", M470&gt;=20, "20-30 Days", M470&gt;=10, "10-20 Days", M470&gt;=0, "0-10 Days")</f>
        <v>10-20 Days</v>
      </c>
    </row>
    <row r="471" spans="1:14">
      <c r="A471">
        <v>470</v>
      </c>
      <c r="B471" t="s">
        <v>28</v>
      </c>
      <c r="C471" s="5">
        <v>45252</v>
      </c>
      <c r="D471" s="8">
        <v>45252</v>
      </c>
      <c r="E471" s="8">
        <f>IF(B471="Inactive", EDATE(D471,K471), "")</f>
        <v>45373</v>
      </c>
      <c r="F471" t="s">
        <v>12</v>
      </c>
      <c r="G471">
        <v>18.399999999999999</v>
      </c>
      <c r="H471" t="str" cm="1">
        <f t="array" ref="H471">_xlfn.IFS(G471&gt;=20,"20-25", G471&gt;=15,"15-20", G471&gt;=10,"10-15", G471&gt;=5,"5-10", G471&gt;=1,"1-5", G471&lt;1,"Less than 1")</f>
        <v>15-20</v>
      </c>
      <c r="I471">
        <v>6</v>
      </c>
      <c r="J471">
        <v>4</v>
      </c>
      <c r="K471" s="6">
        <v>4</v>
      </c>
      <c r="L471" s="2">
        <v>1.99</v>
      </c>
      <c r="M471" s="6">
        <v>2</v>
      </c>
      <c r="N471" t="str" cm="1">
        <f t="array" ref="N471">_xlfn.IFS(M471&gt;=50,"50-60 Days", M471&gt;=40,"40-50 Days", M471&gt;=30, "30-40 Days", M471&gt;=20, "20-30 Days", M471&gt;=10, "10-20 Days", M471&gt;=0, "0-10 Days")</f>
        <v>0-10 Days</v>
      </c>
    </row>
    <row r="472" spans="1:14">
      <c r="A472">
        <v>471</v>
      </c>
      <c r="B472" t="s">
        <v>28</v>
      </c>
      <c r="C472" s="5">
        <v>45006</v>
      </c>
      <c r="D472" s="8">
        <v>45006</v>
      </c>
      <c r="E472" s="8">
        <f>IF(B472="Inactive", EDATE(D472,K472), "")</f>
        <v>45159</v>
      </c>
      <c r="F472" t="s">
        <v>10</v>
      </c>
      <c r="G472">
        <v>16.2</v>
      </c>
      <c r="H472" t="str" cm="1">
        <f t="array" ref="H472">_xlfn.IFS(G472&gt;=20,"20-25", G472&gt;=15,"15-20", G472&gt;=10,"10-15", G472&gt;=5,"5-10", G472&gt;=1,"1-5", G472&lt;1,"Less than 1")</f>
        <v>15-20</v>
      </c>
      <c r="I472">
        <v>1</v>
      </c>
      <c r="J472">
        <v>3</v>
      </c>
      <c r="K472" s="6">
        <v>5</v>
      </c>
      <c r="L472" s="2">
        <v>6.99</v>
      </c>
      <c r="M472" s="6">
        <v>9</v>
      </c>
      <c r="N472" t="str" cm="1">
        <f t="array" ref="N472">_xlfn.IFS(M472&gt;=50,"50-60 Days", M472&gt;=40,"40-50 Days", M472&gt;=30, "30-40 Days", M472&gt;=20, "20-30 Days", M472&gt;=10, "10-20 Days", M472&gt;=0, "0-10 Days")</f>
        <v>0-10 Days</v>
      </c>
    </row>
    <row r="473" spans="1:14">
      <c r="A473">
        <v>472</v>
      </c>
      <c r="B473" t="s">
        <v>29</v>
      </c>
      <c r="C473" s="5">
        <v>45652</v>
      </c>
      <c r="D473" s="8">
        <v>45652</v>
      </c>
      <c r="E473" s="8" t="str">
        <f>IF(B473="Inactive", EDATE(D473,K473), "")</f>
        <v/>
      </c>
      <c r="F473" t="s">
        <v>12</v>
      </c>
      <c r="G473">
        <v>24.6</v>
      </c>
      <c r="H473" t="str" cm="1">
        <f t="array" ref="H473">_xlfn.IFS(G473&gt;=20,"20-25", G473&gt;=15,"15-20", G473&gt;=10,"10-15", G473&gt;=5,"5-10", G473&gt;=1,"1-5", G473&lt;1,"Less than 1")</f>
        <v>20-25</v>
      </c>
      <c r="I473">
        <v>2</v>
      </c>
      <c r="J473">
        <v>5</v>
      </c>
      <c r="K473" s="6">
        <v>8</v>
      </c>
      <c r="L473" s="2">
        <v>1.99</v>
      </c>
      <c r="M473" s="6">
        <v>56</v>
      </c>
      <c r="N473" t="str" cm="1">
        <f t="array" ref="N473">_xlfn.IFS(M473&gt;=50,"50-60 Days", M473&gt;=40,"40-50 Days", M473&gt;=30, "30-40 Days", M473&gt;=20, "20-30 Days", M473&gt;=10, "10-20 Days", M473&gt;=0, "0-10 Days")</f>
        <v>50-60 Days</v>
      </c>
    </row>
    <row r="474" spans="1:14">
      <c r="A474">
        <v>473</v>
      </c>
      <c r="B474" t="s">
        <v>29</v>
      </c>
      <c r="C474" s="5">
        <v>45285</v>
      </c>
      <c r="D474" s="8">
        <v>45285</v>
      </c>
      <c r="E474" s="8" t="str">
        <f>IF(B474="Inactive", EDATE(D474,K474), "")</f>
        <v/>
      </c>
      <c r="F474" t="s">
        <v>10</v>
      </c>
      <c r="G474">
        <v>11.4</v>
      </c>
      <c r="H474" t="str" cm="1">
        <f t="array" ref="H474">_xlfn.IFS(G474&gt;=20,"20-25", G474&gt;=15,"15-20", G474&gt;=10,"10-15", G474&gt;=5,"5-10", G474&gt;=1,"1-5", G474&lt;1,"Less than 1")</f>
        <v>10-15</v>
      </c>
      <c r="I474">
        <v>4</v>
      </c>
      <c r="J474">
        <v>1</v>
      </c>
      <c r="K474" s="6">
        <v>8</v>
      </c>
      <c r="L474" s="2">
        <v>6.99</v>
      </c>
      <c r="M474" s="6">
        <v>15</v>
      </c>
      <c r="N474" t="str" cm="1">
        <f t="array" ref="N474">_xlfn.IFS(M474&gt;=50,"50-60 Days", M474&gt;=40,"40-50 Days", M474&gt;=30, "30-40 Days", M474&gt;=20, "20-30 Days", M474&gt;=10, "10-20 Days", M474&gt;=0, "0-10 Days")</f>
        <v>10-20 Days</v>
      </c>
    </row>
    <row r="475" spans="1:14">
      <c r="A475">
        <v>474</v>
      </c>
      <c r="B475" t="s">
        <v>29</v>
      </c>
      <c r="C475" s="5">
        <v>45097</v>
      </c>
      <c r="D475" s="8">
        <v>45097</v>
      </c>
      <c r="E475" s="8" t="str">
        <f>IF(B475="Inactive", EDATE(D475,K475), "")</f>
        <v/>
      </c>
      <c r="F475" t="s">
        <v>14</v>
      </c>
      <c r="G475">
        <v>18.2</v>
      </c>
      <c r="H475" t="str" cm="1">
        <f t="array" ref="H475">_xlfn.IFS(G475&gt;=20,"20-25", G475&gt;=15,"15-20", G475&gt;=10,"10-15", G475&gt;=5,"5-10", G475&gt;=1,"1-5", G475&lt;1,"Less than 1")</f>
        <v>15-20</v>
      </c>
      <c r="I475">
        <v>0</v>
      </c>
      <c r="J475">
        <v>3</v>
      </c>
      <c r="K475" s="6">
        <v>3</v>
      </c>
      <c r="L475" s="2">
        <v>3.99</v>
      </c>
      <c r="M475" s="6">
        <v>28</v>
      </c>
      <c r="N475" t="str" cm="1">
        <f t="array" ref="N475">_xlfn.IFS(M475&gt;=50,"50-60 Days", M475&gt;=40,"40-50 Days", M475&gt;=30, "30-40 Days", M475&gt;=20, "20-30 Days", M475&gt;=10, "10-20 Days", M475&gt;=0, "0-10 Days")</f>
        <v>20-30 Days</v>
      </c>
    </row>
    <row r="476" spans="1:14">
      <c r="A476">
        <v>475</v>
      </c>
      <c r="B476" t="s">
        <v>28</v>
      </c>
      <c r="C476" s="5">
        <v>45417</v>
      </c>
      <c r="D476" s="8">
        <v>45417</v>
      </c>
      <c r="E476" s="8">
        <f>IF(B476="Inactive", EDATE(D476,K476), "")</f>
        <v>45752</v>
      </c>
      <c r="F476" t="s">
        <v>14</v>
      </c>
      <c r="G476">
        <v>22.1</v>
      </c>
      <c r="H476" t="str" cm="1">
        <f t="array" ref="H476">_xlfn.IFS(G476&gt;=20,"20-25", G476&gt;=15,"15-20", G476&gt;=10,"10-15", G476&gt;=5,"5-10", G476&gt;=1,"1-5", G476&lt;1,"Less than 1")</f>
        <v>20-25</v>
      </c>
      <c r="I476">
        <v>5</v>
      </c>
      <c r="J476">
        <v>4</v>
      </c>
      <c r="K476" s="6">
        <v>11</v>
      </c>
      <c r="L476" s="2">
        <v>3.99</v>
      </c>
      <c r="M476" s="6">
        <v>24</v>
      </c>
      <c r="N476" t="str" cm="1">
        <f t="array" ref="N476">_xlfn.IFS(M476&gt;=50,"50-60 Days", M476&gt;=40,"40-50 Days", M476&gt;=30, "30-40 Days", M476&gt;=20, "20-30 Days", M476&gt;=10, "10-20 Days", M476&gt;=0, "0-10 Days")</f>
        <v>20-30 Days</v>
      </c>
    </row>
    <row r="477" spans="1:14">
      <c r="A477">
        <v>476</v>
      </c>
      <c r="B477" t="s">
        <v>28</v>
      </c>
      <c r="C477" s="5">
        <v>45194</v>
      </c>
      <c r="D477" s="8">
        <v>45194</v>
      </c>
      <c r="E477" s="8">
        <f>IF(B477="Inactive", EDATE(D477,K477), "")</f>
        <v>45347</v>
      </c>
      <c r="F477" t="s">
        <v>10</v>
      </c>
      <c r="G477">
        <v>4.5</v>
      </c>
      <c r="H477" t="str" cm="1">
        <f t="array" ref="H477">_xlfn.IFS(G477&gt;=20,"20-25", G477&gt;=15,"15-20", G477&gt;=10,"10-15", G477&gt;=5,"5-10", G477&gt;=1,"1-5", G477&lt;1,"Less than 1")</f>
        <v>1-5</v>
      </c>
      <c r="I477">
        <v>1</v>
      </c>
      <c r="J477">
        <v>0</v>
      </c>
      <c r="K477" s="6">
        <v>5</v>
      </c>
      <c r="L477" s="2">
        <v>6.99</v>
      </c>
      <c r="M477" s="6">
        <v>18</v>
      </c>
      <c r="N477" t="str" cm="1">
        <f t="array" ref="N477">_xlfn.IFS(M477&gt;=50,"50-60 Days", M477&gt;=40,"40-50 Days", M477&gt;=30, "30-40 Days", M477&gt;=20, "20-30 Days", M477&gt;=10, "10-20 Days", M477&gt;=0, "0-10 Days")</f>
        <v>10-20 Days</v>
      </c>
    </row>
    <row r="478" spans="1:14">
      <c r="A478">
        <v>477</v>
      </c>
      <c r="B478" t="s">
        <v>28</v>
      </c>
      <c r="C478" s="5">
        <v>45022</v>
      </c>
      <c r="D478" s="8">
        <v>45022</v>
      </c>
      <c r="E478" s="8">
        <f>IF(B478="Inactive", EDATE(D478,K478), "")</f>
        <v>45083</v>
      </c>
      <c r="F478" t="s">
        <v>12</v>
      </c>
      <c r="G478">
        <v>8.9</v>
      </c>
      <c r="H478" t="str" cm="1">
        <f t="array" ref="H478">_xlfn.IFS(G478&gt;=20,"20-25", G478&gt;=15,"15-20", G478&gt;=10,"10-15", G478&gt;=5,"5-10", G478&gt;=1,"1-5", G478&lt;1,"Less than 1")</f>
        <v>5-10</v>
      </c>
      <c r="I478">
        <v>6</v>
      </c>
      <c r="J478">
        <v>1</v>
      </c>
      <c r="K478" s="6">
        <v>2</v>
      </c>
      <c r="L478" s="2">
        <v>1.99</v>
      </c>
      <c r="M478" s="6">
        <v>46</v>
      </c>
      <c r="N478" t="str" cm="1">
        <f t="array" ref="N478">_xlfn.IFS(M478&gt;=50,"50-60 Days", M478&gt;=40,"40-50 Days", M478&gt;=30, "30-40 Days", M478&gt;=20, "20-30 Days", M478&gt;=10, "10-20 Days", M478&gt;=0, "0-10 Days")</f>
        <v>40-50 Days</v>
      </c>
    </row>
    <row r="479" spans="1:14">
      <c r="A479">
        <v>478</v>
      </c>
      <c r="B479" t="s">
        <v>29</v>
      </c>
      <c r="C479" s="5">
        <v>45371</v>
      </c>
      <c r="D479" s="8">
        <v>45371</v>
      </c>
      <c r="E479" s="8" t="str">
        <f>IF(B479="Inactive", EDATE(D479,K479), "")</f>
        <v/>
      </c>
      <c r="F479" t="s">
        <v>14</v>
      </c>
      <c r="G479">
        <v>17.8</v>
      </c>
      <c r="H479" t="str" cm="1">
        <f t="array" ref="H479">_xlfn.IFS(G479&gt;=20,"20-25", G479&gt;=15,"15-20", G479&gt;=10,"10-15", G479&gt;=5,"5-10", G479&gt;=1,"1-5", G479&lt;1,"Less than 1")</f>
        <v>15-20</v>
      </c>
      <c r="I479">
        <v>6</v>
      </c>
      <c r="J479">
        <v>5</v>
      </c>
      <c r="K479" s="6">
        <v>11</v>
      </c>
      <c r="L479" s="2">
        <v>3.99</v>
      </c>
      <c r="M479" s="6">
        <v>10</v>
      </c>
      <c r="N479" t="str" cm="1">
        <f t="array" ref="N479">_xlfn.IFS(M479&gt;=50,"50-60 Days", M479&gt;=40,"40-50 Days", M479&gt;=30, "30-40 Days", M479&gt;=20, "20-30 Days", M479&gt;=10, "10-20 Days", M479&gt;=0, "0-10 Days")</f>
        <v>10-20 Days</v>
      </c>
    </row>
    <row r="480" spans="1:14">
      <c r="A480">
        <v>479</v>
      </c>
      <c r="B480" t="s">
        <v>29</v>
      </c>
      <c r="C480" s="5">
        <v>45480</v>
      </c>
      <c r="D480" s="8">
        <v>45480</v>
      </c>
      <c r="E480" s="8" t="str">
        <f>IF(B480="Inactive", EDATE(D480,K480), "")</f>
        <v/>
      </c>
      <c r="F480" t="s">
        <v>12</v>
      </c>
      <c r="G480">
        <v>3</v>
      </c>
      <c r="H480" t="str" cm="1">
        <f t="array" ref="H480">_xlfn.IFS(G480&gt;=20,"20-25", G480&gt;=15,"15-20", G480&gt;=10,"10-15", G480&gt;=5,"5-10", G480&gt;=1,"1-5", G480&lt;1,"Less than 1")</f>
        <v>1-5</v>
      </c>
      <c r="I480">
        <v>3</v>
      </c>
      <c r="J480">
        <v>1</v>
      </c>
      <c r="K480" s="6">
        <v>2</v>
      </c>
      <c r="L480" s="2">
        <v>1.99</v>
      </c>
      <c r="M480" s="6">
        <v>26</v>
      </c>
      <c r="N480" t="str" cm="1">
        <f t="array" ref="N480">_xlfn.IFS(M480&gt;=50,"50-60 Days", M480&gt;=40,"40-50 Days", M480&gt;=30, "30-40 Days", M480&gt;=20, "20-30 Days", M480&gt;=10, "10-20 Days", M480&gt;=0, "0-10 Days")</f>
        <v>20-30 Days</v>
      </c>
    </row>
    <row r="481" spans="1:14">
      <c r="A481">
        <v>480</v>
      </c>
      <c r="B481" t="s">
        <v>29</v>
      </c>
      <c r="C481" s="5">
        <v>45429</v>
      </c>
      <c r="D481" s="8">
        <v>45429</v>
      </c>
      <c r="E481" s="8" t="str">
        <f>IF(B481="Inactive", EDATE(D481,K481), "")</f>
        <v/>
      </c>
      <c r="F481" t="s">
        <v>14</v>
      </c>
      <c r="G481">
        <v>7.8</v>
      </c>
      <c r="H481" t="str" cm="1">
        <f t="array" ref="H481">_xlfn.IFS(G481&gt;=20,"20-25", G481&gt;=15,"15-20", G481&gt;=10,"10-15", G481&gt;=5,"5-10", G481&gt;=1,"1-5", G481&lt;1,"Less than 1")</f>
        <v>5-10</v>
      </c>
      <c r="I481">
        <v>1</v>
      </c>
      <c r="J481">
        <v>0</v>
      </c>
      <c r="K481" s="6">
        <v>7</v>
      </c>
      <c r="L481" s="2">
        <v>3.99</v>
      </c>
      <c r="M481" s="6">
        <v>25</v>
      </c>
      <c r="N481" t="str" cm="1">
        <f t="array" ref="N481">_xlfn.IFS(M481&gt;=50,"50-60 Days", M481&gt;=40,"40-50 Days", M481&gt;=30, "30-40 Days", M481&gt;=20, "20-30 Days", M481&gt;=10, "10-20 Days", M481&gt;=0, "0-10 Days")</f>
        <v>20-30 Days</v>
      </c>
    </row>
    <row r="482" spans="1:14">
      <c r="A482">
        <v>481</v>
      </c>
      <c r="B482" t="s">
        <v>29</v>
      </c>
      <c r="C482" s="5">
        <v>45567</v>
      </c>
      <c r="D482" s="8">
        <v>45567</v>
      </c>
      <c r="E482" s="8" t="str">
        <f>IF(B482="Inactive", EDATE(D482,K482), "")</f>
        <v/>
      </c>
      <c r="F482" t="s">
        <v>12</v>
      </c>
      <c r="G482">
        <v>9.3000000000000007</v>
      </c>
      <c r="H482" t="str" cm="1">
        <f t="array" ref="H482">_xlfn.IFS(G482&gt;=20,"20-25", G482&gt;=15,"15-20", G482&gt;=10,"10-15", G482&gt;=5,"5-10", G482&gt;=1,"1-5", G482&lt;1,"Less than 1")</f>
        <v>5-10</v>
      </c>
      <c r="I482">
        <v>6</v>
      </c>
      <c r="J482">
        <v>0</v>
      </c>
      <c r="K482" s="6">
        <v>2</v>
      </c>
      <c r="L482" s="2">
        <v>1.99</v>
      </c>
      <c r="M482" s="6">
        <v>18</v>
      </c>
      <c r="N482" t="str" cm="1">
        <f t="array" ref="N482">_xlfn.IFS(M482&gt;=50,"50-60 Days", M482&gt;=40,"40-50 Days", M482&gt;=30, "30-40 Days", M482&gt;=20, "20-30 Days", M482&gt;=10, "10-20 Days", M482&gt;=0, "0-10 Days")</f>
        <v>10-20 Days</v>
      </c>
    </row>
    <row r="483" spans="1:14">
      <c r="A483">
        <v>482</v>
      </c>
      <c r="B483" t="s">
        <v>29</v>
      </c>
      <c r="C483" s="5">
        <v>45010</v>
      </c>
      <c r="D483" s="8">
        <v>45010</v>
      </c>
      <c r="E483" s="8" t="str">
        <f>IF(B483="Inactive", EDATE(D483,K483), "")</f>
        <v/>
      </c>
      <c r="F483" t="s">
        <v>10</v>
      </c>
      <c r="G483">
        <v>5.4</v>
      </c>
      <c r="H483" t="str" cm="1">
        <f t="array" ref="H483">_xlfn.IFS(G483&gt;=20,"20-25", G483&gt;=15,"15-20", G483&gt;=10,"10-15", G483&gt;=5,"5-10", G483&gt;=1,"1-5", G483&lt;1,"Less than 1")</f>
        <v>5-10</v>
      </c>
      <c r="I483">
        <v>0</v>
      </c>
      <c r="J483">
        <v>1</v>
      </c>
      <c r="K483" s="6">
        <v>11</v>
      </c>
      <c r="L483" s="2">
        <v>6.99</v>
      </c>
      <c r="M483" s="6">
        <v>10</v>
      </c>
      <c r="N483" t="str" cm="1">
        <f t="array" ref="N483">_xlfn.IFS(M483&gt;=50,"50-60 Days", M483&gt;=40,"40-50 Days", M483&gt;=30, "30-40 Days", M483&gt;=20, "20-30 Days", M483&gt;=10, "10-20 Days", M483&gt;=0, "0-10 Days")</f>
        <v>10-20 Days</v>
      </c>
    </row>
    <row r="484" spans="1:14">
      <c r="A484">
        <v>483</v>
      </c>
      <c r="B484" t="s">
        <v>29</v>
      </c>
      <c r="C484" s="5">
        <v>45198</v>
      </c>
      <c r="D484" s="8">
        <v>45198</v>
      </c>
      <c r="E484" s="8" t="str">
        <f>IF(B484="Inactive", EDATE(D484,K484), "")</f>
        <v/>
      </c>
      <c r="F484" t="s">
        <v>14</v>
      </c>
      <c r="G484">
        <v>8.1</v>
      </c>
      <c r="H484" t="str" cm="1">
        <f t="array" ref="H484">_xlfn.IFS(G484&gt;=20,"20-25", G484&gt;=15,"15-20", G484&gt;=10,"10-15", G484&gt;=5,"5-10", G484&gt;=1,"1-5", G484&lt;1,"Less than 1")</f>
        <v>5-10</v>
      </c>
      <c r="I484">
        <v>6</v>
      </c>
      <c r="J484">
        <v>3</v>
      </c>
      <c r="K484" s="6">
        <v>3</v>
      </c>
      <c r="L484" s="2">
        <v>3.99</v>
      </c>
      <c r="M484" s="6">
        <v>31</v>
      </c>
      <c r="N484" t="str" cm="1">
        <f t="array" ref="N484">_xlfn.IFS(M484&gt;=50,"50-60 Days", M484&gt;=40,"40-50 Days", M484&gt;=30, "30-40 Days", M484&gt;=20, "20-30 Days", M484&gt;=10, "10-20 Days", M484&gt;=0, "0-10 Days")</f>
        <v>30-40 Days</v>
      </c>
    </row>
    <row r="485" spans="1:14">
      <c r="A485">
        <v>484</v>
      </c>
      <c r="B485" t="s">
        <v>28</v>
      </c>
      <c r="C485" s="5">
        <v>44972</v>
      </c>
      <c r="D485" s="8">
        <v>44972</v>
      </c>
      <c r="E485" s="8">
        <f>IF(B485="Inactive", EDATE(D485,K485), "")</f>
        <v>45337</v>
      </c>
      <c r="F485" t="s">
        <v>12</v>
      </c>
      <c r="G485">
        <v>10</v>
      </c>
      <c r="H485" t="str" cm="1">
        <f t="array" ref="H485">_xlfn.IFS(G485&gt;=20,"20-25", G485&gt;=15,"15-20", G485&gt;=10,"10-15", G485&gt;=5,"5-10", G485&gt;=1,"1-5", G485&lt;1,"Less than 1")</f>
        <v>10-15</v>
      </c>
      <c r="I485">
        <v>5</v>
      </c>
      <c r="J485">
        <v>3</v>
      </c>
      <c r="K485" s="6">
        <v>12</v>
      </c>
      <c r="L485" s="2">
        <v>1.99</v>
      </c>
      <c r="M485" s="6">
        <v>23</v>
      </c>
      <c r="N485" t="str" cm="1">
        <f t="array" ref="N485">_xlfn.IFS(M485&gt;=50,"50-60 Days", M485&gt;=40,"40-50 Days", M485&gt;=30, "30-40 Days", M485&gt;=20, "20-30 Days", M485&gt;=10, "10-20 Days", M485&gt;=0, "0-10 Days")</f>
        <v>20-30 Days</v>
      </c>
    </row>
    <row r="486" spans="1:14">
      <c r="A486">
        <v>485</v>
      </c>
      <c r="B486" t="s">
        <v>28</v>
      </c>
      <c r="C486" s="5">
        <v>45640</v>
      </c>
      <c r="D486" s="8">
        <v>45640</v>
      </c>
      <c r="E486" s="8">
        <f>IF(B486="Inactive", EDATE(D486,K486), "")</f>
        <v>45944</v>
      </c>
      <c r="F486" t="s">
        <v>14</v>
      </c>
      <c r="G486">
        <v>11.9</v>
      </c>
      <c r="H486" t="str" cm="1">
        <f t="array" ref="H486">_xlfn.IFS(G486&gt;=20,"20-25", G486&gt;=15,"15-20", G486&gt;=10,"10-15", G486&gt;=5,"5-10", G486&gt;=1,"1-5", G486&lt;1,"Less than 1")</f>
        <v>10-15</v>
      </c>
      <c r="I486">
        <v>3</v>
      </c>
      <c r="J486">
        <v>2</v>
      </c>
      <c r="K486" s="6">
        <v>10</v>
      </c>
      <c r="L486" s="2">
        <v>3.99</v>
      </c>
      <c r="M486" s="6">
        <v>36</v>
      </c>
      <c r="N486" t="str" cm="1">
        <f t="array" ref="N486">_xlfn.IFS(M486&gt;=50,"50-60 Days", M486&gt;=40,"40-50 Days", M486&gt;=30, "30-40 Days", M486&gt;=20, "20-30 Days", M486&gt;=10, "10-20 Days", M486&gt;=0, "0-10 Days")</f>
        <v>30-40 Days</v>
      </c>
    </row>
    <row r="487" spans="1:14">
      <c r="A487">
        <v>486</v>
      </c>
      <c r="B487" t="s">
        <v>28</v>
      </c>
      <c r="C487" s="5">
        <v>45530</v>
      </c>
      <c r="D487" s="8">
        <v>45530</v>
      </c>
      <c r="E487" s="8">
        <f>IF(B487="Inactive", EDATE(D487,K487), "")</f>
        <v>45622</v>
      </c>
      <c r="F487" t="s">
        <v>10</v>
      </c>
      <c r="G487">
        <v>2.6</v>
      </c>
      <c r="H487" t="str" cm="1">
        <f t="array" ref="H487">_xlfn.IFS(G487&gt;=20,"20-25", G487&gt;=15,"15-20", G487&gt;=10,"10-15", G487&gt;=5,"5-10", G487&gt;=1,"1-5", G487&lt;1,"Less than 1")</f>
        <v>1-5</v>
      </c>
      <c r="I487">
        <v>5</v>
      </c>
      <c r="J487">
        <v>4</v>
      </c>
      <c r="K487" s="6">
        <v>3</v>
      </c>
      <c r="L487" s="2">
        <v>6.99</v>
      </c>
      <c r="M487" s="6">
        <v>26</v>
      </c>
      <c r="N487" t="str" cm="1">
        <f t="array" ref="N487">_xlfn.IFS(M487&gt;=50,"50-60 Days", M487&gt;=40,"40-50 Days", M487&gt;=30, "30-40 Days", M487&gt;=20, "20-30 Days", M487&gt;=10, "10-20 Days", M487&gt;=0, "0-10 Days")</f>
        <v>20-30 Days</v>
      </c>
    </row>
    <row r="488" spans="1:14">
      <c r="A488">
        <v>487</v>
      </c>
      <c r="B488" t="s">
        <v>28</v>
      </c>
      <c r="C488" s="5">
        <v>45630</v>
      </c>
      <c r="D488" s="8">
        <v>45630</v>
      </c>
      <c r="E488" s="8">
        <f>IF(B488="Inactive", EDATE(D488,K488), "")</f>
        <v>45995</v>
      </c>
      <c r="F488" t="s">
        <v>12</v>
      </c>
      <c r="G488">
        <v>2</v>
      </c>
      <c r="H488" t="str" cm="1">
        <f t="array" ref="H488">_xlfn.IFS(G488&gt;=20,"20-25", G488&gt;=15,"15-20", G488&gt;=10,"10-15", G488&gt;=5,"5-10", G488&gt;=1,"1-5", G488&lt;1,"Less than 1")</f>
        <v>1-5</v>
      </c>
      <c r="I488">
        <v>6</v>
      </c>
      <c r="J488">
        <v>4</v>
      </c>
      <c r="K488" s="6">
        <v>12</v>
      </c>
      <c r="L488" s="2">
        <v>1.99</v>
      </c>
      <c r="M488" s="6">
        <v>26</v>
      </c>
      <c r="N488" t="str" cm="1">
        <f t="array" ref="N488">_xlfn.IFS(M488&gt;=50,"50-60 Days", M488&gt;=40,"40-50 Days", M488&gt;=30, "30-40 Days", M488&gt;=20, "20-30 Days", M488&gt;=10, "10-20 Days", M488&gt;=0, "0-10 Days")</f>
        <v>20-30 Days</v>
      </c>
    </row>
    <row r="489" spans="1:14">
      <c r="A489">
        <v>488</v>
      </c>
      <c r="B489" t="s">
        <v>29</v>
      </c>
      <c r="C489" s="5">
        <v>44962</v>
      </c>
      <c r="D489" s="8">
        <v>44962</v>
      </c>
      <c r="E489" s="8" t="str">
        <f>IF(B489="Inactive", EDATE(D489,K489), "")</f>
        <v/>
      </c>
      <c r="F489" t="s">
        <v>14</v>
      </c>
      <c r="G489">
        <v>12.2</v>
      </c>
      <c r="H489" t="str" cm="1">
        <f t="array" ref="H489">_xlfn.IFS(G489&gt;=20,"20-25", G489&gt;=15,"15-20", G489&gt;=10,"10-15", G489&gt;=5,"5-10", G489&gt;=1,"1-5", G489&lt;1,"Less than 1")</f>
        <v>10-15</v>
      </c>
      <c r="I489">
        <v>1</v>
      </c>
      <c r="J489">
        <v>3</v>
      </c>
      <c r="K489" s="6">
        <v>6</v>
      </c>
      <c r="L489" s="2">
        <v>3.99</v>
      </c>
      <c r="M489" s="6">
        <v>57</v>
      </c>
      <c r="N489" t="str" cm="1">
        <f t="array" ref="N489">_xlfn.IFS(M489&gt;=50,"50-60 Days", M489&gt;=40,"40-50 Days", M489&gt;=30, "30-40 Days", M489&gt;=20, "20-30 Days", M489&gt;=10, "10-20 Days", M489&gt;=0, "0-10 Days")</f>
        <v>50-60 Days</v>
      </c>
    </row>
    <row r="490" spans="1:14">
      <c r="A490">
        <v>489</v>
      </c>
      <c r="B490" t="s">
        <v>29</v>
      </c>
      <c r="C490" s="5">
        <v>45104</v>
      </c>
      <c r="D490" s="8">
        <v>45104</v>
      </c>
      <c r="E490" s="8" t="str">
        <f>IF(B490="Inactive", EDATE(D490,K490), "")</f>
        <v/>
      </c>
      <c r="F490" t="s">
        <v>10</v>
      </c>
      <c r="G490">
        <v>20.100000000000001</v>
      </c>
      <c r="H490" t="str" cm="1">
        <f t="array" ref="H490">_xlfn.IFS(G490&gt;=20,"20-25", G490&gt;=15,"15-20", G490&gt;=10,"10-15", G490&gt;=5,"5-10", G490&gt;=1,"1-5", G490&lt;1,"Less than 1")</f>
        <v>20-25</v>
      </c>
      <c r="I490">
        <v>2</v>
      </c>
      <c r="J490">
        <v>0</v>
      </c>
      <c r="K490" s="6">
        <v>12</v>
      </c>
      <c r="L490" s="2">
        <v>6.99</v>
      </c>
      <c r="M490" s="6">
        <v>60</v>
      </c>
      <c r="N490" t="str" cm="1">
        <f t="array" ref="N490">_xlfn.IFS(M490&gt;=50,"50-60 Days", M490&gt;=40,"40-50 Days", M490&gt;=30, "30-40 Days", M490&gt;=20, "20-30 Days", M490&gt;=10, "10-20 Days", M490&gt;=0, "0-10 Days")</f>
        <v>50-60 Days</v>
      </c>
    </row>
    <row r="491" spans="1:14">
      <c r="A491">
        <v>490</v>
      </c>
      <c r="B491" t="s">
        <v>28</v>
      </c>
      <c r="C491" s="5">
        <v>45626</v>
      </c>
      <c r="D491" s="8">
        <v>45626</v>
      </c>
      <c r="E491" s="8">
        <f>IF(B491="Inactive", EDATE(D491,K491), "")</f>
        <v>45777</v>
      </c>
      <c r="F491" t="s">
        <v>12</v>
      </c>
      <c r="G491">
        <v>20.3</v>
      </c>
      <c r="H491" t="str" cm="1">
        <f t="array" ref="H491">_xlfn.IFS(G491&gt;=20,"20-25", G491&gt;=15,"15-20", G491&gt;=10,"10-15", G491&gt;=5,"5-10", G491&gt;=1,"1-5", G491&lt;1,"Less than 1")</f>
        <v>20-25</v>
      </c>
      <c r="I491">
        <v>2</v>
      </c>
      <c r="J491">
        <v>0</v>
      </c>
      <c r="K491" s="6">
        <v>5</v>
      </c>
      <c r="L491" s="2">
        <v>1.99</v>
      </c>
      <c r="M491" s="6">
        <v>27</v>
      </c>
      <c r="N491" t="str" cm="1">
        <f t="array" ref="N491">_xlfn.IFS(M491&gt;=50,"50-60 Days", M491&gt;=40,"40-50 Days", M491&gt;=30, "30-40 Days", M491&gt;=20, "20-30 Days", M491&gt;=10, "10-20 Days", M491&gt;=0, "0-10 Days")</f>
        <v>20-30 Days</v>
      </c>
    </row>
    <row r="492" spans="1:14">
      <c r="A492">
        <v>491</v>
      </c>
      <c r="B492" t="s">
        <v>28</v>
      </c>
      <c r="C492" s="5">
        <v>44995</v>
      </c>
      <c r="D492" s="8">
        <v>44995</v>
      </c>
      <c r="E492" s="8">
        <f>IF(B492="Inactive", EDATE(D492,K492), "")</f>
        <v>45148</v>
      </c>
      <c r="F492" t="s">
        <v>14</v>
      </c>
      <c r="G492">
        <v>24.9</v>
      </c>
      <c r="H492" t="str" cm="1">
        <f t="array" ref="H492">_xlfn.IFS(G492&gt;=20,"20-25", G492&gt;=15,"15-20", G492&gt;=10,"10-15", G492&gt;=5,"5-10", G492&gt;=1,"1-5", G492&lt;1,"Less than 1")</f>
        <v>20-25</v>
      </c>
      <c r="I492">
        <v>2</v>
      </c>
      <c r="J492">
        <v>4</v>
      </c>
      <c r="K492" s="6">
        <v>5</v>
      </c>
      <c r="L492" s="2">
        <v>3.99</v>
      </c>
      <c r="M492" s="6">
        <v>16</v>
      </c>
      <c r="N492" t="str" cm="1">
        <f t="array" ref="N492">_xlfn.IFS(M492&gt;=50,"50-60 Days", M492&gt;=40,"40-50 Days", M492&gt;=30, "30-40 Days", M492&gt;=20, "20-30 Days", M492&gt;=10, "10-20 Days", M492&gt;=0, "0-10 Days")</f>
        <v>10-20 Days</v>
      </c>
    </row>
    <row r="493" spans="1:14">
      <c r="A493">
        <v>492</v>
      </c>
      <c r="B493" t="s">
        <v>28</v>
      </c>
      <c r="C493" s="5">
        <v>45396</v>
      </c>
      <c r="D493" s="8">
        <v>45396</v>
      </c>
      <c r="E493" s="8">
        <f>IF(B493="Inactive", EDATE(D493,K493), "")</f>
        <v>45671</v>
      </c>
      <c r="F493" t="s">
        <v>12</v>
      </c>
      <c r="G493">
        <v>14.1</v>
      </c>
      <c r="H493" t="str" cm="1">
        <f t="array" ref="H493">_xlfn.IFS(G493&gt;=20,"20-25", G493&gt;=15,"15-20", G493&gt;=10,"10-15", G493&gt;=5,"5-10", G493&gt;=1,"1-5", G493&lt;1,"Less than 1")</f>
        <v>10-15</v>
      </c>
      <c r="I493">
        <v>8</v>
      </c>
      <c r="J493">
        <v>2</v>
      </c>
      <c r="K493" s="6">
        <v>9</v>
      </c>
      <c r="L493" s="2">
        <v>1.99</v>
      </c>
      <c r="M493" s="6">
        <v>54</v>
      </c>
      <c r="N493" t="str" cm="1">
        <f t="array" ref="N493">_xlfn.IFS(M493&gt;=50,"50-60 Days", M493&gt;=40,"40-50 Days", M493&gt;=30, "30-40 Days", M493&gt;=20, "20-30 Days", M493&gt;=10, "10-20 Days", M493&gt;=0, "0-10 Days")</f>
        <v>50-60 Days</v>
      </c>
    </row>
    <row r="494" spans="1:14">
      <c r="A494">
        <v>493</v>
      </c>
      <c r="B494" t="s">
        <v>28</v>
      </c>
      <c r="C494" s="5">
        <v>45529</v>
      </c>
      <c r="D494" s="8">
        <v>45529</v>
      </c>
      <c r="E494" s="8">
        <f>IF(B494="Inactive", EDATE(D494,K494), "")</f>
        <v>45894</v>
      </c>
      <c r="F494" t="s">
        <v>12</v>
      </c>
      <c r="G494">
        <v>19.7</v>
      </c>
      <c r="H494" t="str" cm="1">
        <f t="array" ref="H494">_xlfn.IFS(G494&gt;=20,"20-25", G494&gt;=15,"15-20", G494&gt;=10,"10-15", G494&gt;=5,"5-10", G494&gt;=1,"1-5", G494&lt;1,"Less than 1")</f>
        <v>15-20</v>
      </c>
      <c r="I494">
        <v>1</v>
      </c>
      <c r="J494">
        <v>3</v>
      </c>
      <c r="K494" s="6">
        <v>12</v>
      </c>
      <c r="L494" s="2">
        <v>1.99</v>
      </c>
      <c r="M494" s="6">
        <v>9</v>
      </c>
      <c r="N494" t="str" cm="1">
        <f t="array" ref="N494">_xlfn.IFS(M494&gt;=50,"50-60 Days", M494&gt;=40,"40-50 Days", M494&gt;=30, "30-40 Days", M494&gt;=20, "20-30 Days", M494&gt;=10, "10-20 Days", M494&gt;=0, "0-10 Days")</f>
        <v>0-10 Days</v>
      </c>
    </row>
    <row r="495" spans="1:14">
      <c r="A495">
        <v>494</v>
      </c>
      <c r="B495" t="s">
        <v>28</v>
      </c>
      <c r="C495" s="5">
        <v>45279</v>
      </c>
      <c r="D495" s="8">
        <v>45279</v>
      </c>
      <c r="E495" s="8">
        <f>IF(B495="Inactive", EDATE(D495,K495), "")</f>
        <v>45370</v>
      </c>
      <c r="F495" t="s">
        <v>10</v>
      </c>
      <c r="G495">
        <v>23.2</v>
      </c>
      <c r="H495" t="str" cm="1">
        <f t="array" ref="H495">_xlfn.IFS(G495&gt;=20,"20-25", G495&gt;=15,"15-20", G495&gt;=10,"10-15", G495&gt;=5,"5-10", G495&gt;=1,"1-5", G495&lt;1,"Less than 1")</f>
        <v>20-25</v>
      </c>
      <c r="I495">
        <v>1</v>
      </c>
      <c r="J495">
        <v>2</v>
      </c>
      <c r="K495" s="6">
        <v>3</v>
      </c>
      <c r="L495" s="2">
        <v>6.99</v>
      </c>
      <c r="M495" s="6">
        <v>55</v>
      </c>
      <c r="N495" t="str" cm="1">
        <f t="array" ref="N495">_xlfn.IFS(M495&gt;=50,"50-60 Days", M495&gt;=40,"40-50 Days", M495&gt;=30, "30-40 Days", M495&gt;=20, "20-30 Days", M495&gt;=10, "10-20 Days", M495&gt;=0, "0-10 Days")</f>
        <v>50-60 Days</v>
      </c>
    </row>
    <row r="496" spans="1:14">
      <c r="A496">
        <v>495</v>
      </c>
      <c r="B496" t="s">
        <v>28</v>
      </c>
      <c r="C496" s="5">
        <v>45103</v>
      </c>
      <c r="D496" s="8">
        <v>45103</v>
      </c>
      <c r="E496" s="8">
        <f>IF(B496="Inactive", EDATE(D496,K496), "")</f>
        <v>45286</v>
      </c>
      <c r="F496" t="s">
        <v>14</v>
      </c>
      <c r="G496">
        <v>9.9</v>
      </c>
      <c r="H496" t="str" cm="1">
        <f t="array" ref="H496">_xlfn.IFS(G496&gt;=20,"20-25", G496&gt;=15,"15-20", G496&gt;=10,"10-15", G496&gt;=5,"5-10", G496&gt;=1,"1-5", G496&lt;1,"Less than 1")</f>
        <v>5-10</v>
      </c>
      <c r="I496">
        <v>7</v>
      </c>
      <c r="J496">
        <v>4</v>
      </c>
      <c r="K496" s="6">
        <v>6</v>
      </c>
      <c r="L496" s="2">
        <v>3.99</v>
      </c>
      <c r="M496" s="6">
        <v>38</v>
      </c>
      <c r="N496" t="str" cm="1">
        <f t="array" ref="N496">_xlfn.IFS(M496&gt;=50,"50-60 Days", M496&gt;=40,"40-50 Days", M496&gt;=30, "30-40 Days", M496&gt;=20, "20-30 Days", M496&gt;=10, "10-20 Days", M496&gt;=0, "0-10 Days")</f>
        <v>30-40 Days</v>
      </c>
    </row>
    <row r="497" spans="1:14">
      <c r="A497">
        <v>496</v>
      </c>
      <c r="B497" t="s">
        <v>29</v>
      </c>
      <c r="C497" s="5">
        <v>45266</v>
      </c>
      <c r="D497" s="8">
        <v>45266</v>
      </c>
      <c r="E497" s="8" t="str">
        <f>IF(B497="Inactive", EDATE(D497,K497), "")</f>
        <v/>
      </c>
      <c r="F497" t="s">
        <v>14</v>
      </c>
      <c r="G497">
        <v>4</v>
      </c>
      <c r="H497" t="str" cm="1">
        <f t="array" ref="H497">_xlfn.IFS(G497&gt;=20,"20-25", G497&gt;=15,"15-20", G497&gt;=10,"10-15", G497&gt;=5,"5-10", G497&gt;=1,"1-5", G497&lt;1,"Less than 1")</f>
        <v>1-5</v>
      </c>
      <c r="I497">
        <v>6</v>
      </c>
      <c r="J497">
        <v>0</v>
      </c>
      <c r="K497" s="6">
        <v>9</v>
      </c>
      <c r="L497" s="2">
        <v>3.99</v>
      </c>
      <c r="M497" s="6">
        <v>25</v>
      </c>
      <c r="N497" t="str" cm="1">
        <f t="array" ref="N497">_xlfn.IFS(M497&gt;=50,"50-60 Days", M497&gt;=40,"40-50 Days", M497&gt;=30, "30-40 Days", M497&gt;=20, "20-30 Days", M497&gt;=10, "10-20 Days", M497&gt;=0, "0-10 Days")</f>
        <v>20-30 Days</v>
      </c>
    </row>
    <row r="498" spans="1:14">
      <c r="A498">
        <v>497</v>
      </c>
      <c r="B498" t="s">
        <v>28</v>
      </c>
      <c r="C498" s="5">
        <v>45272</v>
      </c>
      <c r="D498" s="8">
        <v>45272</v>
      </c>
      <c r="E498" s="8">
        <f>IF(B498="Inactive", EDATE(D498,K498), "")</f>
        <v>45455</v>
      </c>
      <c r="F498" t="s">
        <v>10</v>
      </c>
      <c r="G498">
        <v>1.7</v>
      </c>
      <c r="H498" t="str" cm="1">
        <f t="array" ref="H498">_xlfn.IFS(G498&gt;=20,"20-25", G498&gt;=15,"15-20", G498&gt;=10,"10-15", G498&gt;=5,"5-10", G498&gt;=1,"1-5", G498&lt;1,"Less than 1")</f>
        <v>1-5</v>
      </c>
      <c r="I498">
        <v>7</v>
      </c>
      <c r="J498">
        <v>2</v>
      </c>
      <c r="K498" s="6">
        <v>6</v>
      </c>
      <c r="L498" s="2">
        <v>6.99</v>
      </c>
      <c r="M498" s="6">
        <v>57</v>
      </c>
      <c r="N498" t="str" cm="1">
        <f t="array" ref="N498">_xlfn.IFS(M498&gt;=50,"50-60 Days", M498&gt;=40,"40-50 Days", M498&gt;=30, "30-40 Days", M498&gt;=20, "20-30 Days", M498&gt;=10, "10-20 Days", M498&gt;=0, "0-10 Days")</f>
        <v>50-60 Days</v>
      </c>
    </row>
    <row r="499" spans="1:14">
      <c r="A499">
        <v>498</v>
      </c>
      <c r="B499" t="s">
        <v>28</v>
      </c>
      <c r="C499" s="5">
        <v>45160</v>
      </c>
      <c r="D499" s="8">
        <v>45160</v>
      </c>
      <c r="E499" s="8">
        <f>IF(B499="Inactive", EDATE(D499,K499), "")</f>
        <v>45373</v>
      </c>
      <c r="F499" t="s">
        <v>14</v>
      </c>
      <c r="G499">
        <v>7.4</v>
      </c>
      <c r="H499" t="str" cm="1">
        <f t="array" ref="H499">_xlfn.IFS(G499&gt;=20,"20-25", G499&gt;=15,"15-20", G499&gt;=10,"10-15", G499&gt;=5,"5-10", G499&gt;=1,"1-5", G499&lt;1,"Less than 1")</f>
        <v>5-10</v>
      </c>
      <c r="I499">
        <v>7</v>
      </c>
      <c r="J499">
        <v>5</v>
      </c>
      <c r="K499" s="6">
        <v>7</v>
      </c>
      <c r="L499" s="2">
        <v>3.99</v>
      </c>
      <c r="M499" s="6">
        <v>43</v>
      </c>
      <c r="N499" t="str" cm="1">
        <f t="array" ref="N499">_xlfn.IFS(M499&gt;=50,"50-60 Days", M499&gt;=40,"40-50 Days", M499&gt;=30, "30-40 Days", M499&gt;=20, "20-30 Days", M499&gt;=10, "10-20 Days", M499&gt;=0, "0-10 Days")</f>
        <v>40-50 Days</v>
      </c>
    </row>
    <row r="500" spans="1:14">
      <c r="A500">
        <v>499</v>
      </c>
      <c r="B500" t="s">
        <v>29</v>
      </c>
      <c r="C500" s="5">
        <v>45546</v>
      </c>
      <c r="D500" s="8">
        <v>45546</v>
      </c>
      <c r="E500" s="8" t="str">
        <f>IF(B500="Inactive", EDATE(D500,K500), "")</f>
        <v/>
      </c>
      <c r="F500" t="s">
        <v>12</v>
      </c>
      <c r="G500">
        <v>24.4</v>
      </c>
      <c r="H500" t="str" cm="1">
        <f t="array" ref="H500">_xlfn.IFS(G500&gt;=20,"20-25", G500&gt;=15,"15-20", G500&gt;=10,"10-15", G500&gt;=5,"5-10", G500&gt;=1,"1-5", G500&lt;1,"Less than 1")</f>
        <v>20-25</v>
      </c>
      <c r="I500">
        <v>7</v>
      </c>
      <c r="J500">
        <v>2</v>
      </c>
      <c r="K500" s="6">
        <v>7</v>
      </c>
      <c r="L500" s="2">
        <v>1.99</v>
      </c>
      <c r="M500" s="6">
        <v>17</v>
      </c>
      <c r="N500" t="str" cm="1">
        <f t="array" ref="N500">_xlfn.IFS(M500&gt;=50,"50-60 Days", M500&gt;=40,"40-50 Days", M500&gt;=30, "30-40 Days", M500&gt;=20, "20-30 Days", M500&gt;=10, "10-20 Days", M500&gt;=0, "0-10 Days")</f>
        <v>10-20 Days</v>
      </c>
    </row>
    <row r="501" spans="1:14">
      <c r="A501">
        <v>500</v>
      </c>
      <c r="B501" t="s">
        <v>28</v>
      </c>
      <c r="C501" s="5">
        <v>45455</v>
      </c>
      <c r="D501" s="8">
        <v>45455</v>
      </c>
      <c r="E501" s="8">
        <f>IF(B501="Inactive", EDATE(D501,K501), "")</f>
        <v>45516</v>
      </c>
      <c r="F501" t="s">
        <v>10</v>
      </c>
      <c r="G501">
        <v>5.0999999999999996</v>
      </c>
      <c r="H501" t="str" cm="1">
        <f t="array" ref="H501">_xlfn.IFS(G501&gt;=20,"20-25", G501&gt;=15,"15-20", G501&gt;=10,"10-15", G501&gt;=5,"5-10", G501&gt;=1,"1-5", G501&lt;1,"Less than 1")</f>
        <v>5-10</v>
      </c>
      <c r="I501">
        <v>3</v>
      </c>
      <c r="J501">
        <v>3</v>
      </c>
      <c r="K501" s="6">
        <v>2</v>
      </c>
      <c r="L501" s="2">
        <v>6.99</v>
      </c>
      <c r="M501" s="6">
        <v>47</v>
      </c>
      <c r="N501" t="str" cm="1">
        <f t="array" ref="N501">_xlfn.IFS(M501&gt;=50,"50-60 Days", M501&gt;=40,"40-50 Days", M501&gt;=30, "30-40 Days", M501&gt;=20, "20-30 Days", M501&gt;=10, "10-20 Days", M501&gt;=0, "0-10 Days")</f>
        <v>40-50 Days</v>
      </c>
    </row>
    <row r="502" spans="1:14">
      <c r="A502">
        <v>501</v>
      </c>
      <c r="B502" t="s">
        <v>29</v>
      </c>
      <c r="C502" s="5">
        <v>45340</v>
      </c>
      <c r="D502" s="8">
        <v>45340</v>
      </c>
      <c r="E502" s="8" t="str">
        <f>IF(B502="Inactive", EDATE(D502,K502), "")</f>
        <v/>
      </c>
      <c r="F502" t="s">
        <v>14</v>
      </c>
      <c r="G502">
        <v>13.1</v>
      </c>
      <c r="H502" t="str" cm="1">
        <f t="array" ref="H502">_xlfn.IFS(G502&gt;=20,"20-25", G502&gt;=15,"15-20", G502&gt;=10,"10-15", G502&gt;=5,"5-10", G502&gt;=1,"1-5", G502&lt;1,"Less than 1")</f>
        <v>10-15</v>
      </c>
      <c r="I502">
        <v>2</v>
      </c>
      <c r="J502">
        <v>0</v>
      </c>
      <c r="K502" s="6">
        <v>2</v>
      </c>
      <c r="L502" s="2">
        <v>3.99</v>
      </c>
      <c r="M502" s="6">
        <v>19</v>
      </c>
      <c r="N502" t="str" cm="1">
        <f t="array" ref="N502">_xlfn.IFS(M502&gt;=50,"50-60 Days", M502&gt;=40,"40-50 Days", M502&gt;=30, "30-40 Days", M502&gt;=20, "20-30 Days", M502&gt;=10, "10-20 Days", M502&gt;=0, "0-10 Days")</f>
        <v>10-20 Days</v>
      </c>
    </row>
    <row r="503" spans="1:14">
      <c r="A503">
        <v>502</v>
      </c>
      <c r="B503" t="s">
        <v>29</v>
      </c>
      <c r="C503" s="5">
        <v>45132</v>
      </c>
      <c r="D503" s="8">
        <v>45132</v>
      </c>
      <c r="E503" s="8" t="str">
        <f>IF(B503="Inactive", EDATE(D503,K503), "")</f>
        <v/>
      </c>
      <c r="F503" t="s">
        <v>12</v>
      </c>
      <c r="G503">
        <v>22</v>
      </c>
      <c r="H503" t="str" cm="1">
        <f t="array" ref="H503">_xlfn.IFS(G503&gt;=20,"20-25", G503&gt;=15,"15-20", G503&gt;=10,"10-15", G503&gt;=5,"5-10", G503&gt;=1,"1-5", G503&lt;1,"Less than 1")</f>
        <v>20-25</v>
      </c>
      <c r="I503">
        <v>0</v>
      </c>
      <c r="J503">
        <v>1</v>
      </c>
      <c r="K503" s="6">
        <v>12</v>
      </c>
      <c r="L503" s="2">
        <v>1.99</v>
      </c>
      <c r="M503" s="6">
        <v>12</v>
      </c>
      <c r="N503" t="str" cm="1">
        <f t="array" ref="N503">_xlfn.IFS(M503&gt;=50,"50-60 Days", M503&gt;=40,"40-50 Days", M503&gt;=30, "30-40 Days", M503&gt;=20, "20-30 Days", M503&gt;=10, "10-20 Days", M503&gt;=0, "0-10 Days")</f>
        <v>10-20 Days</v>
      </c>
    </row>
    <row r="504" spans="1:14">
      <c r="A504">
        <v>503</v>
      </c>
      <c r="B504" t="s">
        <v>28</v>
      </c>
      <c r="C504" s="5">
        <v>45304</v>
      </c>
      <c r="D504" s="8">
        <v>45304</v>
      </c>
      <c r="E504" s="8">
        <f>IF(B504="Inactive", EDATE(D504,K504), "")</f>
        <v>45486</v>
      </c>
      <c r="F504" t="s">
        <v>12</v>
      </c>
      <c r="G504">
        <v>1.3</v>
      </c>
      <c r="H504" t="str" cm="1">
        <f t="array" ref="H504">_xlfn.IFS(G504&gt;=20,"20-25", G504&gt;=15,"15-20", G504&gt;=10,"10-15", G504&gt;=5,"5-10", G504&gt;=1,"1-5", G504&lt;1,"Less than 1")</f>
        <v>1-5</v>
      </c>
      <c r="I504">
        <v>0</v>
      </c>
      <c r="J504">
        <v>2</v>
      </c>
      <c r="K504" s="6">
        <v>6</v>
      </c>
      <c r="L504" s="2">
        <v>1.99</v>
      </c>
      <c r="M504" s="6">
        <v>45</v>
      </c>
      <c r="N504" t="str" cm="1">
        <f t="array" ref="N504">_xlfn.IFS(M504&gt;=50,"50-60 Days", M504&gt;=40,"40-50 Days", M504&gt;=30, "30-40 Days", M504&gt;=20, "20-30 Days", M504&gt;=10, "10-20 Days", M504&gt;=0, "0-10 Days")</f>
        <v>40-50 Days</v>
      </c>
    </row>
    <row r="505" spans="1:14">
      <c r="A505">
        <v>504</v>
      </c>
      <c r="B505" t="s">
        <v>28</v>
      </c>
      <c r="C505" s="5">
        <v>45427</v>
      </c>
      <c r="D505" s="8">
        <v>45427</v>
      </c>
      <c r="E505" s="8">
        <f>IF(B505="Inactive", EDATE(D505,K505), "")</f>
        <v>45762</v>
      </c>
      <c r="F505" t="s">
        <v>14</v>
      </c>
      <c r="G505">
        <v>10.199999999999999</v>
      </c>
      <c r="H505" t="str" cm="1">
        <f t="array" ref="H505">_xlfn.IFS(G505&gt;=20,"20-25", G505&gt;=15,"15-20", G505&gt;=10,"10-15", G505&gt;=5,"5-10", G505&gt;=1,"1-5", G505&lt;1,"Less than 1")</f>
        <v>10-15</v>
      </c>
      <c r="I505">
        <v>1</v>
      </c>
      <c r="J505">
        <v>5</v>
      </c>
      <c r="K505" s="6">
        <v>11</v>
      </c>
      <c r="L505" s="2">
        <v>3.99</v>
      </c>
      <c r="M505" s="6">
        <v>1</v>
      </c>
      <c r="N505" t="str" cm="1">
        <f t="array" ref="N505">_xlfn.IFS(M505&gt;=50,"50-60 Days", M505&gt;=40,"40-50 Days", M505&gt;=30, "30-40 Days", M505&gt;=20, "20-30 Days", M505&gt;=10, "10-20 Days", M505&gt;=0, "0-10 Days")</f>
        <v>0-10 Days</v>
      </c>
    </row>
    <row r="506" spans="1:14">
      <c r="A506">
        <v>505</v>
      </c>
      <c r="B506" t="s">
        <v>28</v>
      </c>
      <c r="C506" s="5">
        <v>45094</v>
      </c>
      <c r="D506" s="8">
        <v>45094</v>
      </c>
      <c r="E506" s="8">
        <f>IF(B506="Inactive", EDATE(D506,K506), "")</f>
        <v>45399</v>
      </c>
      <c r="F506" t="s">
        <v>10</v>
      </c>
      <c r="G506">
        <v>4.9000000000000004</v>
      </c>
      <c r="H506" t="str" cm="1">
        <f t="array" ref="H506">_xlfn.IFS(G506&gt;=20,"20-25", G506&gt;=15,"15-20", G506&gt;=10,"10-15", G506&gt;=5,"5-10", G506&gt;=1,"1-5", G506&lt;1,"Less than 1")</f>
        <v>1-5</v>
      </c>
      <c r="I506">
        <v>7</v>
      </c>
      <c r="J506">
        <v>4</v>
      </c>
      <c r="K506" s="6">
        <v>10</v>
      </c>
      <c r="L506" s="2">
        <v>6.99</v>
      </c>
      <c r="M506" s="6">
        <v>35</v>
      </c>
      <c r="N506" t="str" cm="1">
        <f t="array" ref="N506">_xlfn.IFS(M506&gt;=50,"50-60 Days", M506&gt;=40,"40-50 Days", M506&gt;=30, "30-40 Days", M506&gt;=20, "20-30 Days", M506&gt;=10, "10-20 Days", M506&gt;=0, "0-10 Days")</f>
        <v>30-40 Days</v>
      </c>
    </row>
    <row r="507" spans="1:14">
      <c r="A507">
        <v>506</v>
      </c>
      <c r="B507" t="s">
        <v>29</v>
      </c>
      <c r="C507" s="5">
        <v>45146</v>
      </c>
      <c r="D507" s="8">
        <v>45146</v>
      </c>
      <c r="E507" s="8" t="str">
        <f>IF(B507="Inactive", EDATE(D507,K507), "")</f>
        <v/>
      </c>
      <c r="F507" t="s">
        <v>14</v>
      </c>
      <c r="G507">
        <v>7.5</v>
      </c>
      <c r="H507" t="str" cm="1">
        <f t="array" ref="H507">_xlfn.IFS(G507&gt;=20,"20-25", G507&gt;=15,"15-20", G507&gt;=10,"10-15", G507&gt;=5,"5-10", G507&gt;=1,"1-5", G507&lt;1,"Less than 1")</f>
        <v>5-10</v>
      </c>
      <c r="I507">
        <v>6</v>
      </c>
      <c r="J507">
        <v>0</v>
      </c>
      <c r="K507" s="6">
        <v>2</v>
      </c>
      <c r="L507" s="2">
        <v>3.99</v>
      </c>
      <c r="M507" s="6">
        <v>10</v>
      </c>
      <c r="N507" t="str" cm="1">
        <f t="array" ref="N507">_xlfn.IFS(M507&gt;=50,"50-60 Days", M507&gt;=40,"40-50 Days", M507&gt;=30, "30-40 Days", M507&gt;=20, "20-30 Days", M507&gt;=10, "10-20 Days", M507&gt;=0, "0-10 Days")</f>
        <v>10-20 Days</v>
      </c>
    </row>
    <row r="508" spans="1:14">
      <c r="A508">
        <v>507</v>
      </c>
      <c r="B508" t="s">
        <v>28</v>
      </c>
      <c r="C508" s="5">
        <v>45625</v>
      </c>
      <c r="D508" s="8">
        <v>45625</v>
      </c>
      <c r="E508" s="8">
        <f>IF(B508="Inactive", EDATE(D508,K508), "")</f>
        <v>45776</v>
      </c>
      <c r="F508" t="s">
        <v>12</v>
      </c>
      <c r="G508">
        <v>17.100000000000001</v>
      </c>
      <c r="H508" t="str" cm="1">
        <f t="array" ref="H508">_xlfn.IFS(G508&gt;=20,"20-25", G508&gt;=15,"15-20", G508&gt;=10,"10-15", G508&gt;=5,"5-10", G508&gt;=1,"1-5", G508&lt;1,"Less than 1")</f>
        <v>15-20</v>
      </c>
      <c r="I508">
        <v>4</v>
      </c>
      <c r="J508">
        <v>5</v>
      </c>
      <c r="K508" s="6">
        <v>5</v>
      </c>
      <c r="L508" s="2">
        <v>1.99</v>
      </c>
      <c r="M508" s="6">
        <v>26</v>
      </c>
      <c r="N508" t="str" cm="1">
        <f t="array" ref="N508">_xlfn.IFS(M508&gt;=50,"50-60 Days", M508&gt;=40,"40-50 Days", M508&gt;=30, "30-40 Days", M508&gt;=20, "20-30 Days", M508&gt;=10, "10-20 Days", M508&gt;=0, "0-10 Days")</f>
        <v>20-30 Days</v>
      </c>
    </row>
    <row r="509" spans="1:14">
      <c r="A509">
        <v>508</v>
      </c>
      <c r="B509" t="s">
        <v>28</v>
      </c>
      <c r="C509" s="5">
        <v>45185</v>
      </c>
      <c r="D509" s="8">
        <v>45185</v>
      </c>
      <c r="E509" s="8">
        <f>IF(B509="Inactive", EDATE(D509,K509), "")</f>
        <v>45520</v>
      </c>
      <c r="F509" t="s">
        <v>12</v>
      </c>
      <c r="G509">
        <v>22.8</v>
      </c>
      <c r="H509" t="str" cm="1">
        <f t="array" ref="H509">_xlfn.IFS(G509&gt;=20,"20-25", G509&gt;=15,"15-20", G509&gt;=10,"10-15", G509&gt;=5,"5-10", G509&gt;=1,"1-5", G509&lt;1,"Less than 1")</f>
        <v>20-25</v>
      </c>
      <c r="I509">
        <v>2</v>
      </c>
      <c r="J509">
        <v>4</v>
      </c>
      <c r="K509" s="6">
        <v>11</v>
      </c>
      <c r="L509" s="2">
        <v>1.99</v>
      </c>
      <c r="M509" s="6">
        <v>51</v>
      </c>
      <c r="N509" t="str" cm="1">
        <f t="array" ref="N509">_xlfn.IFS(M509&gt;=50,"50-60 Days", M509&gt;=40,"40-50 Days", M509&gt;=30, "30-40 Days", M509&gt;=20, "20-30 Days", M509&gt;=10, "10-20 Days", M509&gt;=0, "0-10 Days")</f>
        <v>50-60 Days</v>
      </c>
    </row>
    <row r="510" spans="1:14">
      <c r="A510">
        <v>509</v>
      </c>
      <c r="B510" t="s">
        <v>28</v>
      </c>
      <c r="C510" s="5">
        <v>45284</v>
      </c>
      <c r="D510" s="8">
        <v>45284</v>
      </c>
      <c r="E510" s="8">
        <f>IF(B510="Inactive", EDATE(D510,K510), "")</f>
        <v>45497</v>
      </c>
      <c r="F510" t="s">
        <v>10</v>
      </c>
      <c r="G510">
        <v>18</v>
      </c>
      <c r="H510" t="str" cm="1">
        <f t="array" ref="H510">_xlfn.IFS(G510&gt;=20,"20-25", G510&gt;=15,"15-20", G510&gt;=10,"10-15", G510&gt;=5,"5-10", G510&gt;=1,"1-5", G510&lt;1,"Less than 1")</f>
        <v>15-20</v>
      </c>
      <c r="I510">
        <v>4</v>
      </c>
      <c r="J510">
        <v>3</v>
      </c>
      <c r="K510" s="6">
        <v>7</v>
      </c>
      <c r="L510" s="2">
        <v>6.99</v>
      </c>
      <c r="M510" s="6">
        <v>57</v>
      </c>
      <c r="N510" t="str" cm="1">
        <f t="array" ref="N510">_xlfn.IFS(M510&gt;=50,"50-60 Days", M510&gt;=40,"40-50 Days", M510&gt;=30, "30-40 Days", M510&gt;=20, "20-30 Days", M510&gt;=10, "10-20 Days", M510&gt;=0, "0-10 Days")</f>
        <v>50-60 Days</v>
      </c>
    </row>
    <row r="511" spans="1:14">
      <c r="A511">
        <v>510</v>
      </c>
      <c r="B511" t="s">
        <v>29</v>
      </c>
      <c r="C511" s="5">
        <v>45333</v>
      </c>
      <c r="D511" s="8">
        <v>45333</v>
      </c>
      <c r="E511" s="8" t="str">
        <f>IF(B511="Inactive", EDATE(D511,K511), "")</f>
        <v/>
      </c>
      <c r="F511" t="s">
        <v>14</v>
      </c>
      <c r="G511">
        <v>5.8</v>
      </c>
      <c r="H511" t="str" cm="1">
        <f t="array" ref="H511">_xlfn.IFS(G511&gt;=20,"20-25", G511&gt;=15,"15-20", G511&gt;=10,"10-15", G511&gt;=5,"5-10", G511&gt;=1,"1-5", G511&lt;1,"Less than 1")</f>
        <v>5-10</v>
      </c>
      <c r="I511">
        <v>4</v>
      </c>
      <c r="J511">
        <v>5</v>
      </c>
      <c r="K511" s="6">
        <v>6</v>
      </c>
      <c r="L511" s="2">
        <v>3.99</v>
      </c>
      <c r="M511" s="6">
        <v>33</v>
      </c>
      <c r="N511" t="str" cm="1">
        <f t="array" ref="N511">_xlfn.IFS(M511&gt;=50,"50-60 Days", M511&gt;=40,"40-50 Days", M511&gt;=30, "30-40 Days", M511&gt;=20, "20-30 Days", M511&gt;=10, "10-20 Days", M511&gt;=0, "0-10 Days")</f>
        <v>30-40 Days</v>
      </c>
    </row>
    <row r="512" spans="1:14">
      <c r="A512">
        <v>511</v>
      </c>
      <c r="B512" t="s">
        <v>28</v>
      </c>
      <c r="C512" s="5">
        <v>45216</v>
      </c>
      <c r="D512" s="8">
        <v>45216</v>
      </c>
      <c r="E512" s="8">
        <f>IF(B512="Inactive", EDATE(D512,K512), "")</f>
        <v>45308</v>
      </c>
      <c r="F512" t="s">
        <v>10</v>
      </c>
      <c r="G512">
        <v>0.7</v>
      </c>
      <c r="H512" t="str" cm="1">
        <f t="array" ref="H512">_xlfn.IFS(G512&gt;=20,"20-25", G512&gt;=15,"15-20", G512&gt;=10,"10-15", G512&gt;=5,"5-10", G512&gt;=1,"1-5", G512&lt;1,"Less than 1")</f>
        <v>Less than 1</v>
      </c>
      <c r="I512">
        <v>5</v>
      </c>
      <c r="J512">
        <v>4</v>
      </c>
      <c r="K512" s="6">
        <v>3</v>
      </c>
      <c r="L512" s="2">
        <v>6.99</v>
      </c>
      <c r="M512" s="6">
        <v>41</v>
      </c>
      <c r="N512" t="str" cm="1">
        <f t="array" ref="N512">_xlfn.IFS(M512&gt;=50,"50-60 Days", M512&gt;=40,"40-50 Days", M512&gt;=30, "30-40 Days", M512&gt;=20, "20-30 Days", M512&gt;=10, "10-20 Days", M512&gt;=0, "0-10 Days")</f>
        <v>40-50 Days</v>
      </c>
    </row>
    <row r="513" spans="1:14">
      <c r="A513">
        <v>512</v>
      </c>
      <c r="B513" t="s">
        <v>28</v>
      </c>
      <c r="C513" s="5">
        <v>45210</v>
      </c>
      <c r="D513" s="8">
        <v>45210</v>
      </c>
      <c r="E513" s="8">
        <f>IF(B513="Inactive", EDATE(D513,K513), "")</f>
        <v>45302</v>
      </c>
      <c r="F513" t="s">
        <v>14</v>
      </c>
      <c r="G513">
        <v>12.3</v>
      </c>
      <c r="H513" t="str" cm="1">
        <f t="array" ref="H513">_xlfn.IFS(G513&gt;=20,"20-25", G513&gt;=15,"15-20", G513&gt;=10,"10-15", G513&gt;=5,"5-10", G513&gt;=1,"1-5", G513&lt;1,"Less than 1")</f>
        <v>10-15</v>
      </c>
      <c r="I513">
        <v>5</v>
      </c>
      <c r="J513">
        <v>2</v>
      </c>
      <c r="K513" s="6">
        <v>3</v>
      </c>
      <c r="L513" s="2">
        <v>3.99</v>
      </c>
      <c r="M513" s="6">
        <v>40</v>
      </c>
      <c r="N513" t="str" cm="1">
        <f t="array" ref="N513">_xlfn.IFS(M513&gt;=50,"50-60 Days", M513&gt;=40,"40-50 Days", M513&gt;=30, "30-40 Days", M513&gt;=20, "20-30 Days", M513&gt;=10, "10-20 Days", M513&gt;=0, "0-10 Days")</f>
        <v>40-50 Days</v>
      </c>
    </row>
    <row r="514" spans="1:14">
      <c r="A514">
        <v>513</v>
      </c>
      <c r="B514" t="s">
        <v>28</v>
      </c>
      <c r="C514" s="5">
        <v>45541</v>
      </c>
      <c r="D514" s="8">
        <v>45541</v>
      </c>
      <c r="E514" s="8">
        <f>IF(B514="Inactive", EDATE(D514,K514), "")</f>
        <v>45753</v>
      </c>
      <c r="F514" t="s">
        <v>14</v>
      </c>
      <c r="G514">
        <v>5.0999999999999996</v>
      </c>
      <c r="H514" t="str" cm="1">
        <f t="array" ref="H514">_xlfn.IFS(G514&gt;=20,"20-25", G514&gt;=15,"15-20", G514&gt;=10,"10-15", G514&gt;=5,"5-10", G514&gt;=1,"1-5", G514&lt;1,"Less than 1")</f>
        <v>5-10</v>
      </c>
      <c r="I514">
        <v>8</v>
      </c>
      <c r="J514">
        <v>1</v>
      </c>
      <c r="K514" s="6">
        <v>7</v>
      </c>
      <c r="L514" s="2">
        <v>3.99</v>
      </c>
      <c r="M514" s="6">
        <v>57</v>
      </c>
      <c r="N514" t="str" cm="1">
        <f t="array" ref="N514">_xlfn.IFS(M514&gt;=50,"50-60 Days", M514&gt;=40,"40-50 Days", M514&gt;=30, "30-40 Days", M514&gt;=20, "20-30 Days", M514&gt;=10, "10-20 Days", M514&gt;=0, "0-10 Days")</f>
        <v>50-60 Days</v>
      </c>
    </row>
    <row r="515" spans="1:14">
      <c r="A515">
        <v>514</v>
      </c>
      <c r="B515" t="s">
        <v>29</v>
      </c>
      <c r="C515" s="5">
        <v>45192</v>
      </c>
      <c r="D515" s="8">
        <v>45192</v>
      </c>
      <c r="E515" s="8" t="str">
        <f>IF(B515="Inactive", EDATE(D515,K515), "")</f>
        <v/>
      </c>
      <c r="F515" t="s">
        <v>14</v>
      </c>
      <c r="G515">
        <v>17.2</v>
      </c>
      <c r="H515" t="str" cm="1">
        <f t="array" ref="H515">_xlfn.IFS(G515&gt;=20,"20-25", G515&gt;=15,"15-20", G515&gt;=10,"10-15", G515&gt;=5,"5-10", G515&gt;=1,"1-5", G515&lt;1,"Less than 1")</f>
        <v>15-20</v>
      </c>
      <c r="I515">
        <v>0</v>
      </c>
      <c r="J515">
        <v>5</v>
      </c>
      <c r="K515" s="6">
        <v>7</v>
      </c>
      <c r="L515" s="2">
        <v>3.99</v>
      </c>
      <c r="M515" s="6">
        <v>31</v>
      </c>
      <c r="N515" t="str" cm="1">
        <f t="array" ref="N515">_xlfn.IFS(M515&gt;=50,"50-60 Days", M515&gt;=40,"40-50 Days", M515&gt;=30, "30-40 Days", M515&gt;=20, "20-30 Days", M515&gt;=10, "10-20 Days", M515&gt;=0, "0-10 Days")</f>
        <v>30-40 Days</v>
      </c>
    </row>
    <row r="516" spans="1:14">
      <c r="A516">
        <v>515</v>
      </c>
      <c r="B516" t="s">
        <v>29</v>
      </c>
      <c r="C516" s="5">
        <v>45121</v>
      </c>
      <c r="D516" s="8">
        <v>45121</v>
      </c>
      <c r="E516" s="8" t="str">
        <f>IF(B516="Inactive", EDATE(D516,K516), "")</f>
        <v/>
      </c>
      <c r="F516" t="s">
        <v>14</v>
      </c>
      <c r="G516">
        <v>10</v>
      </c>
      <c r="H516" t="str" cm="1">
        <f t="array" ref="H516">_xlfn.IFS(G516&gt;=20,"20-25", G516&gt;=15,"15-20", G516&gt;=10,"10-15", G516&gt;=5,"5-10", G516&gt;=1,"1-5", G516&lt;1,"Less than 1")</f>
        <v>10-15</v>
      </c>
      <c r="I516">
        <v>0</v>
      </c>
      <c r="J516">
        <v>4</v>
      </c>
      <c r="K516" s="6">
        <v>9</v>
      </c>
      <c r="L516" s="2">
        <v>3.99</v>
      </c>
      <c r="M516" s="6">
        <v>45</v>
      </c>
      <c r="N516" t="str" cm="1">
        <f t="array" ref="N516">_xlfn.IFS(M516&gt;=50,"50-60 Days", M516&gt;=40,"40-50 Days", M516&gt;=30, "30-40 Days", M516&gt;=20, "20-30 Days", M516&gt;=10, "10-20 Days", M516&gt;=0, "0-10 Days")</f>
        <v>40-50 Days</v>
      </c>
    </row>
    <row r="517" spans="1:14">
      <c r="A517">
        <v>516</v>
      </c>
      <c r="B517" t="s">
        <v>28</v>
      </c>
      <c r="C517" s="5">
        <v>45101</v>
      </c>
      <c r="D517" s="8">
        <v>45101</v>
      </c>
      <c r="E517" s="8">
        <f>IF(B517="Inactive", EDATE(D517,K517), "")</f>
        <v>45254</v>
      </c>
      <c r="F517" t="s">
        <v>14</v>
      </c>
      <c r="G517">
        <v>17.3</v>
      </c>
      <c r="H517" t="str" cm="1">
        <f t="array" ref="H517">_xlfn.IFS(G517&gt;=20,"20-25", G517&gt;=15,"15-20", G517&gt;=10,"10-15", G517&gt;=5,"5-10", G517&gt;=1,"1-5", G517&lt;1,"Less than 1")</f>
        <v>15-20</v>
      </c>
      <c r="I517">
        <v>7</v>
      </c>
      <c r="J517">
        <v>5</v>
      </c>
      <c r="K517" s="6">
        <v>5</v>
      </c>
      <c r="L517" s="2">
        <v>3.99</v>
      </c>
      <c r="M517" s="6">
        <v>22</v>
      </c>
      <c r="N517" t="str" cm="1">
        <f t="array" ref="N517">_xlfn.IFS(M517&gt;=50,"50-60 Days", M517&gt;=40,"40-50 Days", M517&gt;=30, "30-40 Days", M517&gt;=20, "20-30 Days", M517&gt;=10, "10-20 Days", M517&gt;=0, "0-10 Days")</f>
        <v>20-30 Days</v>
      </c>
    </row>
    <row r="518" spans="1:14">
      <c r="A518">
        <v>517</v>
      </c>
      <c r="B518" t="s">
        <v>29</v>
      </c>
      <c r="C518" s="5">
        <v>45499</v>
      </c>
      <c r="D518" s="8">
        <v>45499</v>
      </c>
      <c r="E518" s="8" t="str">
        <f>IF(B518="Inactive", EDATE(D518,K518), "")</f>
        <v/>
      </c>
      <c r="F518" t="s">
        <v>10</v>
      </c>
      <c r="G518">
        <v>4.9000000000000004</v>
      </c>
      <c r="H518" t="str" cm="1">
        <f t="array" ref="H518">_xlfn.IFS(G518&gt;=20,"20-25", G518&gt;=15,"15-20", G518&gt;=10,"10-15", G518&gt;=5,"5-10", G518&gt;=1,"1-5", G518&lt;1,"Less than 1")</f>
        <v>1-5</v>
      </c>
      <c r="I518">
        <v>1</v>
      </c>
      <c r="J518">
        <v>3</v>
      </c>
      <c r="K518" s="6">
        <v>12</v>
      </c>
      <c r="L518" s="2">
        <v>6.99</v>
      </c>
      <c r="M518" s="6">
        <v>8</v>
      </c>
      <c r="N518" t="str" cm="1">
        <f t="array" ref="N518">_xlfn.IFS(M518&gt;=50,"50-60 Days", M518&gt;=40,"40-50 Days", M518&gt;=30, "30-40 Days", M518&gt;=20, "20-30 Days", M518&gt;=10, "10-20 Days", M518&gt;=0, "0-10 Days")</f>
        <v>0-10 Days</v>
      </c>
    </row>
    <row r="519" spans="1:14">
      <c r="A519">
        <v>518</v>
      </c>
      <c r="B519" t="s">
        <v>29</v>
      </c>
      <c r="C519" s="5">
        <v>45241</v>
      </c>
      <c r="D519" s="8">
        <v>45241</v>
      </c>
      <c r="E519" s="8" t="str">
        <f>IF(B519="Inactive", EDATE(D519,K519), "")</f>
        <v/>
      </c>
      <c r="F519" t="s">
        <v>12</v>
      </c>
      <c r="G519">
        <v>16.5</v>
      </c>
      <c r="H519" t="str" cm="1">
        <f t="array" ref="H519">_xlfn.IFS(G519&gt;=20,"20-25", G519&gt;=15,"15-20", G519&gt;=10,"10-15", G519&gt;=5,"5-10", G519&gt;=1,"1-5", G519&lt;1,"Less than 1")</f>
        <v>15-20</v>
      </c>
      <c r="I519">
        <v>3</v>
      </c>
      <c r="J519">
        <v>2</v>
      </c>
      <c r="K519" s="6">
        <v>8</v>
      </c>
      <c r="L519" s="2">
        <v>1.99</v>
      </c>
      <c r="M519" s="6">
        <v>14</v>
      </c>
      <c r="N519" t="str" cm="1">
        <f t="array" ref="N519">_xlfn.IFS(M519&gt;=50,"50-60 Days", M519&gt;=40,"40-50 Days", M519&gt;=30, "30-40 Days", M519&gt;=20, "20-30 Days", M519&gt;=10, "10-20 Days", M519&gt;=0, "0-10 Days")</f>
        <v>10-20 Days</v>
      </c>
    </row>
    <row r="520" spans="1:14">
      <c r="A520">
        <v>519</v>
      </c>
      <c r="B520" t="s">
        <v>28</v>
      </c>
      <c r="C520" s="5">
        <v>44981</v>
      </c>
      <c r="D520" s="8">
        <v>44981</v>
      </c>
      <c r="E520" s="8">
        <f>IF(B520="Inactive", EDATE(D520,K520), "")</f>
        <v>45223</v>
      </c>
      <c r="F520" t="s">
        <v>14</v>
      </c>
      <c r="G520">
        <v>9.6</v>
      </c>
      <c r="H520" t="str" cm="1">
        <f t="array" ref="H520">_xlfn.IFS(G520&gt;=20,"20-25", G520&gt;=15,"15-20", G520&gt;=10,"10-15", G520&gt;=5,"5-10", G520&gt;=1,"1-5", G520&lt;1,"Less than 1")</f>
        <v>5-10</v>
      </c>
      <c r="I520">
        <v>4</v>
      </c>
      <c r="J520">
        <v>3</v>
      </c>
      <c r="K520" s="6">
        <v>8</v>
      </c>
      <c r="L520" s="2">
        <v>3.99</v>
      </c>
      <c r="M520" s="6">
        <v>54</v>
      </c>
      <c r="N520" t="str" cm="1">
        <f t="array" ref="N520">_xlfn.IFS(M520&gt;=50,"50-60 Days", M520&gt;=40,"40-50 Days", M520&gt;=30, "30-40 Days", M520&gt;=20, "20-30 Days", M520&gt;=10, "10-20 Days", M520&gt;=0, "0-10 Days")</f>
        <v>50-60 Days</v>
      </c>
    </row>
    <row r="521" spans="1:14">
      <c r="A521">
        <v>520</v>
      </c>
      <c r="B521" t="s">
        <v>29</v>
      </c>
      <c r="C521" s="5">
        <v>45317</v>
      </c>
      <c r="D521" s="8">
        <v>45317</v>
      </c>
      <c r="E521" s="8" t="str">
        <f>IF(B521="Inactive", EDATE(D521,K521), "")</f>
        <v/>
      </c>
      <c r="F521" t="s">
        <v>10</v>
      </c>
      <c r="G521">
        <v>12.1</v>
      </c>
      <c r="H521" t="str" cm="1">
        <f t="array" ref="H521">_xlfn.IFS(G521&gt;=20,"20-25", G521&gt;=15,"15-20", G521&gt;=10,"10-15", G521&gt;=5,"5-10", G521&gt;=1,"1-5", G521&lt;1,"Less than 1")</f>
        <v>10-15</v>
      </c>
      <c r="I521">
        <v>3</v>
      </c>
      <c r="J521">
        <v>4</v>
      </c>
      <c r="K521" s="6">
        <v>2</v>
      </c>
      <c r="L521" s="2">
        <v>6.99</v>
      </c>
      <c r="M521" s="6">
        <v>7</v>
      </c>
      <c r="N521" t="str" cm="1">
        <f t="array" ref="N521">_xlfn.IFS(M521&gt;=50,"50-60 Days", M521&gt;=40,"40-50 Days", M521&gt;=30, "30-40 Days", M521&gt;=20, "20-30 Days", M521&gt;=10, "10-20 Days", M521&gt;=0, "0-10 Days")</f>
        <v>0-10 Days</v>
      </c>
    </row>
    <row r="522" spans="1:14">
      <c r="A522">
        <v>521</v>
      </c>
      <c r="B522" t="s">
        <v>29</v>
      </c>
      <c r="C522" s="5">
        <v>45510</v>
      </c>
      <c r="D522" s="8">
        <v>45510</v>
      </c>
      <c r="E522" s="8" t="str">
        <f>IF(B522="Inactive", EDATE(D522,K522), "")</f>
        <v/>
      </c>
      <c r="F522" t="s">
        <v>10</v>
      </c>
      <c r="G522">
        <v>10.6</v>
      </c>
      <c r="H522" t="str" cm="1">
        <f t="array" ref="H522">_xlfn.IFS(G522&gt;=20,"20-25", G522&gt;=15,"15-20", G522&gt;=10,"10-15", G522&gt;=5,"5-10", G522&gt;=1,"1-5", G522&lt;1,"Less than 1")</f>
        <v>10-15</v>
      </c>
      <c r="I522">
        <v>2</v>
      </c>
      <c r="J522">
        <v>1</v>
      </c>
      <c r="K522" s="6">
        <v>7</v>
      </c>
      <c r="L522" s="2">
        <v>6.99</v>
      </c>
      <c r="M522" s="6">
        <v>12</v>
      </c>
      <c r="N522" t="str" cm="1">
        <f t="array" ref="N522">_xlfn.IFS(M522&gt;=50,"50-60 Days", M522&gt;=40,"40-50 Days", M522&gt;=30, "30-40 Days", M522&gt;=20, "20-30 Days", M522&gt;=10, "10-20 Days", M522&gt;=0, "0-10 Days")</f>
        <v>10-20 Days</v>
      </c>
    </row>
    <row r="523" spans="1:14">
      <c r="A523">
        <v>522</v>
      </c>
      <c r="B523" t="s">
        <v>28</v>
      </c>
      <c r="C523" s="5">
        <v>45108</v>
      </c>
      <c r="D523" s="8">
        <v>45108</v>
      </c>
      <c r="E523" s="8">
        <f>IF(B523="Inactive", EDATE(D523,K523), "")</f>
        <v>45231</v>
      </c>
      <c r="F523" t="s">
        <v>14</v>
      </c>
      <c r="G523">
        <v>8.3000000000000007</v>
      </c>
      <c r="H523" t="str" cm="1">
        <f t="array" ref="H523">_xlfn.IFS(G523&gt;=20,"20-25", G523&gt;=15,"15-20", G523&gt;=10,"10-15", G523&gt;=5,"5-10", G523&gt;=1,"1-5", G523&lt;1,"Less than 1")</f>
        <v>5-10</v>
      </c>
      <c r="I523">
        <v>2</v>
      </c>
      <c r="J523">
        <v>0</v>
      </c>
      <c r="K523" s="6">
        <v>4</v>
      </c>
      <c r="L523" s="2">
        <v>3.99</v>
      </c>
      <c r="M523" s="6">
        <v>31</v>
      </c>
      <c r="N523" t="str" cm="1">
        <f t="array" ref="N523">_xlfn.IFS(M523&gt;=50,"50-60 Days", M523&gt;=40,"40-50 Days", M523&gt;=30, "30-40 Days", M523&gt;=20, "20-30 Days", M523&gt;=10, "10-20 Days", M523&gt;=0, "0-10 Days")</f>
        <v>30-40 Days</v>
      </c>
    </row>
    <row r="524" spans="1:14">
      <c r="A524">
        <v>523</v>
      </c>
      <c r="B524" t="s">
        <v>29</v>
      </c>
      <c r="C524" s="5">
        <v>45517</v>
      </c>
      <c r="D524" s="8">
        <v>45517</v>
      </c>
      <c r="E524" s="8" t="str">
        <f>IF(B524="Inactive", EDATE(D524,K524), "")</f>
        <v/>
      </c>
      <c r="F524" t="s">
        <v>14</v>
      </c>
      <c r="G524">
        <v>0.6</v>
      </c>
      <c r="H524" t="str" cm="1">
        <f t="array" ref="H524">_xlfn.IFS(G524&gt;=20,"20-25", G524&gt;=15,"15-20", G524&gt;=10,"10-15", G524&gt;=5,"5-10", G524&gt;=1,"1-5", G524&lt;1,"Less than 1")</f>
        <v>Less than 1</v>
      </c>
      <c r="I524">
        <v>4</v>
      </c>
      <c r="J524">
        <v>1</v>
      </c>
      <c r="K524" s="6">
        <v>2</v>
      </c>
      <c r="L524" s="2">
        <v>3.99</v>
      </c>
      <c r="M524" s="6">
        <v>48</v>
      </c>
      <c r="N524" t="str" cm="1">
        <f t="array" ref="N524">_xlfn.IFS(M524&gt;=50,"50-60 Days", M524&gt;=40,"40-50 Days", M524&gt;=30, "30-40 Days", M524&gt;=20, "20-30 Days", M524&gt;=10, "10-20 Days", M524&gt;=0, "0-10 Days")</f>
        <v>40-50 Days</v>
      </c>
    </row>
    <row r="525" spans="1:14">
      <c r="A525">
        <v>524</v>
      </c>
      <c r="B525" t="s">
        <v>29</v>
      </c>
      <c r="C525" s="5">
        <v>45366</v>
      </c>
      <c r="D525" s="8">
        <v>45366</v>
      </c>
      <c r="E525" s="8" t="str">
        <f>IF(B525="Inactive", EDATE(D525,K525), "")</f>
        <v/>
      </c>
      <c r="F525" t="s">
        <v>12</v>
      </c>
      <c r="G525">
        <v>19.7</v>
      </c>
      <c r="H525" t="str" cm="1">
        <f t="array" ref="H525">_xlfn.IFS(G525&gt;=20,"20-25", G525&gt;=15,"15-20", G525&gt;=10,"10-15", G525&gt;=5,"5-10", G525&gt;=1,"1-5", G525&lt;1,"Less than 1")</f>
        <v>15-20</v>
      </c>
      <c r="I525">
        <v>1</v>
      </c>
      <c r="J525">
        <v>1</v>
      </c>
      <c r="K525" s="6">
        <v>11</v>
      </c>
      <c r="L525" s="2">
        <v>1.99</v>
      </c>
      <c r="M525" s="6">
        <v>39</v>
      </c>
      <c r="N525" t="str" cm="1">
        <f t="array" ref="N525">_xlfn.IFS(M525&gt;=50,"50-60 Days", M525&gt;=40,"40-50 Days", M525&gt;=30, "30-40 Days", M525&gt;=20, "20-30 Days", M525&gt;=10, "10-20 Days", M525&gt;=0, "0-10 Days")</f>
        <v>30-40 Days</v>
      </c>
    </row>
    <row r="526" spans="1:14">
      <c r="A526">
        <v>525</v>
      </c>
      <c r="B526" t="s">
        <v>29</v>
      </c>
      <c r="C526" s="5">
        <v>45309</v>
      </c>
      <c r="D526" s="8">
        <v>45309</v>
      </c>
      <c r="E526" s="8" t="str">
        <f>IF(B526="Inactive", EDATE(D526,K526), "")</f>
        <v/>
      </c>
      <c r="F526" t="s">
        <v>14</v>
      </c>
      <c r="G526">
        <v>24.2</v>
      </c>
      <c r="H526" t="str" cm="1">
        <f t="array" ref="H526">_xlfn.IFS(G526&gt;=20,"20-25", G526&gt;=15,"15-20", G526&gt;=10,"10-15", G526&gt;=5,"5-10", G526&gt;=1,"1-5", G526&lt;1,"Less than 1")</f>
        <v>20-25</v>
      </c>
      <c r="I526">
        <v>6</v>
      </c>
      <c r="J526">
        <v>0</v>
      </c>
      <c r="K526" s="6">
        <v>10</v>
      </c>
      <c r="L526" s="2">
        <v>3.99</v>
      </c>
      <c r="M526" s="6">
        <v>2</v>
      </c>
      <c r="N526" t="str" cm="1">
        <f t="array" ref="N526">_xlfn.IFS(M526&gt;=50,"50-60 Days", M526&gt;=40,"40-50 Days", M526&gt;=30, "30-40 Days", M526&gt;=20, "20-30 Days", M526&gt;=10, "10-20 Days", M526&gt;=0, "0-10 Days")</f>
        <v>0-10 Days</v>
      </c>
    </row>
    <row r="527" spans="1:14">
      <c r="A527">
        <v>526</v>
      </c>
      <c r="B527" t="s">
        <v>29</v>
      </c>
      <c r="C527" s="5">
        <v>45568</v>
      </c>
      <c r="D527" s="8">
        <v>45568</v>
      </c>
      <c r="E527" s="8" t="str">
        <f>IF(B527="Inactive", EDATE(D527,K527), "")</f>
        <v/>
      </c>
      <c r="F527" t="s">
        <v>12</v>
      </c>
      <c r="G527">
        <v>19</v>
      </c>
      <c r="H527" t="str" cm="1">
        <f t="array" ref="H527">_xlfn.IFS(G527&gt;=20,"20-25", G527&gt;=15,"15-20", G527&gt;=10,"10-15", G527&gt;=5,"5-10", G527&gt;=1,"1-5", G527&lt;1,"Less than 1")</f>
        <v>15-20</v>
      </c>
      <c r="I527">
        <v>8</v>
      </c>
      <c r="J527">
        <v>1</v>
      </c>
      <c r="K527" s="6">
        <v>7</v>
      </c>
      <c r="L527" s="2">
        <v>1.99</v>
      </c>
      <c r="M527" s="6">
        <v>1</v>
      </c>
      <c r="N527" t="str" cm="1">
        <f t="array" ref="N527">_xlfn.IFS(M527&gt;=50,"50-60 Days", M527&gt;=40,"40-50 Days", M527&gt;=30, "30-40 Days", M527&gt;=20, "20-30 Days", M527&gt;=10, "10-20 Days", M527&gt;=0, "0-10 Days")</f>
        <v>0-10 Days</v>
      </c>
    </row>
    <row r="528" spans="1:14">
      <c r="A528">
        <v>527</v>
      </c>
      <c r="B528" t="s">
        <v>28</v>
      </c>
      <c r="C528" s="5">
        <v>45442</v>
      </c>
      <c r="D528" s="8">
        <v>45442</v>
      </c>
      <c r="E528" s="8">
        <f>IF(B528="Inactive", EDATE(D528,K528), "")</f>
        <v>45626</v>
      </c>
      <c r="F528" t="s">
        <v>10</v>
      </c>
      <c r="G528">
        <v>6</v>
      </c>
      <c r="H528" t="str" cm="1">
        <f t="array" ref="H528">_xlfn.IFS(G528&gt;=20,"20-25", G528&gt;=15,"15-20", G528&gt;=10,"10-15", G528&gt;=5,"5-10", G528&gt;=1,"1-5", G528&lt;1,"Less than 1")</f>
        <v>5-10</v>
      </c>
      <c r="I528">
        <v>5</v>
      </c>
      <c r="J528">
        <v>2</v>
      </c>
      <c r="K528" s="6">
        <v>6</v>
      </c>
      <c r="L528" s="2">
        <v>6.99</v>
      </c>
      <c r="M528" s="6">
        <v>8</v>
      </c>
      <c r="N528" t="str" cm="1">
        <f t="array" ref="N528">_xlfn.IFS(M528&gt;=50,"50-60 Days", M528&gt;=40,"40-50 Days", M528&gt;=30, "30-40 Days", M528&gt;=20, "20-30 Days", M528&gt;=10, "10-20 Days", M528&gt;=0, "0-10 Days")</f>
        <v>0-10 Days</v>
      </c>
    </row>
    <row r="529" spans="1:14">
      <c r="A529">
        <v>528</v>
      </c>
      <c r="B529" t="s">
        <v>28</v>
      </c>
      <c r="C529" s="5">
        <v>45459</v>
      </c>
      <c r="D529" s="8">
        <v>45459</v>
      </c>
      <c r="E529" s="8">
        <f>IF(B529="Inactive", EDATE(D529,K529), "")</f>
        <v>45673</v>
      </c>
      <c r="F529" t="s">
        <v>10</v>
      </c>
      <c r="G529">
        <v>4.5999999999999996</v>
      </c>
      <c r="H529" t="str" cm="1">
        <f t="array" ref="H529">_xlfn.IFS(G529&gt;=20,"20-25", G529&gt;=15,"15-20", G529&gt;=10,"10-15", G529&gt;=5,"5-10", G529&gt;=1,"1-5", G529&lt;1,"Less than 1")</f>
        <v>1-5</v>
      </c>
      <c r="I529">
        <v>0</v>
      </c>
      <c r="J529">
        <v>2</v>
      </c>
      <c r="K529" s="6">
        <v>7</v>
      </c>
      <c r="L529" s="2">
        <v>6.99</v>
      </c>
      <c r="M529" s="6">
        <v>60</v>
      </c>
      <c r="N529" t="str" cm="1">
        <f t="array" ref="N529">_xlfn.IFS(M529&gt;=50,"50-60 Days", M529&gt;=40,"40-50 Days", M529&gt;=30, "30-40 Days", M529&gt;=20, "20-30 Days", M529&gt;=10, "10-20 Days", M529&gt;=0, "0-10 Days")</f>
        <v>50-60 Days</v>
      </c>
    </row>
    <row r="530" spans="1:14">
      <c r="A530">
        <v>529</v>
      </c>
      <c r="B530" t="s">
        <v>28</v>
      </c>
      <c r="C530" s="5">
        <v>45119</v>
      </c>
      <c r="D530" s="8">
        <v>45119</v>
      </c>
      <c r="E530" s="8">
        <f>IF(B530="Inactive", EDATE(D530,K530), "")</f>
        <v>45485</v>
      </c>
      <c r="F530" t="s">
        <v>10</v>
      </c>
      <c r="G530">
        <v>8.8000000000000007</v>
      </c>
      <c r="H530" t="str" cm="1">
        <f t="array" ref="H530">_xlfn.IFS(G530&gt;=20,"20-25", G530&gt;=15,"15-20", G530&gt;=10,"10-15", G530&gt;=5,"5-10", G530&gt;=1,"1-5", G530&lt;1,"Less than 1")</f>
        <v>5-10</v>
      </c>
      <c r="I530">
        <v>2</v>
      </c>
      <c r="J530">
        <v>2</v>
      </c>
      <c r="K530" s="6">
        <v>12</v>
      </c>
      <c r="L530" s="2">
        <v>6.99</v>
      </c>
      <c r="M530" s="6">
        <v>57</v>
      </c>
      <c r="N530" t="str" cm="1">
        <f t="array" ref="N530">_xlfn.IFS(M530&gt;=50,"50-60 Days", M530&gt;=40,"40-50 Days", M530&gt;=30, "30-40 Days", M530&gt;=20, "20-30 Days", M530&gt;=10, "10-20 Days", M530&gt;=0, "0-10 Days")</f>
        <v>50-60 Days</v>
      </c>
    </row>
    <row r="531" spans="1:14">
      <c r="A531">
        <v>530</v>
      </c>
      <c r="B531" t="s">
        <v>28</v>
      </c>
      <c r="C531" s="5">
        <v>44949</v>
      </c>
      <c r="D531" s="8">
        <v>44949</v>
      </c>
      <c r="E531" s="8">
        <f>IF(B531="Inactive", EDATE(D531,K531), "")</f>
        <v>45222</v>
      </c>
      <c r="F531" t="s">
        <v>12</v>
      </c>
      <c r="G531">
        <v>1</v>
      </c>
      <c r="H531" t="str" cm="1">
        <f t="array" ref="H531">_xlfn.IFS(G531&gt;=20,"20-25", G531&gt;=15,"15-20", G531&gt;=10,"10-15", G531&gt;=5,"5-10", G531&gt;=1,"1-5", G531&lt;1,"Less than 1")</f>
        <v>1-5</v>
      </c>
      <c r="I531">
        <v>3</v>
      </c>
      <c r="J531">
        <v>5</v>
      </c>
      <c r="K531" s="6">
        <v>9</v>
      </c>
      <c r="L531" s="2">
        <v>1.99</v>
      </c>
      <c r="M531" s="6">
        <v>8</v>
      </c>
      <c r="N531" t="str" cm="1">
        <f t="array" ref="N531">_xlfn.IFS(M531&gt;=50,"50-60 Days", M531&gt;=40,"40-50 Days", M531&gt;=30, "30-40 Days", M531&gt;=20, "20-30 Days", M531&gt;=10, "10-20 Days", M531&gt;=0, "0-10 Days")</f>
        <v>0-10 Days</v>
      </c>
    </row>
    <row r="532" spans="1:14">
      <c r="A532">
        <v>531</v>
      </c>
      <c r="B532" t="s">
        <v>28</v>
      </c>
      <c r="C532" s="5">
        <v>45311</v>
      </c>
      <c r="D532" s="8">
        <v>45311</v>
      </c>
      <c r="E532" s="8">
        <f>IF(B532="Inactive", EDATE(D532,K532), "")</f>
        <v>45646</v>
      </c>
      <c r="F532" t="s">
        <v>10</v>
      </c>
      <c r="G532">
        <v>4.5999999999999996</v>
      </c>
      <c r="H532" t="str" cm="1">
        <f t="array" ref="H532">_xlfn.IFS(G532&gt;=20,"20-25", G532&gt;=15,"15-20", G532&gt;=10,"10-15", G532&gt;=5,"5-10", G532&gt;=1,"1-5", G532&lt;1,"Less than 1")</f>
        <v>1-5</v>
      </c>
      <c r="I532">
        <v>5</v>
      </c>
      <c r="J532">
        <v>5</v>
      </c>
      <c r="K532" s="6">
        <v>11</v>
      </c>
      <c r="L532" s="2">
        <v>6.99</v>
      </c>
      <c r="M532" s="6">
        <v>41</v>
      </c>
      <c r="N532" t="str" cm="1">
        <f t="array" ref="N532">_xlfn.IFS(M532&gt;=50,"50-60 Days", M532&gt;=40,"40-50 Days", M532&gt;=30, "30-40 Days", M532&gt;=20, "20-30 Days", M532&gt;=10, "10-20 Days", M532&gt;=0, "0-10 Days")</f>
        <v>40-50 Days</v>
      </c>
    </row>
    <row r="533" spans="1:14">
      <c r="A533">
        <v>532</v>
      </c>
      <c r="B533" t="s">
        <v>29</v>
      </c>
      <c r="C533" s="5">
        <v>45596</v>
      </c>
      <c r="D533" s="8">
        <v>45596</v>
      </c>
      <c r="E533" s="8" t="str">
        <f>IF(B533="Inactive", EDATE(D533,K533), "")</f>
        <v/>
      </c>
      <c r="F533" t="s">
        <v>10</v>
      </c>
      <c r="G533">
        <v>19.399999999999999</v>
      </c>
      <c r="H533" t="str" cm="1">
        <f t="array" ref="H533">_xlfn.IFS(G533&gt;=20,"20-25", G533&gt;=15,"15-20", G533&gt;=10,"10-15", G533&gt;=5,"5-10", G533&gt;=1,"1-5", G533&lt;1,"Less than 1")</f>
        <v>15-20</v>
      </c>
      <c r="I533">
        <v>0</v>
      </c>
      <c r="J533">
        <v>4</v>
      </c>
      <c r="K533" s="6">
        <v>6</v>
      </c>
      <c r="L533" s="2">
        <v>6.99</v>
      </c>
      <c r="M533" s="6">
        <v>3</v>
      </c>
      <c r="N533" t="str" cm="1">
        <f t="array" ref="N533">_xlfn.IFS(M533&gt;=50,"50-60 Days", M533&gt;=40,"40-50 Days", M533&gt;=30, "30-40 Days", M533&gt;=20, "20-30 Days", M533&gt;=10, "10-20 Days", M533&gt;=0, "0-10 Days")</f>
        <v>0-10 Days</v>
      </c>
    </row>
    <row r="534" spans="1:14">
      <c r="A534">
        <v>533</v>
      </c>
      <c r="B534" t="s">
        <v>28</v>
      </c>
      <c r="C534" s="5">
        <v>45185</v>
      </c>
      <c r="D534" s="8">
        <v>45185</v>
      </c>
      <c r="E534" s="8">
        <f>IF(B534="Inactive", EDATE(D534,K534), "")</f>
        <v>45246</v>
      </c>
      <c r="F534" t="s">
        <v>12</v>
      </c>
      <c r="G534">
        <v>17.399999999999999</v>
      </c>
      <c r="H534" t="str" cm="1">
        <f t="array" ref="H534">_xlfn.IFS(G534&gt;=20,"20-25", G534&gt;=15,"15-20", G534&gt;=10,"10-15", G534&gt;=5,"5-10", G534&gt;=1,"1-5", G534&lt;1,"Less than 1")</f>
        <v>15-20</v>
      </c>
      <c r="I534">
        <v>6</v>
      </c>
      <c r="J534">
        <v>3</v>
      </c>
      <c r="K534" s="6">
        <v>2</v>
      </c>
      <c r="L534" s="2">
        <v>1.99</v>
      </c>
      <c r="M534" s="6">
        <v>24</v>
      </c>
      <c r="N534" t="str" cm="1">
        <f t="array" ref="N534">_xlfn.IFS(M534&gt;=50,"50-60 Days", M534&gt;=40,"40-50 Days", M534&gt;=30, "30-40 Days", M534&gt;=20, "20-30 Days", M534&gt;=10, "10-20 Days", M534&gt;=0, "0-10 Days")</f>
        <v>20-30 Days</v>
      </c>
    </row>
    <row r="535" spans="1:14">
      <c r="A535">
        <v>534</v>
      </c>
      <c r="B535" t="s">
        <v>29</v>
      </c>
      <c r="C535" s="5">
        <v>45605</v>
      </c>
      <c r="D535" s="8">
        <v>45605</v>
      </c>
      <c r="E535" s="8" t="str">
        <f>IF(B535="Inactive", EDATE(D535,K535), "")</f>
        <v/>
      </c>
      <c r="F535" t="s">
        <v>14</v>
      </c>
      <c r="G535">
        <v>5.5</v>
      </c>
      <c r="H535" t="str" cm="1">
        <f t="array" ref="H535">_xlfn.IFS(G535&gt;=20,"20-25", G535&gt;=15,"15-20", G535&gt;=10,"10-15", G535&gt;=5,"5-10", G535&gt;=1,"1-5", G535&lt;1,"Less than 1")</f>
        <v>5-10</v>
      </c>
      <c r="I535">
        <v>0</v>
      </c>
      <c r="J535">
        <v>2</v>
      </c>
      <c r="K535" s="6">
        <v>4</v>
      </c>
      <c r="L535" s="2">
        <v>3.99</v>
      </c>
      <c r="M535" s="6">
        <v>26</v>
      </c>
      <c r="N535" t="str" cm="1">
        <f t="array" ref="N535">_xlfn.IFS(M535&gt;=50,"50-60 Days", M535&gt;=40,"40-50 Days", M535&gt;=30, "30-40 Days", M535&gt;=20, "20-30 Days", M535&gt;=10, "10-20 Days", M535&gt;=0, "0-10 Days")</f>
        <v>20-30 Days</v>
      </c>
    </row>
    <row r="536" spans="1:14">
      <c r="A536">
        <v>535</v>
      </c>
      <c r="B536" t="s">
        <v>29</v>
      </c>
      <c r="C536" s="5">
        <v>45450</v>
      </c>
      <c r="D536" s="8">
        <v>45450</v>
      </c>
      <c r="E536" s="8" t="str">
        <f>IF(B536="Inactive", EDATE(D536,K536), "")</f>
        <v/>
      </c>
      <c r="F536" t="s">
        <v>10</v>
      </c>
      <c r="G536">
        <v>15.8</v>
      </c>
      <c r="H536" t="str" cm="1">
        <f t="array" ref="H536">_xlfn.IFS(G536&gt;=20,"20-25", G536&gt;=15,"15-20", G536&gt;=10,"10-15", G536&gt;=5,"5-10", G536&gt;=1,"1-5", G536&lt;1,"Less than 1")</f>
        <v>15-20</v>
      </c>
      <c r="I536">
        <v>2</v>
      </c>
      <c r="J536">
        <v>3</v>
      </c>
      <c r="K536" s="6">
        <v>6</v>
      </c>
      <c r="L536" s="2">
        <v>6.99</v>
      </c>
      <c r="M536" s="6">
        <v>53</v>
      </c>
      <c r="N536" t="str" cm="1">
        <f t="array" ref="N536">_xlfn.IFS(M536&gt;=50,"50-60 Days", M536&gt;=40,"40-50 Days", M536&gt;=30, "30-40 Days", M536&gt;=20, "20-30 Days", M536&gt;=10, "10-20 Days", M536&gt;=0, "0-10 Days")</f>
        <v>50-60 Days</v>
      </c>
    </row>
    <row r="537" spans="1:14">
      <c r="A537">
        <v>536</v>
      </c>
      <c r="B537" t="s">
        <v>29</v>
      </c>
      <c r="C537" s="5">
        <v>45196</v>
      </c>
      <c r="D537" s="8">
        <v>45196</v>
      </c>
      <c r="E537" s="8" t="str">
        <f>IF(B537="Inactive", EDATE(D537,K537), "")</f>
        <v/>
      </c>
      <c r="F537" t="s">
        <v>10</v>
      </c>
      <c r="G537">
        <v>7.4</v>
      </c>
      <c r="H537" t="str" cm="1">
        <f t="array" ref="H537">_xlfn.IFS(G537&gt;=20,"20-25", G537&gt;=15,"15-20", G537&gt;=10,"10-15", G537&gt;=5,"5-10", G537&gt;=1,"1-5", G537&lt;1,"Less than 1")</f>
        <v>5-10</v>
      </c>
      <c r="I537">
        <v>1</v>
      </c>
      <c r="J537">
        <v>3</v>
      </c>
      <c r="K537" s="6">
        <v>3</v>
      </c>
      <c r="L537" s="2">
        <v>6.99</v>
      </c>
      <c r="M537" s="6">
        <v>12</v>
      </c>
      <c r="N537" t="str" cm="1">
        <f t="array" ref="N537">_xlfn.IFS(M537&gt;=50,"50-60 Days", M537&gt;=40,"40-50 Days", M537&gt;=30, "30-40 Days", M537&gt;=20, "20-30 Days", M537&gt;=10, "10-20 Days", M537&gt;=0, "0-10 Days")</f>
        <v>10-20 Days</v>
      </c>
    </row>
    <row r="538" spans="1:14">
      <c r="A538">
        <v>537</v>
      </c>
      <c r="B538" t="s">
        <v>28</v>
      </c>
      <c r="C538" s="5">
        <v>45435</v>
      </c>
      <c r="D538" s="8">
        <v>45435</v>
      </c>
      <c r="E538" s="8">
        <f>IF(B538="Inactive", EDATE(D538,K538), "")</f>
        <v>45588</v>
      </c>
      <c r="F538" t="s">
        <v>10</v>
      </c>
      <c r="G538">
        <v>9.3000000000000007</v>
      </c>
      <c r="H538" t="str" cm="1">
        <f t="array" ref="H538">_xlfn.IFS(G538&gt;=20,"20-25", G538&gt;=15,"15-20", G538&gt;=10,"10-15", G538&gt;=5,"5-10", G538&gt;=1,"1-5", G538&lt;1,"Less than 1")</f>
        <v>5-10</v>
      </c>
      <c r="I538">
        <v>6</v>
      </c>
      <c r="J538">
        <v>2</v>
      </c>
      <c r="K538" s="6">
        <v>5</v>
      </c>
      <c r="L538" s="2">
        <v>6.99</v>
      </c>
      <c r="M538" s="6">
        <v>10</v>
      </c>
      <c r="N538" t="str" cm="1">
        <f t="array" ref="N538">_xlfn.IFS(M538&gt;=50,"50-60 Days", M538&gt;=40,"40-50 Days", M538&gt;=30, "30-40 Days", M538&gt;=20, "20-30 Days", M538&gt;=10, "10-20 Days", M538&gt;=0, "0-10 Days")</f>
        <v>10-20 Days</v>
      </c>
    </row>
    <row r="539" spans="1:14">
      <c r="A539">
        <v>538</v>
      </c>
      <c r="B539" t="s">
        <v>28</v>
      </c>
      <c r="C539" s="5">
        <v>45040</v>
      </c>
      <c r="D539" s="8">
        <v>45040</v>
      </c>
      <c r="E539" s="8">
        <f>IF(B539="Inactive", EDATE(D539,K539), "")</f>
        <v>45375</v>
      </c>
      <c r="F539" t="s">
        <v>12</v>
      </c>
      <c r="G539">
        <v>8.6</v>
      </c>
      <c r="H539" t="str" cm="1">
        <f t="array" ref="H539">_xlfn.IFS(G539&gt;=20,"20-25", G539&gt;=15,"15-20", G539&gt;=10,"10-15", G539&gt;=5,"5-10", G539&gt;=1,"1-5", G539&lt;1,"Less than 1")</f>
        <v>5-10</v>
      </c>
      <c r="I539">
        <v>0</v>
      </c>
      <c r="J539">
        <v>0</v>
      </c>
      <c r="K539" s="6">
        <v>11</v>
      </c>
      <c r="L539" s="2">
        <v>1.99</v>
      </c>
      <c r="M539" s="6">
        <v>42</v>
      </c>
      <c r="N539" t="str" cm="1">
        <f t="array" ref="N539">_xlfn.IFS(M539&gt;=50,"50-60 Days", M539&gt;=40,"40-50 Days", M539&gt;=30, "30-40 Days", M539&gt;=20, "20-30 Days", M539&gt;=10, "10-20 Days", M539&gt;=0, "0-10 Days")</f>
        <v>40-50 Days</v>
      </c>
    </row>
    <row r="540" spans="1:14">
      <c r="A540">
        <v>539</v>
      </c>
      <c r="B540" t="s">
        <v>29</v>
      </c>
      <c r="C540" s="5">
        <v>45030</v>
      </c>
      <c r="D540" s="8">
        <v>45030</v>
      </c>
      <c r="E540" s="8" t="str">
        <f>IF(B540="Inactive", EDATE(D540,K540), "")</f>
        <v/>
      </c>
      <c r="F540" t="s">
        <v>10</v>
      </c>
      <c r="G540">
        <v>4.2</v>
      </c>
      <c r="H540" t="str" cm="1">
        <f t="array" ref="H540">_xlfn.IFS(G540&gt;=20,"20-25", G540&gt;=15,"15-20", G540&gt;=10,"10-15", G540&gt;=5,"5-10", G540&gt;=1,"1-5", G540&lt;1,"Less than 1")</f>
        <v>1-5</v>
      </c>
      <c r="I540">
        <v>1</v>
      </c>
      <c r="J540">
        <v>4</v>
      </c>
      <c r="K540" s="6">
        <v>11</v>
      </c>
      <c r="L540" s="2">
        <v>6.99</v>
      </c>
      <c r="M540" s="6">
        <v>4</v>
      </c>
      <c r="N540" t="str" cm="1">
        <f t="array" ref="N540">_xlfn.IFS(M540&gt;=50,"50-60 Days", M540&gt;=40,"40-50 Days", M540&gt;=30, "30-40 Days", M540&gt;=20, "20-30 Days", M540&gt;=10, "10-20 Days", M540&gt;=0, "0-10 Days")</f>
        <v>0-10 Days</v>
      </c>
    </row>
    <row r="541" spans="1:14">
      <c r="A541">
        <v>540</v>
      </c>
      <c r="B541" t="s">
        <v>28</v>
      </c>
      <c r="C541" s="5">
        <v>45105</v>
      </c>
      <c r="D541" s="8">
        <v>45105</v>
      </c>
      <c r="E541" s="8">
        <f>IF(B541="Inactive", EDATE(D541,K541), "")</f>
        <v>45258</v>
      </c>
      <c r="F541" t="s">
        <v>14</v>
      </c>
      <c r="G541">
        <v>11.7</v>
      </c>
      <c r="H541" t="str" cm="1">
        <f t="array" ref="H541">_xlfn.IFS(G541&gt;=20,"20-25", G541&gt;=15,"15-20", G541&gt;=10,"10-15", G541&gt;=5,"5-10", G541&gt;=1,"1-5", G541&lt;1,"Less than 1")</f>
        <v>10-15</v>
      </c>
      <c r="I541">
        <v>4</v>
      </c>
      <c r="J541">
        <v>2</v>
      </c>
      <c r="K541" s="6">
        <v>5</v>
      </c>
      <c r="L541" s="2">
        <v>3.99</v>
      </c>
      <c r="M541" s="6">
        <v>29</v>
      </c>
      <c r="N541" t="str" cm="1">
        <f t="array" ref="N541">_xlfn.IFS(M541&gt;=50,"50-60 Days", M541&gt;=40,"40-50 Days", M541&gt;=30, "30-40 Days", M541&gt;=20, "20-30 Days", M541&gt;=10, "10-20 Days", M541&gt;=0, "0-10 Days")</f>
        <v>20-30 Days</v>
      </c>
    </row>
    <row r="542" spans="1:14">
      <c r="A542">
        <v>541</v>
      </c>
      <c r="B542" t="s">
        <v>28</v>
      </c>
      <c r="C542" s="5">
        <v>44973</v>
      </c>
      <c r="D542" s="8">
        <v>44973</v>
      </c>
      <c r="E542" s="8">
        <f>IF(B542="Inactive", EDATE(D542,K542), "")</f>
        <v>45185</v>
      </c>
      <c r="F542" t="s">
        <v>12</v>
      </c>
      <c r="G542">
        <v>9.3000000000000007</v>
      </c>
      <c r="H542" t="str" cm="1">
        <f t="array" ref="H542">_xlfn.IFS(G542&gt;=20,"20-25", G542&gt;=15,"15-20", G542&gt;=10,"10-15", G542&gt;=5,"5-10", G542&gt;=1,"1-5", G542&lt;1,"Less than 1")</f>
        <v>5-10</v>
      </c>
      <c r="I542">
        <v>5</v>
      </c>
      <c r="J542">
        <v>3</v>
      </c>
      <c r="K542" s="6">
        <v>7</v>
      </c>
      <c r="L542" s="2">
        <v>1.99</v>
      </c>
      <c r="M542" s="6">
        <v>47</v>
      </c>
      <c r="N542" t="str" cm="1">
        <f t="array" ref="N542">_xlfn.IFS(M542&gt;=50,"50-60 Days", M542&gt;=40,"40-50 Days", M542&gt;=30, "30-40 Days", M542&gt;=20, "20-30 Days", M542&gt;=10, "10-20 Days", M542&gt;=0, "0-10 Days")</f>
        <v>40-50 Days</v>
      </c>
    </row>
    <row r="543" spans="1:14">
      <c r="A543">
        <v>542</v>
      </c>
      <c r="B543" t="s">
        <v>29</v>
      </c>
      <c r="C543" s="5">
        <v>45563</v>
      </c>
      <c r="D543" s="8">
        <v>45563</v>
      </c>
      <c r="E543" s="8" t="str">
        <f>IF(B543="Inactive", EDATE(D543,K543), "")</f>
        <v/>
      </c>
      <c r="F543" t="s">
        <v>12</v>
      </c>
      <c r="G543">
        <v>16.8</v>
      </c>
      <c r="H543" t="str" cm="1">
        <f t="array" ref="H543">_xlfn.IFS(G543&gt;=20,"20-25", G543&gt;=15,"15-20", G543&gt;=10,"10-15", G543&gt;=5,"5-10", G543&gt;=1,"1-5", G543&lt;1,"Less than 1")</f>
        <v>15-20</v>
      </c>
      <c r="I543">
        <v>2</v>
      </c>
      <c r="J543">
        <v>2</v>
      </c>
      <c r="K543" s="6">
        <v>3</v>
      </c>
      <c r="L543" s="2">
        <v>1.99</v>
      </c>
      <c r="M543" s="6">
        <v>22</v>
      </c>
      <c r="N543" t="str" cm="1">
        <f t="array" ref="N543">_xlfn.IFS(M543&gt;=50,"50-60 Days", M543&gt;=40,"40-50 Days", M543&gt;=30, "30-40 Days", M543&gt;=20, "20-30 Days", M543&gt;=10, "10-20 Days", M543&gt;=0, "0-10 Days")</f>
        <v>20-30 Days</v>
      </c>
    </row>
    <row r="544" spans="1:14">
      <c r="A544">
        <v>543</v>
      </c>
      <c r="B544" t="s">
        <v>29</v>
      </c>
      <c r="C544" s="5">
        <v>45394</v>
      </c>
      <c r="D544" s="8">
        <v>45394</v>
      </c>
      <c r="E544" s="8" t="str">
        <f>IF(B544="Inactive", EDATE(D544,K544), "")</f>
        <v/>
      </c>
      <c r="F544" t="s">
        <v>14</v>
      </c>
      <c r="G544">
        <v>9.6</v>
      </c>
      <c r="H544" t="str" cm="1">
        <f t="array" ref="H544">_xlfn.IFS(G544&gt;=20,"20-25", G544&gt;=15,"15-20", G544&gt;=10,"10-15", G544&gt;=5,"5-10", G544&gt;=1,"1-5", G544&lt;1,"Less than 1")</f>
        <v>5-10</v>
      </c>
      <c r="I544">
        <v>5</v>
      </c>
      <c r="J544">
        <v>1</v>
      </c>
      <c r="K544" s="6">
        <v>2</v>
      </c>
      <c r="L544" s="2">
        <v>3.99</v>
      </c>
      <c r="M544" s="6">
        <v>7</v>
      </c>
      <c r="N544" t="str" cm="1">
        <f t="array" ref="N544">_xlfn.IFS(M544&gt;=50,"50-60 Days", M544&gt;=40,"40-50 Days", M544&gt;=30, "30-40 Days", M544&gt;=20, "20-30 Days", M544&gt;=10, "10-20 Days", M544&gt;=0, "0-10 Days")</f>
        <v>0-10 Days</v>
      </c>
    </row>
    <row r="545" spans="1:14">
      <c r="A545">
        <v>544</v>
      </c>
      <c r="B545" t="s">
        <v>29</v>
      </c>
      <c r="C545" s="5">
        <v>45097</v>
      </c>
      <c r="D545" s="8">
        <v>45097</v>
      </c>
      <c r="E545" s="8" t="str">
        <f>IF(B545="Inactive", EDATE(D545,K545), "")</f>
        <v/>
      </c>
      <c r="F545" t="s">
        <v>14</v>
      </c>
      <c r="G545">
        <v>17.399999999999999</v>
      </c>
      <c r="H545" t="str" cm="1">
        <f t="array" ref="H545">_xlfn.IFS(G545&gt;=20,"20-25", G545&gt;=15,"15-20", G545&gt;=10,"10-15", G545&gt;=5,"5-10", G545&gt;=1,"1-5", G545&lt;1,"Less than 1")</f>
        <v>15-20</v>
      </c>
      <c r="I545">
        <v>7</v>
      </c>
      <c r="J545">
        <v>3</v>
      </c>
      <c r="K545" s="6">
        <v>9</v>
      </c>
      <c r="L545" s="2">
        <v>3.99</v>
      </c>
      <c r="M545" s="6">
        <v>41</v>
      </c>
      <c r="N545" t="str" cm="1">
        <f t="array" ref="N545">_xlfn.IFS(M545&gt;=50,"50-60 Days", M545&gt;=40,"40-50 Days", M545&gt;=30, "30-40 Days", M545&gt;=20, "20-30 Days", M545&gt;=10, "10-20 Days", M545&gt;=0, "0-10 Days")</f>
        <v>40-50 Days</v>
      </c>
    </row>
    <row r="546" spans="1:14">
      <c r="A546">
        <v>545</v>
      </c>
      <c r="B546" t="s">
        <v>29</v>
      </c>
      <c r="C546" s="5">
        <v>45531</v>
      </c>
      <c r="D546" s="8">
        <v>45531</v>
      </c>
      <c r="E546" s="8" t="str">
        <f>IF(B546="Inactive", EDATE(D546,K546), "")</f>
        <v/>
      </c>
      <c r="F546" t="s">
        <v>12</v>
      </c>
      <c r="G546">
        <v>17.600000000000001</v>
      </c>
      <c r="H546" t="str" cm="1">
        <f t="array" ref="H546">_xlfn.IFS(G546&gt;=20,"20-25", G546&gt;=15,"15-20", G546&gt;=10,"10-15", G546&gt;=5,"5-10", G546&gt;=1,"1-5", G546&lt;1,"Less than 1")</f>
        <v>15-20</v>
      </c>
      <c r="I546">
        <v>0</v>
      </c>
      <c r="J546">
        <v>1</v>
      </c>
      <c r="K546" s="6">
        <v>3</v>
      </c>
      <c r="L546" s="2">
        <v>1.99</v>
      </c>
      <c r="M546" s="6">
        <v>6</v>
      </c>
      <c r="N546" t="str" cm="1">
        <f t="array" ref="N546">_xlfn.IFS(M546&gt;=50,"50-60 Days", M546&gt;=40,"40-50 Days", M546&gt;=30, "30-40 Days", M546&gt;=20, "20-30 Days", M546&gt;=10, "10-20 Days", M546&gt;=0, "0-10 Days")</f>
        <v>0-10 Days</v>
      </c>
    </row>
    <row r="547" spans="1:14">
      <c r="A547">
        <v>546</v>
      </c>
      <c r="B547" t="s">
        <v>28</v>
      </c>
      <c r="C547" s="5">
        <v>45627</v>
      </c>
      <c r="D547" s="8">
        <v>45627</v>
      </c>
      <c r="E547" s="8">
        <f>IF(B547="Inactive", EDATE(D547,K547), "")</f>
        <v>45931</v>
      </c>
      <c r="F547" t="s">
        <v>14</v>
      </c>
      <c r="G547">
        <v>4.9000000000000004</v>
      </c>
      <c r="H547" t="str" cm="1">
        <f t="array" ref="H547">_xlfn.IFS(G547&gt;=20,"20-25", G547&gt;=15,"15-20", G547&gt;=10,"10-15", G547&gt;=5,"5-10", G547&gt;=1,"1-5", G547&lt;1,"Less than 1")</f>
        <v>1-5</v>
      </c>
      <c r="I547">
        <v>6</v>
      </c>
      <c r="J547">
        <v>2</v>
      </c>
      <c r="K547" s="6">
        <v>10</v>
      </c>
      <c r="L547" s="2">
        <v>3.99</v>
      </c>
      <c r="M547" s="6">
        <v>39</v>
      </c>
      <c r="N547" t="str" cm="1">
        <f t="array" ref="N547">_xlfn.IFS(M547&gt;=50,"50-60 Days", M547&gt;=40,"40-50 Days", M547&gt;=30, "30-40 Days", M547&gt;=20, "20-30 Days", M547&gt;=10, "10-20 Days", M547&gt;=0, "0-10 Days")</f>
        <v>30-40 Days</v>
      </c>
    </row>
    <row r="548" spans="1:14">
      <c r="A548">
        <v>547</v>
      </c>
      <c r="B548" t="s">
        <v>28</v>
      </c>
      <c r="C548" s="5">
        <v>44974</v>
      </c>
      <c r="D548" s="8">
        <v>44974</v>
      </c>
      <c r="E548" s="8">
        <f>IF(B548="Inactive", EDATE(D548,K548), "")</f>
        <v>45063</v>
      </c>
      <c r="F548" t="s">
        <v>10</v>
      </c>
      <c r="G548">
        <v>12.3</v>
      </c>
      <c r="H548" t="str" cm="1">
        <f t="array" ref="H548">_xlfn.IFS(G548&gt;=20,"20-25", G548&gt;=15,"15-20", G548&gt;=10,"10-15", G548&gt;=5,"5-10", G548&gt;=1,"1-5", G548&lt;1,"Less than 1")</f>
        <v>10-15</v>
      </c>
      <c r="I548">
        <v>7</v>
      </c>
      <c r="J548">
        <v>0</v>
      </c>
      <c r="K548" s="6">
        <v>3</v>
      </c>
      <c r="L548" s="2">
        <v>6.99</v>
      </c>
      <c r="M548" s="6">
        <v>56</v>
      </c>
      <c r="N548" t="str" cm="1">
        <f t="array" ref="N548">_xlfn.IFS(M548&gt;=50,"50-60 Days", M548&gt;=40,"40-50 Days", M548&gt;=30, "30-40 Days", M548&gt;=20, "20-30 Days", M548&gt;=10, "10-20 Days", M548&gt;=0, "0-10 Days")</f>
        <v>50-60 Days</v>
      </c>
    </row>
    <row r="549" spans="1:14">
      <c r="A549">
        <v>548</v>
      </c>
      <c r="B549" t="s">
        <v>29</v>
      </c>
      <c r="C549" s="5">
        <v>45517</v>
      </c>
      <c r="D549" s="8">
        <v>45517</v>
      </c>
      <c r="E549" s="8" t="str">
        <f>IF(B549="Inactive", EDATE(D549,K549), "")</f>
        <v/>
      </c>
      <c r="F549" t="s">
        <v>12</v>
      </c>
      <c r="G549">
        <v>16.5</v>
      </c>
      <c r="H549" t="str" cm="1">
        <f t="array" ref="H549">_xlfn.IFS(G549&gt;=20,"20-25", G549&gt;=15,"15-20", G549&gt;=10,"10-15", G549&gt;=5,"5-10", G549&gt;=1,"1-5", G549&lt;1,"Less than 1")</f>
        <v>15-20</v>
      </c>
      <c r="I549">
        <v>0</v>
      </c>
      <c r="J549">
        <v>5</v>
      </c>
      <c r="K549" s="6">
        <v>6</v>
      </c>
      <c r="L549" s="2">
        <v>1.99</v>
      </c>
      <c r="M549" s="6">
        <v>55</v>
      </c>
      <c r="N549" t="str" cm="1">
        <f t="array" ref="N549">_xlfn.IFS(M549&gt;=50,"50-60 Days", M549&gt;=40,"40-50 Days", M549&gt;=30, "30-40 Days", M549&gt;=20, "20-30 Days", M549&gt;=10, "10-20 Days", M549&gt;=0, "0-10 Days")</f>
        <v>50-60 Days</v>
      </c>
    </row>
    <row r="550" spans="1:14">
      <c r="A550">
        <v>549</v>
      </c>
      <c r="B550" t="s">
        <v>28</v>
      </c>
      <c r="C550" s="5">
        <v>45560</v>
      </c>
      <c r="D550" s="8">
        <v>45560</v>
      </c>
      <c r="E550" s="8">
        <f>IF(B550="Inactive", EDATE(D550,K550), "")</f>
        <v>45713</v>
      </c>
      <c r="F550" t="s">
        <v>10</v>
      </c>
      <c r="G550">
        <v>24.5</v>
      </c>
      <c r="H550" t="str" cm="1">
        <f t="array" ref="H550">_xlfn.IFS(G550&gt;=20,"20-25", G550&gt;=15,"15-20", G550&gt;=10,"10-15", G550&gt;=5,"5-10", G550&gt;=1,"1-5", G550&lt;1,"Less than 1")</f>
        <v>20-25</v>
      </c>
      <c r="I550">
        <v>5</v>
      </c>
      <c r="J550">
        <v>4</v>
      </c>
      <c r="K550" s="6">
        <v>5</v>
      </c>
      <c r="L550" s="2">
        <v>6.99</v>
      </c>
      <c r="M550" s="6">
        <v>33</v>
      </c>
      <c r="N550" t="str" cm="1">
        <f t="array" ref="N550">_xlfn.IFS(M550&gt;=50,"50-60 Days", M550&gt;=40,"40-50 Days", M550&gt;=30, "30-40 Days", M550&gt;=20, "20-30 Days", M550&gt;=10, "10-20 Days", M550&gt;=0, "0-10 Days")</f>
        <v>30-40 Days</v>
      </c>
    </row>
    <row r="551" spans="1:14">
      <c r="A551">
        <v>550</v>
      </c>
      <c r="B551" t="s">
        <v>29</v>
      </c>
      <c r="C551" s="5">
        <v>45583</v>
      </c>
      <c r="D551" s="8">
        <v>45583</v>
      </c>
      <c r="E551" s="8" t="str">
        <f>IF(B551="Inactive", EDATE(D551,K551), "")</f>
        <v/>
      </c>
      <c r="F551" t="s">
        <v>12</v>
      </c>
      <c r="G551">
        <v>16.7</v>
      </c>
      <c r="H551" t="str" cm="1">
        <f t="array" ref="H551">_xlfn.IFS(G551&gt;=20,"20-25", G551&gt;=15,"15-20", G551&gt;=10,"10-15", G551&gt;=5,"5-10", G551&gt;=1,"1-5", G551&lt;1,"Less than 1")</f>
        <v>15-20</v>
      </c>
      <c r="I551">
        <v>3</v>
      </c>
      <c r="J551">
        <v>3</v>
      </c>
      <c r="K551" s="6">
        <v>10</v>
      </c>
      <c r="L551" s="2">
        <v>1.99</v>
      </c>
      <c r="M551" s="6">
        <v>22</v>
      </c>
      <c r="N551" t="str" cm="1">
        <f t="array" ref="N551">_xlfn.IFS(M551&gt;=50,"50-60 Days", M551&gt;=40,"40-50 Days", M551&gt;=30, "30-40 Days", M551&gt;=20, "20-30 Days", M551&gt;=10, "10-20 Days", M551&gt;=0, "0-10 Days")</f>
        <v>20-30 Days</v>
      </c>
    </row>
    <row r="552" spans="1:14">
      <c r="A552">
        <v>551</v>
      </c>
      <c r="B552" t="s">
        <v>28</v>
      </c>
      <c r="C552" s="5">
        <v>45087</v>
      </c>
      <c r="D552" s="8">
        <v>45087</v>
      </c>
      <c r="E552" s="8">
        <f>IF(B552="Inactive", EDATE(D552,K552), "")</f>
        <v>45209</v>
      </c>
      <c r="F552" t="s">
        <v>14</v>
      </c>
      <c r="G552">
        <v>21.1</v>
      </c>
      <c r="H552" t="str" cm="1">
        <f t="array" ref="H552">_xlfn.IFS(G552&gt;=20,"20-25", G552&gt;=15,"15-20", G552&gt;=10,"10-15", G552&gt;=5,"5-10", G552&gt;=1,"1-5", G552&lt;1,"Less than 1")</f>
        <v>20-25</v>
      </c>
      <c r="I552">
        <v>8</v>
      </c>
      <c r="J552">
        <v>4</v>
      </c>
      <c r="K552" s="6">
        <v>4</v>
      </c>
      <c r="L552" s="2">
        <v>3.99</v>
      </c>
      <c r="M552" s="6">
        <v>3</v>
      </c>
      <c r="N552" t="str" cm="1">
        <f t="array" ref="N552">_xlfn.IFS(M552&gt;=50,"50-60 Days", M552&gt;=40,"40-50 Days", M552&gt;=30, "30-40 Days", M552&gt;=20, "20-30 Days", M552&gt;=10, "10-20 Days", M552&gt;=0, "0-10 Days")</f>
        <v>0-10 Days</v>
      </c>
    </row>
    <row r="553" spans="1:14">
      <c r="A553">
        <v>552</v>
      </c>
      <c r="B553" t="s">
        <v>29</v>
      </c>
      <c r="C553" s="5">
        <v>45173</v>
      </c>
      <c r="D553" s="8">
        <v>45173</v>
      </c>
      <c r="E553" s="8" t="str">
        <f>IF(B553="Inactive", EDATE(D553,K553), "")</f>
        <v/>
      </c>
      <c r="F553" t="s">
        <v>10</v>
      </c>
      <c r="G553">
        <v>21.4</v>
      </c>
      <c r="H553" t="str" cm="1">
        <f t="array" ref="H553">_xlfn.IFS(G553&gt;=20,"20-25", G553&gt;=15,"15-20", G553&gt;=10,"10-15", G553&gt;=5,"5-10", G553&gt;=1,"1-5", G553&lt;1,"Less than 1")</f>
        <v>20-25</v>
      </c>
      <c r="I553">
        <v>2</v>
      </c>
      <c r="J553">
        <v>0</v>
      </c>
      <c r="K553" s="6">
        <v>11</v>
      </c>
      <c r="L553" s="2">
        <v>6.99</v>
      </c>
      <c r="M553" s="6">
        <v>48</v>
      </c>
      <c r="N553" t="str" cm="1">
        <f t="array" ref="N553">_xlfn.IFS(M553&gt;=50,"50-60 Days", M553&gt;=40,"40-50 Days", M553&gt;=30, "30-40 Days", M553&gt;=20, "20-30 Days", M553&gt;=10, "10-20 Days", M553&gt;=0, "0-10 Days")</f>
        <v>40-50 Days</v>
      </c>
    </row>
    <row r="554" spans="1:14">
      <c r="A554">
        <v>553</v>
      </c>
      <c r="B554" t="s">
        <v>28</v>
      </c>
      <c r="C554" s="5">
        <v>45167</v>
      </c>
      <c r="D554" s="8">
        <v>45167</v>
      </c>
      <c r="E554" s="8">
        <f>IF(B554="Inactive", EDATE(D554,K554), "")</f>
        <v>45351</v>
      </c>
      <c r="F554" t="s">
        <v>14</v>
      </c>
      <c r="G554">
        <v>1.7</v>
      </c>
      <c r="H554" t="str" cm="1">
        <f t="array" ref="H554">_xlfn.IFS(G554&gt;=20,"20-25", G554&gt;=15,"15-20", G554&gt;=10,"10-15", G554&gt;=5,"5-10", G554&gt;=1,"1-5", G554&lt;1,"Less than 1")</f>
        <v>1-5</v>
      </c>
      <c r="I554">
        <v>3</v>
      </c>
      <c r="J554">
        <v>4</v>
      </c>
      <c r="K554" s="6">
        <v>6</v>
      </c>
      <c r="L554" s="2">
        <v>3.99</v>
      </c>
      <c r="M554" s="6">
        <v>41</v>
      </c>
      <c r="N554" t="str" cm="1">
        <f t="array" ref="N554">_xlfn.IFS(M554&gt;=50,"50-60 Days", M554&gt;=40,"40-50 Days", M554&gt;=30, "30-40 Days", M554&gt;=20, "20-30 Days", M554&gt;=10, "10-20 Days", M554&gt;=0, "0-10 Days")</f>
        <v>40-50 Days</v>
      </c>
    </row>
    <row r="555" spans="1:14">
      <c r="A555">
        <v>554</v>
      </c>
      <c r="B555" t="s">
        <v>28</v>
      </c>
      <c r="C555" s="5">
        <v>45250</v>
      </c>
      <c r="D555" s="8">
        <v>45250</v>
      </c>
      <c r="E555" s="8">
        <f>IF(B555="Inactive", EDATE(D555,K555), "")</f>
        <v>45555</v>
      </c>
      <c r="F555" t="s">
        <v>12</v>
      </c>
      <c r="G555">
        <v>11.4</v>
      </c>
      <c r="H555" t="str" cm="1">
        <f t="array" ref="H555">_xlfn.IFS(G555&gt;=20,"20-25", G555&gt;=15,"15-20", G555&gt;=10,"10-15", G555&gt;=5,"5-10", G555&gt;=1,"1-5", G555&lt;1,"Less than 1")</f>
        <v>10-15</v>
      </c>
      <c r="I555">
        <v>7</v>
      </c>
      <c r="J555">
        <v>0</v>
      </c>
      <c r="K555" s="6">
        <v>10</v>
      </c>
      <c r="L555" s="2">
        <v>1.99</v>
      </c>
      <c r="M555" s="6">
        <v>54</v>
      </c>
      <c r="N555" t="str" cm="1">
        <f t="array" ref="N555">_xlfn.IFS(M555&gt;=50,"50-60 Days", M555&gt;=40,"40-50 Days", M555&gt;=30, "30-40 Days", M555&gt;=20, "20-30 Days", M555&gt;=10, "10-20 Days", M555&gt;=0, "0-10 Days")</f>
        <v>50-60 Days</v>
      </c>
    </row>
    <row r="556" spans="1:14">
      <c r="A556">
        <v>555</v>
      </c>
      <c r="B556" t="s">
        <v>29</v>
      </c>
      <c r="C556" s="5">
        <v>45497</v>
      </c>
      <c r="D556" s="8">
        <v>45497</v>
      </c>
      <c r="E556" s="8" t="str">
        <f>IF(B556="Inactive", EDATE(D556,K556), "")</f>
        <v/>
      </c>
      <c r="F556" t="s">
        <v>12</v>
      </c>
      <c r="G556">
        <v>18.8</v>
      </c>
      <c r="H556" t="str" cm="1">
        <f t="array" ref="H556">_xlfn.IFS(G556&gt;=20,"20-25", G556&gt;=15,"15-20", G556&gt;=10,"10-15", G556&gt;=5,"5-10", G556&gt;=1,"1-5", G556&lt;1,"Less than 1")</f>
        <v>15-20</v>
      </c>
      <c r="I556">
        <v>0</v>
      </c>
      <c r="J556">
        <v>0</v>
      </c>
      <c r="K556" s="6">
        <v>11</v>
      </c>
      <c r="L556" s="2">
        <v>1.99</v>
      </c>
      <c r="M556" s="6">
        <v>25</v>
      </c>
      <c r="N556" t="str" cm="1">
        <f t="array" ref="N556">_xlfn.IFS(M556&gt;=50,"50-60 Days", M556&gt;=40,"40-50 Days", M556&gt;=30, "30-40 Days", M556&gt;=20, "20-30 Days", M556&gt;=10, "10-20 Days", M556&gt;=0, "0-10 Days")</f>
        <v>20-30 Days</v>
      </c>
    </row>
    <row r="557" spans="1:14">
      <c r="A557">
        <v>556</v>
      </c>
      <c r="B557" t="s">
        <v>28</v>
      </c>
      <c r="C557" s="5">
        <v>45614</v>
      </c>
      <c r="D557" s="8">
        <v>45614</v>
      </c>
      <c r="E557" s="8">
        <f>IF(B557="Inactive", EDATE(D557,K557), "")</f>
        <v>45644</v>
      </c>
      <c r="F557" t="s">
        <v>10</v>
      </c>
      <c r="G557">
        <v>20.7</v>
      </c>
      <c r="H557" t="str" cm="1">
        <f t="array" ref="H557">_xlfn.IFS(G557&gt;=20,"20-25", G557&gt;=15,"15-20", G557&gt;=10,"10-15", G557&gt;=5,"5-10", G557&gt;=1,"1-5", G557&lt;1,"Less than 1")</f>
        <v>20-25</v>
      </c>
      <c r="I557">
        <v>4</v>
      </c>
      <c r="J557">
        <v>4</v>
      </c>
      <c r="K557" s="6">
        <v>1</v>
      </c>
      <c r="L557" s="2">
        <v>6.99</v>
      </c>
      <c r="M557" s="6">
        <v>35</v>
      </c>
      <c r="N557" t="str" cm="1">
        <f t="array" ref="N557">_xlfn.IFS(M557&gt;=50,"50-60 Days", M557&gt;=40,"40-50 Days", M557&gt;=30, "30-40 Days", M557&gt;=20, "20-30 Days", M557&gt;=10, "10-20 Days", M557&gt;=0, "0-10 Days")</f>
        <v>30-40 Days</v>
      </c>
    </row>
    <row r="558" spans="1:14">
      <c r="A558">
        <v>557</v>
      </c>
      <c r="B558" t="s">
        <v>29</v>
      </c>
      <c r="C558" s="5">
        <v>45500</v>
      </c>
      <c r="D558" s="8">
        <v>45500</v>
      </c>
      <c r="E558" s="8" t="str">
        <f>IF(B558="Inactive", EDATE(D558,K558), "")</f>
        <v/>
      </c>
      <c r="F558" t="s">
        <v>14</v>
      </c>
      <c r="G558">
        <v>9.4</v>
      </c>
      <c r="H558" t="str" cm="1">
        <f t="array" ref="H558">_xlfn.IFS(G558&gt;=20,"20-25", G558&gt;=15,"15-20", G558&gt;=10,"10-15", G558&gt;=5,"5-10", G558&gt;=1,"1-5", G558&lt;1,"Less than 1")</f>
        <v>5-10</v>
      </c>
      <c r="I558">
        <v>0</v>
      </c>
      <c r="J558">
        <v>1</v>
      </c>
      <c r="K558" s="6">
        <v>8</v>
      </c>
      <c r="L558" s="2">
        <v>3.99</v>
      </c>
      <c r="M558" s="6">
        <v>54</v>
      </c>
      <c r="N558" t="str" cm="1">
        <f t="array" ref="N558">_xlfn.IFS(M558&gt;=50,"50-60 Days", M558&gt;=40,"40-50 Days", M558&gt;=30, "30-40 Days", M558&gt;=20, "20-30 Days", M558&gt;=10, "10-20 Days", M558&gt;=0, "0-10 Days")</f>
        <v>50-60 Days</v>
      </c>
    </row>
    <row r="559" spans="1:14">
      <c r="A559">
        <v>558</v>
      </c>
      <c r="B559" t="s">
        <v>28</v>
      </c>
      <c r="C559" s="5">
        <v>45601</v>
      </c>
      <c r="D559" s="8">
        <v>45601</v>
      </c>
      <c r="E559" s="8">
        <f>IF(B559="Inactive", EDATE(D559,K559), "")</f>
        <v>45935</v>
      </c>
      <c r="F559" t="s">
        <v>10</v>
      </c>
      <c r="G559">
        <v>18.100000000000001</v>
      </c>
      <c r="H559" t="str" cm="1">
        <f t="array" ref="H559">_xlfn.IFS(G559&gt;=20,"20-25", G559&gt;=15,"15-20", G559&gt;=10,"10-15", G559&gt;=5,"5-10", G559&gt;=1,"1-5", G559&lt;1,"Less than 1")</f>
        <v>15-20</v>
      </c>
      <c r="I559">
        <v>5</v>
      </c>
      <c r="J559">
        <v>5</v>
      </c>
      <c r="K559" s="6">
        <v>11</v>
      </c>
      <c r="L559" s="2">
        <v>6.99</v>
      </c>
      <c r="M559" s="6">
        <v>28</v>
      </c>
      <c r="N559" t="str" cm="1">
        <f t="array" ref="N559">_xlfn.IFS(M559&gt;=50,"50-60 Days", M559&gt;=40,"40-50 Days", M559&gt;=30, "30-40 Days", M559&gt;=20, "20-30 Days", M559&gt;=10, "10-20 Days", M559&gt;=0, "0-10 Days")</f>
        <v>20-30 Days</v>
      </c>
    </row>
    <row r="560" spans="1:14">
      <c r="A560">
        <v>559</v>
      </c>
      <c r="B560" t="s">
        <v>28</v>
      </c>
      <c r="C560" s="5">
        <v>45035</v>
      </c>
      <c r="D560" s="8">
        <v>45035</v>
      </c>
      <c r="E560" s="8">
        <f>IF(B560="Inactive", EDATE(D560,K560), "")</f>
        <v>45065</v>
      </c>
      <c r="F560" t="s">
        <v>12</v>
      </c>
      <c r="G560">
        <v>8.9</v>
      </c>
      <c r="H560" t="str" cm="1">
        <f t="array" ref="H560">_xlfn.IFS(G560&gt;=20,"20-25", G560&gt;=15,"15-20", G560&gt;=10,"10-15", G560&gt;=5,"5-10", G560&gt;=1,"1-5", G560&lt;1,"Less than 1")</f>
        <v>5-10</v>
      </c>
      <c r="I560">
        <v>4</v>
      </c>
      <c r="J560">
        <v>4</v>
      </c>
      <c r="K560" s="6">
        <v>1</v>
      </c>
      <c r="L560" s="2">
        <v>1.99</v>
      </c>
      <c r="M560" s="6">
        <v>33</v>
      </c>
      <c r="N560" t="str" cm="1">
        <f t="array" ref="N560">_xlfn.IFS(M560&gt;=50,"50-60 Days", M560&gt;=40,"40-50 Days", M560&gt;=30, "30-40 Days", M560&gt;=20, "20-30 Days", M560&gt;=10, "10-20 Days", M560&gt;=0, "0-10 Days")</f>
        <v>30-40 Days</v>
      </c>
    </row>
    <row r="561" spans="1:14">
      <c r="A561">
        <v>560</v>
      </c>
      <c r="B561" t="s">
        <v>29</v>
      </c>
      <c r="C561" s="5">
        <v>45119</v>
      </c>
      <c r="D561" s="8">
        <v>45119</v>
      </c>
      <c r="E561" s="8" t="str">
        <f>IF(B561="Inactive", EDATE(D561,K561), "")</f>
        <v/>
      </c>
      <c r="F561" t="s">
        <v>12</v>
      </c>
      <c r="G561">
        <v>12.6</v>
      </c>
      <c r="H561" t="str" cm="1">
        <f t="array" ref="H561">_xlfn.IFS(G561&gt;=20,"20-25", G561&gt;=15,"15-20", G561&gt;=10,"10-15", G561&gt;=5,"5-10", G561&gt;=1,"1-5", G561&lt;1,"Less than 1")</f>
        <v>10-15</v>
      </c>
      <c r="I561">
        <v>6</v>
      </c>
      <c r="J561">
        <v>0</v>
      </c>
      <c r="K561" s="6">
        <v>4</v>
      </c>
      <c r="L561" s="2">
        <v>1.99</v>
      </c>
      <c r="M561" s="6">
        <v>16</v>
      </c>
      <c r="N561" t="str" cm="1">
        <f t="array" ref="N561">_xlfn.IFS(M561&gt;=50,"50-60 Days", M561&gt;=40,"40-50 Days", M561&gt;=30, "30-40 Days", M561&gt;=20, "20-30 Days", M561&gt;=10, "10-20 Days", M561&gt;=0, "0-10 Days")</f>
        <v>10-20 Days</v>
      </c>
    </row>
    <row r="562" spans="1:14">
      <c r="A562">
        <v>561</v>
      </c>
      <c r="B562" t="s">
        <v>28</v>
      </c>
      <c r="C562" s="5">
        <v>45351</v>
      </c>
      <c r="D562" s="8">
        <v>45351</v>
      </c>
      <c r="E562" s="8">
        <f>IF(B562="Inactive", EDATE(D562,K562), "")</f>
        <v>45625</v>
      </c>
      <c r="F562" t="s">
        <v>12</v>
      </c>
      <c r="G562">
        <v>5.8</v>
      </c>
      <c r="H562" t="str" cm="1">
        <f t="array" ref="H562">_xlfn.IFS(G562&gt;=20,"20-25", G562&gt;=15,"15-20", G562&gt;=10,"10-15", G562&gt;=5,"5-10", G562&gt;=1,"1-5", G562&lt;1,"Less than 1")</f>
        <v>5-10</v>
      </c>
      <c r="I562">
        <v>3</v>
      </c>
      <c r="J562">
        <v>5</v>
      </c>
      <c r="K562" s="6">
        <v>9</v>
      </c>
      <c r="L562" s="2">
        <v>1.99</v>
      </c>
      <c r="M562" s="6">
        <v>21</v>
      </c>
      <c r="N562" t="str" cm="1">
        <f t="array" ref="N562">_xlfn.IFS(M562&gt;=50,"50-60 Days", M562&gt;=40,"40-50 Days", M562&gt;=30, "30-40 Days", M562&gt;=20, "20-30 Days", M562&gt;=10, "10-20 Days", M562&gt;=0, "0-10 Days")</f>
        <v>20-30 Days</v>
      </c>
    </row>
    <row r="563" spans="1:14">
      <c r="A563">
        <v>562</v>
      </c>
      <c r="B563" t="s">
        <v>28</v>
      </c>
      <c r="C563" s="5">
        <v>45443</v>
      </c>
      <c r="D563" s="8">
        <v>45443</v>
      </c>
      <c r="E563" s="8">
        <f>IF(B563="Inactive", EDATE(D563,K563), "")</f>
        <v>45535</v>
      </c>
      <c r="F563" t="s">
        <v>12</v>
      </c>
      <c r="G563">
        <v>19.399999999999999</v>
      </c>
      <c r="H563" t="str" cm="1">
        <f t="array" ref="H563">_xlfn.IFS(G563&gt;=20,"20-25", G563&gt;=15,"15-20", G563&gt;=10,"10-15", G563&gt;=5,"5-10", G563&gt;=1,"1-5", G563&lt;1,"Less than 1")</f>
        <v>15-20</v>
      </c>
      <c r="I563">
        <v>7</v>
      </c>
      <c r="J563">
        <v>3</v>
      </c>
      <c r="K563" s="6">
        <v>3</v>
      </c>
      <c r="L563" s="2">
        <v>1.99</v>
      </c>
      <c r="M563" s="6">
        <v>42</v>
      </c>
      <c r="N563" t="str" cm="1">
        <f t="array" ref="N563">_xlfn.IFS(M563&gt;=50,"50-60 Days", M563&gt;=40,"40-50 Days", M563&gt;=30, "30-40 Days", M563&gt;=20, "20-30 Days", M563&gt;=10, "10-20 Days", M563&gt;=0, "0-10 Days")</f>
        <v>40-50 Days</v>
      </c>
    </row>
    <row r="564" spans="1:14">
      <c r="A564">
        <v>563</v>
      </c>
      <c r="B564" t="s">
        <v>28</v>
      </c>
      <c r="C564" s="5">
        <v>45526</v>
      </c>
      <c r="D564" s="8">
        <v>45526</v>
      </c>
      <c r="E564" s="8">
        <f>IF(B564="Inactive", EDATE(D564,K564), "")</f>
        <v>45860</v>
      </c>
      <c r="F564" t="s">
        <v>12</v>
      </c>
      <c r="G564">
        <v>0.6</v>
      </c>
      <c r="H564" t="str" cm="1">
        <f t="array" ref="H564">_xlfn.IFS(G564&gt;=20,"20-25", G564&gt;=15,"15-20", G564&gt;=10,"10-15", G564&gt;=5,"5-10", G564&gt;=1,"1-5", G564&lt;1,"Less than 1")</f>
        <v>Less than 1</v>
      </c>
      <c r="I564">
        <v>0</v>
      </c>
      <c r="J564">
        <v>4</v>
      </c>
      <c r="K564" s="6">
        <v>11</v>
      </c>
      <c r="L564" s="2">
        <v>1.99</v>
      </c>
      <c r="M564" s="6">
        <v>59</v>
      </c>
      <c r="N564" t="str" cm="1">
        <f t="array" ref="N564">_xlfn.IFS(M564&gt;=50,"50-60 Days", M564&gt;=40,"40-50 Days", M564&gt;=30, "30-40 Days", M564&gt;=20, "20-30 Days", M564&gt;=10, "10-20 Days", M564&gt;=0, "0-10 Days")</f>
        <v>50-60 Days</v>
      </c>
    </row>
    <row r="565" spans="1:14">
      <c r="A565">
        <v>564</v>
      </c>
      <c r="B565" t="s">
        <v>28</v>
      </c>
      <c r="C565" s="5">
        <v>45058</v>
      </c>
      <c r="D565" s="8">
        <v>45058</v>
      </c>
      <c r="E565" s="8">
        <f>IF(B565="Inactive", EDATE(D565,K565), "")</f>
        <v>45394</v>
      </c>
      <c r="F565" t="s">
        <v>14</v>
      </c>
      <c r="G565">
        <v>19.600000000000001</v>
      </c>
      <c r="H565" t="str" cm="1">
        <f t="array" ref="H565">_xlfn.IFS(G565&gt;=20,"20-25", G565&gt;=15,"15-20", G565&gt;=10,"10-15", G565&gt;=5,"5-10", G565&gt;=1,"1-5", G565&lt;1,"Less than 1")</f>
        <v>15-20</v>
      </c>
      <c r="I565">
        <v>2</v>
      </c>
      <c r="J565">
        <v>5</v>
      </c>
      <c r="K565" s="6">
        <v>11</v>
      </c>
      <c r="L565" s="2">
        <v>3.99</v>
      </c>
      <c r="M565" s="6">
        <v>37</v>
      </c>
      <c r="N565" t="str" cm="1">
        <f t="array" ref="N565">_xlfn.IFS(M565&gt;=50,"50-60 Days", M565&gt;=40,"40-50 Days", M565&gt;=30, "30-40 Days", M565&gt;=20, "20-30 Days", M565&gt;=10, "10-20 Days", M565&gt;=0, "0-10 Days")</f>
        <v>30-40 Days</v>
      </c>
    </row>
    <row r="566" spans="1:14">
      <c r="A566">
        <v>565</v>
      </c>
      <c r="B566" t="s">
        <v>28</v>
      </c>
      <c r="C566" s="5">
        <v>45550</v>
      </c>
      <c r="D566" s="8">
        <v>45550</v>
      </c>
      <c r="E566" s="8">
        <f>IF(B566="Inactive", EDATE(D566,K566), "")</f>
        <v>45823</v>
      </c>
      <c r="F566" t="s">
        <v>12</v>
      </c>
      <c r="G566">
        <v>16.600000000000001</v>
      </c>
      <c r="H566" t="str" cm="1">
        <f t="array" ref="H566">_xlfn.IFS(G566&gt;=20,"20-25", G566&gt;=15,"15-20", G566&gt;=10,"10-15", G566&gt;=5,"5-10", G566&gt;=1,"1-5", G566&lt;1,"Less than 1")</f>
        <v>15-20</v>
      </c>
      <c r="I566">
        <v>5</v>
      </c>
      <c r="J566">
        <v>4</v>
      </c>
      <c r="K566" s="6">
        <v>9</v>
      </c>
      <c r="L566" s="2">
        <v>1.99</v>
      </c>
      <c r="M566" s="6">
        <v>56</v>
      </c>
      <c r="N566" t="str" cm="1">
        <f t="array" ref="N566">_xlfn.IFS(M566&gt;=50,"50-60 Days", M566&gt;=40,"40-50 Days", M566&gt;=30, "30-40 Days", M566&gt;=20, "20-30 Days", M566&gt;=10, "10-20 Days", M566&gt;=0, "0-10 Days")</f>
        <v>50-60 Days</v>
      </c>
    </row>
    <row r="567" spans="1:14">
      <c r="A567">
        <v>566</v>
      </c>
      <c r="B567" t="s">
        <v>29</v>
      </c>
      <c r="C567" s="5">
        <v>45068</v>
      </c>
      <c r="D567" s="8">
        <v>45068</v>
      </c>
      <c r="E567" s="8" t="str">
        <f>IF(B567="Inactive", EDATE(D567,K567), "")</f>
        <v/>
      </c>
      <c r="F567" t="s">
        <v>10</v>
      </c>
      <c r="G567">
        <v>7.2</v>
      </c>
      <c r="H567" t="str" cm="1">
        <f t="array" ref="H567">_xlfn.IFS(G567&gt;=20,"20-25", G567&gt;=15,"15-20", G567&gt;=10,"10-15", G567&gt;=5,"5-10", G567&gt;=1,"1-5", G567&lt;1,"Less than 1")</f>
        <v>5-10</v>
      </c>
      <c r="I567">
        <v>5</v>
      </c>
      <c r="J567">
        <v>2</v>
      </c>
      <c r="K567" s="6">
        <v>6</v>
      </c>
      <c r="L567" s="2">
        <v>6.99</v>
      </c>
      <c r="M567" s="6">
        <v>28</v>
      </c>
      <c r="N567" t="str" cm="1">
        <f t="array" ref="N567">_xlfn.IFS(M567&gt;=50,"50-60 Days", M567&gt;=40,"40-50 Days", M567&gt;=30, "30-40 Days", M567&gt;=20, "20-30 Days", M567&gt;=10, "10-20 Days", M567&gt;=0, "0-10 Days")</f>
        <v>20-30 Days</v>
      </c>
    </row>
    <row r="568" spans="1:14">
      <c r="A568">
        <v>567</v>
      </c>
      <c r="B568" t="s">
        <v>28</v>
      </c>
      <c r="C568" s="5">
        <v>45493</v>
      </c>
      <c r="D568" s="8">
        <v>45493</v>
      </c>
      <c r="E568" s="8">
        <f>IF(B568="Inactive", EDATE(D568,K568), "")</f>
        <v>45828</v>
      </c>
      <c r="F568" t="s">
        <v>14</v>
      </c>
      <c r="G568">
        <v>7.8</v>
      </c>
      <c r="H568" t="str" cm="1">
        <f t="array" ref="H568">_xlfn.IFS(G568&gt;=20,"20-25", G568&gt;=15,"15-20", G568&gt;=10,"10-15", G568&gt;=5,"5-10", G568&gt;=1,"1-5", G568&lt;1,"Less than 1")</f>
        <v>5-10</v>
      </c>
      <c r="I568">
        <v>8</v>
      </c>
      <c r="J568">
        <v>2</v>
      </c>
      <c r="K568" s="6">
        <v>11</v>
      </c>
      <c r="L568" s="2">
        <v>3.99</v>
      </c>
      <c r="M568" s="6">
        <v>45</v>
      </c>
      <c r="N568" t="str" cm="1">
        <f t="array" ref="N568">_xlfn.IFS(M568&gt;=50,"50-60 Days", M568&gt;=40,"40-50 Days", M568&gt;=30, "30-40 Days", M568&gt;=20, "20-30 Days", M568&gt;=10, "10-20 Days", M568&gt;=0, "0-10 Days")</f>
        <v>40-50 Days</v>
      </c>
    </row>
    <row r="569" spans="1:14">
      <c r="A569">
        <v>568</v>
      </c>
      <c r="B569" t="s">
        <v>29</v>
      </c>
      <c r="C569" s="5">
        <v>45062</v>
      </c>
      <c r="D569" s="8">
        <v>45062</v>
      </c>
      <c r="E569" s="8" t="str">
        <f>IF(B569="Inactive", EDATE(D569,K569), "")</f>
        <v/>
      </c>
      <c r="F569" t="s">
        <v>10</v>
      </c>
      <c r="G569">
        <v>5.4</v>
      </c>
      <c r="H569" t="str" cm="1">
        <f t="array" ref="H569">_xlfn.IFS(G569&gt;=20,"20-25", G569&gt;=15,"15-20", G569&gt;=10,"10-15", G569&gt;=5,"5-10", G569&gt;=1,"1-5", G569&lt;1,"Less than 1")</f>
        <v>5-10</v>
      </c>
      <c r="I569">
        <v>4</v>
      </c>
      <c r="J569">
        <v>5</v>
      </c>
      <c r="K569" s="6">
        <v>5</v>
      </c>
      <c r="L569" s="2">
        <v>6.99</v>
      </c>
      <c r="M569" s="6">
        <v>22</v>
      </c>
      <c r="N569" t="str" cm="1">
        <f t="array" ref="N569">_xlfn.IFS(M569&gt;=50,"50-60 Days", M569&gt;=40,"40-50 Days", M569&gt;=30, "30-40 Days", M569&gt;=20, "20-30 Days", M569&gt;=10, "10-20 Days", M569&gt;=0, "0-10 Days")</f>
        <v>20-30 Days</v>
      </c>
    </row>
    <row r="570" spans="1:14">
      <c r="A570">
        <v>569</v>
      </c>
      <c r="B570" t="s">
        <v>29</v>
      </c>
      <c r="C570" s="5">
        <v>45502</v>
      </c>
      <c r="D570" s="8">
        <v>45502</v>
      </c>
      <c r="E570" s="8" t="str">
        <f>IF(B570="Inactive", EDATE(D570,K570), "")</f>
        <v/>
      </c>
      <c r="F570" t="s">
        <v>10</v>
      </c>
      <c r="G570">
        <v>12.8</v>
      </c>
      <c r="H570" t="str" cm="1">
        <f t="array" ref="H570">_xlfn.IFS(G570&gt;=20,"20-25", G570&gt;=15,"15-20", G570&gt;=10,"10-15", G570&gt;=5,"5-10", G570&gt;=1,"1-5", G570&lt;1,"Less than 1")</f>
        <v>10-15</v>
      </c>
      <c r="I570">
        <v>5</v>
      </c>
      <c r="J570">
        <v>5</v>
      </c>
      <c r="K570" s="6">
        <v>4</v>
      </c>
      <c r="L570" s="2">
        <v>6.99</v>
      </c>
      <c r="M570" s="6">
        <v>7</v>
      </c>
      <c r="N570" t="str" cm="1">
        <f t="array" ref="N570">_xlfn.IFS(M570&gt;=50,"50-60 Days", M570&gt;=40,"40-50 Days", M570&gt;=30, "30-40 Days", M570&gt;=20, "20-30 Days", M570&gt;=10, "10-20 Days", M570&gt;=0, "0-10 Days")</f>
        <v>0-10 Days</v>
      </c>
    </row>
    <row r="571" spans="1:14">
      <c r="A571">
        <v>570</v>
      </c>
      <c r="B571" t="s">
        <v>29</v>
      </c>
      <c r="C571" s="5">
        <v>44940</v>
      </c>
      <c r="D571" s="8">
        <v>44940</v>
      </c>
      <c r="E571" s="8" t="str">
        <f>IF(B571="Inactive", EDATE(D571,K571), "")</f>
        <v/>
      </c>
      <c r="F571" t="s">
        <v>14</v>
      </c>
      <c r="G571">
        <v>17</v>
      </c>
      <c r="H571" t="str" cm="1">
        <f t="array" ref="H571">_xlfn.IFS(G571&gt;=20,"20-25", G571&gt;=15,"15-20", G571&gt;=10,"10-15", G571&gt;=5,"5-10", G571&gt;=1,"1-5", G571&lt;1,"Less than 1")</f>
        <v>15-20</v>
      </c>
      <c r="I571">
        <v>8</v>
      </c>
      <c r="J571">
        <v>2</v>
      </c>
      <c r="K571" s="6">
        <v>9</v>
      </c>
      <c r="L571" s="2">
        <v>3.99</v>
      </c>
      <c r="M571" s="6">
        <v>56</v>
      </c>
      <c r="N571" t="str" cm="1">
        <f t="array" ref="N571">_xlfn.IFS(M571&gt;=50,"50-60 Days", M571&gt;=40,"40-50 Days", M571&gt;=30, "30-40 Days", M571&gt;=20, "20-30 Days", M571&gt;=10, "10-20 Days", M571&gt;=0, "0-10 Days")</f>
        <v>50-60 Days</v>
      </c>
    </row>
    <row r="572" spans="1:14">
      <c r="A572">
        <v>571</v>
      </c>
      <c r="B572" t="s">
        <v>28</v>
      </c>
      <c r="C572" s="5">
        <v>45200</v>
      </c>
      <c r="D572" s="8">
        <v>45200</v>
      </c>
      <c r="E572" s="8">
        <f>IF(B572="Inactive", EDATE(D572,K572), "")</f>
        <v>45292</v>
      </c>
      <c r="F572" t="s">
        <v>10</v>
      </c>
      <c r="G572">
        <v>1.1000000000000001</v>
      </c>
      <c r="H572" t="str" cm="1">
        <f t="array" ref="H572">_xlfn.IFS(G572&gt;=20,"20-25", G572&gt;=15,"15-20", G572&gt;=10,"10-15", G572&gt;=5,"5-10", G572&gt;=1,"1-5", G572&lt;1,"Less than 1")</f>
        <v>1-5</v>
      </c>
      <c r="I572">
        <v>2</v>
      </c>
      <c r="J572">
        <v>0</v>
      </c>
      <c r="K572" s="6">
        <v>3</v>
      </c>
      <c r="L572" s="2">
        <v>6.99</v>
      </c>
      <c r="M572" s="6">
        <v>42</v>
      </c>
      <c r="N572" t="str" cm="1">
        <f t="array" ref="N572">_xlfn.IFS(M572&gt;=50,"50-60 Days", M572&gt;=40,"40-50 Days", M572&gt;=30, "30-40 Days", M572&gt;=20, "20-30 Days", M572&gt;=10, "10-20 Days", M572&gt;=0, "0-10 Days")</f>
        <v>40-50 Days</v>
      </c>
    </row>
    <row r="573" spans="1:14">
      <c r="A573">
        <v>572</v>
      </c>
      <c r="B573" t="s">
        <v>29</v>
      </c>
      <c r="C573" s="5">
        <v>45135</v>
      </c>
      <c r="D573" s="8">
        <v>45135</v>
      </c>
      <c r="E573" s="8" t="str">
        <f>IF(B573="Inactive", EDATE(D573,K573), "")</f>
        <v/>
      </c>
      <c r="F573" t="s">
        <v>12</v>
      </c>
      <c r="G573">
        <v>17.2</v>
      </c>
      <c r="H573" t="str" cm="1">
        <f t="array" ref="H573">_xlfn.IFS(G573&gt;=20,"20-25", G573&gt;=15,"15-20", G573&gt;=10,"10-15", G573&gt;=5,"5-10", G573&gt;=1,"1-5", G573&lt;1,"Less than 1")</f>
        <v>15-20</v>
      </c>
      <c r="I573">
        <v>2</v>
      </c>
      <c r="J573">
        <v>0</v>
      </c>
      <c r="K573" s="6">
        <v>7</v>
      </c>
      <c r="L573" s="2">
        <v>1.99</v>
      </c>
      <c r="M573" s="6">
        <v>44</v>
      </c>
      <c r="N573" t="str" cm="1">
        <f t="array" ref="N573">_xlfn.IFS(M573&gt;=50,"50-60 Days", M573&gt;=40,"40-50 Days", M573&gt;=30, "30-40 Days", M573&gt;=20, "20-30 Days", M573&gt;=10, "10-20 Days", M573&gt;=0, "0-10 Days")</f>
        <v>40-50 Days</v>
      </c>
    </row>
    <row r="574" spans="1:14">
      <c r="A574">
        <v>573</v>
      </c>
      <c r="B574" t="s">
        <v>29</v>
      </c>
      <c r="C574" s="5">
        <v>45502</v>
      </c>
      <c r="D574" s="8">
        <v>45502</v>
      </c>
      <c r="E574" s="8" t="str">
        <f>IF(B574="Inactive", EDATE(D574,K574), "")</f>
        <v/>
      </c>
      <c r="F574" t="s">
        <v>10</v>
      </c>
      <c r="G574">
        <v>9.3000000000000007</v>
      </c>
      <c r="H574" t="str" cm="1">
        <f t="array" ref="H574">_xlfn.IFS(G574&gt;=20,"20-25", G574&gt;=15,"15-20", G574&gt;=10,"10-15", G574&gt;=5,"5-10", G574&gt;=1,"1-5", G574&lt;1,"Less than 1")</f>
        <v>5-10</v>
      </c>
      <c r="I574">
        <v>7</v>
      </c>
      <c r="J574">
        <v>0</v>
      </c>
      <c r="K574" s="6">
        <v>1</v>
      </c>
      <c r="L574" s="2">
        <v>6.99</v>
      </c>
      <c r="M574" s="6">
        <v>39</v>
      </c>
      <c r="N574" t="str" cm="1">
        <f t="array" ref="N574">_xlfn.IFS(M574&gt;=50,"50-60 Days", M574&gt;=40,"40-50 Days", M574&gt;=30, "30-40 Days", M574&gt;=20, "20-30 Days", M574&gt;=10, "10-20 Days", M574&gt;=0, "0-10 Days")</f>
        <v>30-40 Days</v>
      </c>
    </row>
    <row r="575" spans="1:14">
      <c r="A575">
        <v>574</v>
      </c>
      <c r="B575" t="s">
        <v>29</v>
      </c>
      <c r="C575" s="5">
        <v>44975</v>
      </c>
      <c r="D575" s="8">
        <v>44975</v>
      </c>
      <c r="E575" s="8" t="str">
        <f>IF(B575="Inactive", EDATE(D575,K575), "")</f>
        <v/>
      </c>
      <c r="F575" t="s">
        <v>12</v>
      </c>
      <c r="G575">
        <v>10</v>
      </c>
      <c r="H575" t="str" cm="1">
        <f t="array" ref="H575">_xlfn.IFS(G575&gt;=20,"20-25", G575&gt;=15,"15-20", G575&gt;=10,"10-15", G575&gt;=5,"5-10", G575&gt;=1,"1-5", G575&lt;1,"Less than 1")</f>
        <v>10-15</v>
      </c>
      <c r="I575">
        <v>8</v>
      </c>
      <c r="J575">
        <v>5</v>
      </c>
      <c r="K575" s="6">
        <v>12</v>
      </c>
      <c r="L575" s="2">
        <v>1.99</v>
      </c>
      <c r="M575" s="6">
        <v>18</v>
      </c>
      <c r="N575" t="str" cm="1">
        <f t="array" ref="N575">_xlfn.IFS(M575&gt;=50,"50-60 Days", M575&gt;=40,"40-50 Days", M575&gt;=30, "30-40 Days", M575&gt;=20, "20-30 Days", M575&gt;=10, "10-20 Days", M575&gt;=0, "0-10 Days")</f>
        <v>10-20 Days</v>
      </c>
    </row>
    <row r="576" spans="1:14">
      <c r="A576">
        <v>575</v>
      </c>
      <c r="B576" t="s">
        <v>28</v>
      </c>
      <c r="C576" s="5">
        <v>45184</v>
      </c>
      <c r="D576" s="8">
        <v>45184</v>
      </c>
      <c r="E576" s="8">
        <f>IF(B576="Inactive", EDATE(D576,K576), "")</f>
        <v>45458</v>
      </c>
      <c r="F576" t="s">
        <v>14</v>
      </c>
      <c r="G576">
        <v>10.7</v>
      </c>
      <c r="H576" t="str" cm="1">
        <f t="array" ref="H576">_xlfn.IFS(G576&gt;=20,"20-25", G576&gt;=15,"15-20", G576&gt;=10,"10-15", G576&gt;=5,"5-10", G576&gt;=1,"1-5", G576&lt;1,"Less than 1")</f>
        <v>10-15</v>
      </c>
      <c r="I576">
        <v>5</v>
      </c>
      <c r="J576">
        <v>4</v>
      </c>
      <c r="K576" s="6">
        <v>9</v>
      </c>
      <c r="L576" s="2">
        <v>3.99</v>
      </c>
      <c r="M576" s="6">
        <v>3</v>
      </c>
      <c r="N576" t="str" cm="1">
        <f t="array" ref="N576">_xlfn.IFS(M576&gt;=50,"50-60 Days", M576&gt;=40,"40-50 Days", M576&gt;=30, "30-40 Days", M576&gt;=20, "20-30 Days", M576&gt;=10, "10-20 Days", M576&gt;=0, "0-10 Days")</f>
        <v>0-10 Days</v>
      </c>
    </row>
    <row r="577" spans="1:14">
      <c r="A577">
        <v>576</v>
      </c>
      <c r="B577" t="s">
        <v>28</v>
      </c>
      <c r="C577" s="5">
        <v>45128</v>
      </c>
      <c r="D577" s="8">
        <v>45128</v>
      </c>
      <c r="E577" s="8">
        <f>IF(B577="Inactive", EDATE(D577,K577), "")</f>
        <v>45433</v>
      </c>
      <c r="F577" t="s">
        <v>12</v>
      </c>
      <c r="G577">
        <v>20.8</v>
      </c>
      <c r="H577" t="str" cm="1">
        <f t="array" ref="H577">_xlfn.IFS(G577&gt;=20,"20-25", G577&gt;=15,"15-20", G577&gt;=10,"10-15", G577&gt;=5,"5-10", G577&gt;=1,"1-5", G577&lt;1,"Less than 1")</f>
        <v>20-25</v>
      </c>
      <c r="I577">
        <v>5</v>
      </c>
      <c r="J577">
        <v>4</v>
      </c>
      <c r="K577" s="6">
        <v>10</v>
      </c>
      <c r="L577" s="2">
        <v>1.99</v>
      </c>
      <c r="M577" s="6">
        <v>34</v>
      </c>
      <c r="N577" t="str" cm="1">
        <f t="array" ref="N577">_xlfn.IFS(M577&gt;=50,"50-60 Days", M577&gt;=40,"40-50 Days", M577&gt;=30, "30-40 Days", M577&gt;=20, "20-30 Days", M577&gt;=10, "10-20 Days", M577&gt;=0, "0-10 Days")</f>
        <v>30-40 Days</v>
      </c>
    </row>
    <row r="578" spans="1:14">
      <c r="A578">
        <v>577</v>
      </c>
      <c r="B578" t="s">
        <v>28</v>
      </c>
      <c r="C578" s="5">
        <v>45104</v>
      </c>
      <c r="D578" s="8">
        <v>45104</v>
      </c>
      <c r="E578" s="8">
        <f>IF(B578="Inactive", EDATE(D578,K578), "")</f>
        <v>45257</v>
      </c>
      <c r="F578" t="s">
        <v>10</v>
      </c>
      <c r="G578">
        <v>7.7</v>
      </c>
      <c r="H578" t="str" cm="1">
        <f t="array" ref="H578">_xlfn.IFS(G578&gt;=20,"20-25", G578&gt;=15,"15-20", G578&gt;=10,"10-15", G578&gt;=5,"5-10", G578&gt;=1,"1-5", G578&lt;1,"Less than 1")</f>
        <v>5-10</v>
      </c>
      <c r="I578">
        <v>2</v>
      </c>
      <c r="J578">
        <v>5</v>
      </c>
      <c r="K578" s="6">
        <v>5</v>
      </c>
      <c r="L578" s="2">
        <v>6.99</v>
      </c>
      <c r="M578" s="6">
        <v>4</v>
      </c>
      <c r="N578" t="str" cm="1">
        <f t="array" ref="N578">_xlfn.IFS(M578&gt;=50,"50-60 Days", M578&gt;=40,"40-50 Days", M578&gt;=30, "30-40 Days", M578&gt;=20, "20-30 Days", M578&gt;=10, "10-20 Days", M578&gt;=0, "0-10 Days")</f>
        <v>0-10 Days</v>
      </c>
    </row>
    <row r="579" spans="1:14">
      <c r="A579">
        <v>578</v>
      </c>
      <c r="B579" t="s">
        <v>28</v>
      </c>
      <c r="C579" s="5">
        <v>45060</v>
      </c>
      <c r="D579" s="8">
        <v>45060</v>
      </c>
      <c r="E579" s="8">
        <f>IF(B579="Inactive", EDATE(D579,K579), "")</f>
        <v>45396</v>
      </c>
      <c r="F579" t="s">
        <v>10</v>
      </c>
      <c r="G579">
        <v>3.4</v>
      </c>
      <c r="H579" t="str" cm="1">
        <f t="array" ref="H579">_xlfn.IFS(G579&gt;=20,"20-25", G579&gt;=15,"15-20", G579&gt;=10,"10-15", G579&gt;=5,"5-10", G579&gt;=1,"1-5", G579&lt;1,"Less than 1")</f>
        <v>1-5</v>
      </c>
      <c r="I579">
        <v>0</v>
      </c>
      <c r="J579">
        <v>3</v>
      </c>
      <c r="K579" s="6">
        <v>11</v>
      </c>
      <c r="L579" s="2">
        <v>6.99</v>
      </c>
      <c r="M579" s="6">
        <v>17</v>
      </c>
      <c r="N579" t="str" cm="1">
        <f t="array" ref="N579">_xlfn.IFS(M579&gt;=50,"50-60 Days", M579&gt;=40,"40-50 Days", M579&gt;=30, "30-40 Days", M579&gt;=20, "20-30 Days", M579&gt;=10, "10-20 Days", M579&gt;=0, "0-10 Days")</f>
        <v>10-20 Days</v>
      </c>
    </row>
    <row r="580" spans="1:14">
      <c r="A580">
        <v>579</v>
      </c>
      <c r="B580" t="s">
        <v>28</v>
      </c>
      <c r="C580" s="5">
        <v>45084</v>
      </c>
      <c r="D580" s="8">
        <v>45084</v>
      </c>
      <c r="E580" s="8">
        <f>IF(B580="Inactive", EDATE(D580,K580), "")</f>
        <v>45267</v>
      </c>
      <c r="F580" t="s">
        <v>12</v>
      </c>
      <c r="G580">
        <v>0.6</v>
      </c>
      <c r="H580" t="str" cm="1">
        <f t="array" ref="H580">_xlfn.IFS(G580&gt;=20,"20-25", G580&gt;=15,"15-20", G580&gt;=10,"10-15", G580&gt;=5,"5-10", G580&gt;=1,"1-5", G580&lt;1,"Less than 1")</f>
        <v>Less than 1</v>
      </c>
      <c r="I580">
        <v>7</v>
      </c>
      <c r="J580">
        <v>5</v>
      </c>
      <c r="K580" s="6">
        <v>6</v>
      </c>
      <c r="L580" s="2">
        <v>1.99</v>
      </c>
      <c r="M580" s="6">
        <v>59</v>
      </c>
      <c r="N580" t="str" cm="1">
        <f t="array" ref="N580">_xlfn.IFS(M580&gt;=50,"50-60 Days", M580&gt;=40,"40-50 Days", M580&gt;=30, "30-40 Days", M580&gt;=20, "20-30 Days", M580&gt;=10, "10-20 Days", M580&gt;=0, "0-10 Days")</f>
        <v>50-60 Days</v>
      </c>
    </row>
    <row r="581" spans="1:14">
      <c r="A581">
        <v>580</v>
      </c>
      <c r="B581" t="s">
        <v>28</v>
      </c>
      <c r="C581" s="5">
        <v>45293</v>
      </c>
      <c r="D581" s="8">
        <v>45293</v>
      </c>
      <c r="E581" s="8">
        <f>IF(B581="Inactive", EDATE(D581,K581), "")</f>
        <v>45353</v>
      </c>
      <c r="F581" t="s">
        <v>14</v>
      </c>
      <c r="G581">
        <v>19.5</v>
      </c>
      <c r="H581" t="str" cm="1">
        <f t="array" ref="H581">_xlfn.IFS(G581&gt;=20,"20-25", G581&gt;=15,"15-20", G581&gt;=10,"10-15", G581&gt;=5,"5-10", G581&gt;=1,"1-5", G581&lt;1,"Less than 1")</f>
        <v>15-20</v>
      </c>
      <c r="I581">
        <v>4</v>
      </c>
      <c r="J581">
        <v>3</v>
      </c>
      <c r="K581" s="6">
        <v>2</v>
      </c>
      <c r="L581" s="2">
        <v>3.99</v>
      </c>
      <c r="M581" s="6">
        <v>50</v>
      </c>
      <c r="N581" t="str" cm="1">
        <f t="array" ref="N581">_xlfn.IFS(M581&gt;=50,"50-60 Days", M581&gt;=40,"40-50 Days", M581&gt;=30, "30-40 Days", M581&gt;=20, "20-30 Days", M581&gt;=10, "10-20 Days", M581&gt;=0, "0-10 Days")</f>
        <v>50-60 Days</v>
      </c>
    </row>
    <row r="582" spans="1:14">
      <c r="A582">
        <v>581</v>
      </c>
      <c r="B582" t="s">
        <v>29</v>
      </c>
      <c r="C582" s="5">
        <v>45090</v>
      </c>
      <c r="D582" s="8">
        <v>45090</v>
      </c>
      <c r="E582" s="8" t="str">
        <f>IF(B582="Inactive", EDATE(D582,K582), "")</f>
        <v/>
      </c>
      <c r="F582" t="s">
        <v>12</v>
      </c>
      <c r="G582">
        <v>13.4</v>
      </c>
      <c r="H582" t="str" cm="1">
        <f t="array" ref="H582">_xlfn.IFS(G582&gt;=20,"20-25", G582&gt;=15,"15-20", G582&gt;=10,"10-15", G582&gt;=5,"5-10", G582&gt;=1,"1-5", G582&lt;1,"Less than 1")</f>
        <v>10-15</v>
      </c>
      <c r="I582">
        <v>2</v>
      </c>
      <c r="J582">
        <v>4</v>
      </c>
      <c r="K582" s="6">
        <v>7</v>
      </c>
      <c r="L582" s="2">
        <v>1.99</v>
      </c>
      <c r="M582" s="6">
        <v>4</v>
      </c>
      <c r="N582" t="str" cm="1">
        <f t="array" ref="N582">_xlfn.IFS(M582&gt;=50,"50-60 Days", M582&gt;=40,"40-50 Days", M582&gt;=30, "30-40 Days", M582&gt;=20, "20-30 Days", M582&gt;=10, "10-20 Days", M582&gt;=0, "0-10 Days")</f>
        <v>0-10 Days</v>
      </c>
    </row>
    <row r="583" spans="1:14">
      <c r="A583">
        <v>582</v>
      </c>
      <c r="B583" t="s">
        <v>29</v>
      </c>
      <c r="C583" s="5">
        <v>45606</v>
      </c>
      <c r="D583" s="8">
        <v>45606</v>
      </c>
      <c r="E583" s="8" t="str">
        <f>IF(B583="Inactive", EDATE(D583,K583), "")</f>
        <v/>
      </c>
      <c r="F583" t="s">
        <v>14</v>
      </c>
      <c r="G583">
        <v>13.7</v>
      </c>
      <c r="H583" t="str" cm="1">
        <f t="array" ref="H583">_xlfn.IFS(G583&gt;=20,"20-25", G583&gt;=15,"15-20", G583&gt;=10,"10-15", G583&gt;=5,"5-10", G583&gt;=1,"1-5", G583&lt;1,"Less than 1")</f>
        <v>10-15</v>
      </c>
      <c r="I583">
        <v>1</v>
      </c>
      <c r="J583">
        <v>2</v>
      </c>
      <c r="K583" s="6">
        <v>12</v>
      </c>
      <c r="L583" s="2">
        <v>3.99</v>
      </c>
      <c r="M583" s="6">
        <v>14</v>
      </c>
      <c r="N583" t="str" cm="1">
        <f t="array" ref="N583">_xlfn.IFS(M583&gt;=50,"50-60 Days", M583&gt;=40,"40-50 Days", M583&gt;=30, "30-40 Days", M583&gt;=20, "20-30 Days", M583&gt;=10, "10-20 Days", M583&gt;=0, "0-10 Days")</f>
        <v>10-20 Days</v>
      </c>
    </row>
    <row r="584" spans="1:14">
      <c r="A584">
        <v>583</v>
      </c>
      <c r="B584" t="s">
        <v>28</v>
      </c>
      <c r="C584" s="5">
        <v>45501</v>
      </c>
      <c r="D584" s="8">
        <v>45501</v>
      </c>
      <c r="E584" s="8">
        <f>IF(B584="Inactive", EDATE(D584,K584), "")</f>
        <v>45744</v>
      </c>
      <c r="F584" t="s">
        <v>14</v>
      </c>
      <c r="G584">
        <v>9.3000000000000007</v>
      </c>
      <c r="H584" t="str" cm="1">
        <f t="array" ref="H584">_xlfn.IFS(G584&gt;=20,"20-25", G584&gt;=15,"15-20", G584&gt;=10,"10-15", G584&gt;=5,"5-10", G584&gt;=1,"1-5", G584&lt;1,"Less than 1")</f>
        <v>5-10</v>
      </c>
      <c r="I584">
        <v>3</v>
      </c>
      <c r="J584">
        <v>4</v>
      </c>
      <c r="K584" s="6">
        <v>8</v>
      </c>
      <c r="L584" s="2">
        <v>3.99</v>
      </c>
      <c r="M584" s="6">
        <v>33</v>
      </c>
      <c r="N584" t="str" cm="1">
        <f t="array" ref="N584">_xlfn.IFS(M584&gt;=50,"50-60 Days", M584&gt;=40,"40-50 Days", M584&gt;=30, "30-40 Days", M584&gt;=20, "20-30 Days", M584&gt;=10, "10-20 Days", M584&gt;=0, "0-10 Days")</f>
        <v>30-40 Days</v>
      </c>
    </row>
    <row r="585" spans="1:14">
      <c r="A585">
        <v>584</v>
      </c>
      <c r="B585" t="s">
        <v>29</v>
      </c>
      <c r="C585" s="5">
        <v>45555</v>
      </c>
      <c r="D585" s="8">
        <v>45555</v>
      </c>
      <c r="E585" s="8" t="str">
        <f>IF(B585="Inactive", EDATE(D585,K585), "")</f>
        <v/>
      </c>
      <c r="F585" t="s">
        <v>10</v>
      </c>
      <c r="G585">
        <v>3.3</v>
      </c>
      <c r="H585" t="str" cm="1">
        <f t="array" ref="H585">_xlfn.IFS(G585&gt;=20,"20-25", G585&gt;=15,"15-20", G585&gt;=10,"10-15", G585&gt;=5,"5-10", G585&gt;=1,"1-5", G585&lt;1,"Less than 1")</f>
        <v>1-5</v>
      </c>
      <c r="I585">
        <v>5</v>
      </c>
      <c r="J585">
        <v>3</v>
      </c>
      <c r="K585" s="6">
        <v>1</v>
      </c>
      <c r="L585" s="2">
        <v>6.99</v>
      </c>
      <c r="M585" s="6">
        <v>15</v>
      </c>
      <c r="N585" t="str" cm="1">
        <f t="array" ref="N585">_xlfn.IFS(M585&gt;=50,"50-60 Days", M585&gt;=40,"40-50 Days", M585&gt;=30, "30-40 Days", M585&gt;=20, "20-30 Days", M585&gt;=10, "10-20 Days", M585&gt;=0, "0-10 Days")</f>
        <v>10-20 Days</v>
      </c>
    </row>
    <row r="586" spans="1:14">
      <c r="A586">
        <v>585</v>
      </c>
      <c r="B586" t="s">
        <v>29</v>
      </c>
      <c r="C586" s="5">
        <v>45043</v>
      </c>
      <c r="D586" s="8">
        <v>45043</v>
      </c>
      <c r="E586" s="8" t="str">
        <f>IF(B586="Inactive", EDATE(D586,K586), "")</f>
        <v/>
      </c>
      <c r="F586" t="s">
        <v>10</v>
      </c>
      <c r="G586">
        <v>24</v>
      </c>
      <c r="H586" t="str" cm="1">
        <f t="array" ref="H586">_xlfn.IFS(G586&gt;=20,"20-25", G586&gt;=15,"15-20", G586&gt;=10,"10-15", G586&gt;=5,"5-10", G586&gt;=1,"1-5", G586&lt;1,"Less than 1")</f>
        <v>20-25</v>
      </c>
      <c r="I586">
        <v>5</v>
      </c>
      <c r="J586">
        <v>3</v>
      </c>
      <c r="K586" s="6">
        <v>6</v>
      </c>
      <c r="L586" s="2">
        <v>6.99</v>
      </c>
      <c r="M586" s="6">
        <v>58</v>
      </c>
      <c r="N586" t="str" cm="1">
        <f t="array" ref="N586">_xlfn.IFS(M586&gt;=50,"50-60 Days", M586&gt;=40,"40-50 Days", M586&gt;=30, "30-40 Days", M586&gt;=20, "20-30 Days", M586&gt;=10, "10-20 Days", M586&gt;=0, "0-10 Days")</f>
        <v>50-60 Days</v>
      </c>
    </row>
    <row r="587" spans="1:14">
      <c r="A587">
        <v>586</v>
      </c>
      <c r="B587" t="s">
        <v>29</v>
      </c>
      <c r="C587" s="5">
        <v>45310</v>
      </c>
      <c r="D587" s="8">
        <v>45310</v>
      </c>
      <c r="E587" s="8" t="str">
        <f>IF(B587="Inactive", EDATE(D587,K587), "")</f>
        <v/>
      </c>
      <c r="F587" t="s">
        <v>14</v>
      </c>
      <c r="G587">
        <v>13.7</v>
      </c>
      <c r="H587" t="str" cm="1">
        <f t="array" ref="H587">_xlfn.IFS(G587&gt;=20,"20-25", G587&gt;=15,"15-20", G587&gt;=10,"10-15", G587&gt;=5,"5-10", G587&gt;=1,"1-5", G587&lt;1,"Less than 1")</f>
        <v>10-15</v>
      </c>
      <c r="I587">
        <v>4</v>
      </c>
      <c r="J587">
        <v>0</v>
      </c>
      <c r="K587" s="6">
        <v>6</v>
      </c>
      <c r="L587" s="2">
        <v>3.99</v>
      </c>
      <c r="M587" s="6">
        <v>58</v>
      </c>
      <c r="N587" t="str" cm="1">
        <f t="array" ref="N587">_xlfn.IFS(M587&gt;=50,"50-60 Days", M587&gt;=40,"40-50 Days", M587&gt;=30, "30-40 Days", M587&gt;=20, "20-30 Days", M587&gt;=10, "10-20 Days", M587&gt;=0, "0-10 Days")</f>
        <v>50-60 Days</v>
      </c>
    </row>
    <row r="588" spans="1:14">
      <c r="A588">
        <v>587</v>
      </c>
      <c r="B588" t="s">
        <v>29</v>
      </c>
      <c r="C588" s="5">
        <v>45255</v>
      </c>
      <c r="D588" s="8">
        <v>45255</v>
      </c>
      <c r="E588" s="8" t="str">
        <f>IF(B588="Inactive", EDATE(D588,K588), "")</f>
        <v/>
      </c>
      <c r="F588" t="s">
        <v>10</v>
      </c>
      <c r="G588">
        <v>11.4</v>
      </c>
      <c r="H588" t="str" cm="1">
        <f t="array" ref="H588">_xlfn.IFS(G588&gt;=20,"20-25", G588&gt;=15,"15-20", G588&gt;=10,"10-15", G588&gt;=5,"5-10", G588&gt;=1,"1-5", G588&lt;1,"Less than 1")</f>
        <v>10-15</v>
      </c>
      <c r="I588">
        <v>0</v>
      </c>
      <c r="J588">
        <v>2</v>
      </c>
      <c r="K588" s="6">
        <v>11</v>
      </c>
      <c r="L588" s="2">
        <v>6.99</v>
      </c>
      <c r="M588" s="6">
        <v>57</v>
      </c>
      <c r="N588" t="str" cm="1">
        <f t="array" ref="N588">_xlfn.IFS(M588&gt;=50,"50-60 Days", M588&gt;=40,"40-50 Days", M588&gt;=30, "30-40 Days", M588&gt;=20, "20-30 Days", M588&gt;=10, "10-20 Days", M588&gt;=0, "0-10 Days")</f>
        <v>50-60 Days</v>
      </c>
    </row>
    <row r="589" spans="1:14">
      <c r="A589">
        <v>588</v>
      </c>
      <c r="B589" t="s">
        <v>28</v>
      </c>
      <c r="C589" s="5">
        <v>44994</v>
      </c>
      <c r="D589" s="8">
        <v>44994</v>
      </c>
      <c r="E589" s="8">
        <f>IF(B589="Inactive", EDATE(D589,K589), "")</f>
        <v>45055</v>
      </c>
      <c r="F589" t="s">
        <v>10</v>
      </c>
      <c r="G589">
        <v>23.7</v>
      </c>
      <c r="H589" t="str" cm="1">
        <f t="array" ref="H589">_xlfn.IFS(G589&gt;=20,"20-25", G589&gt;=15,"15-20", G589&gt;=10,"10-15", G589&gt;=5,"5-10", G589&gt;=1,"1-5", G589&lt;1,"Less than 1")</f>
        <v>20-25</v>
      </c>
      <c r="I589">
        <v>2</v>
      </c>
      <c r="J589">
        <v>4</v>
      </c>
      <c r="K589" s="6">
        <v>2</v>
      </c>
      <c r="L589" s="2">
        <v>6.99</v>
      </c>
      <c r="M589" s="6">
        <v>34</v>
      </c>
      <c r="N589" t="str" cm="1">
        <f t="array" ref="N589">_xlfn.IFS(M589&gt;=50,"50-60 Days", M589&gt;=40,"40-50 Days", M589&gt;=30, "30-40 Days", M589&gt;=20, "20-30 Days", M589&gt;=10, "10-20 Days", M589&gt;=0, "0-10 Days")</f>
        <v>30-40 Days</v>
      </c>
    </row>
    <row r="590" spans="1:14">
      <c r="A590">
        <v>589</v>
      </c>
      <c r="B590" t="s">
        <v>29</v>
      </c>
      <c r="C590" s="5">
        <v>45646</v>
      </c>
      <c r="D590" s="8">
        <v>45646</v>
      </c>
      <c r="E590" s="8" t="str">
        <f>IF(B590="Inactive", EDATE(D590,K590), "")</f>
        <v/>
      </c>
      <c r="F590" t="s">
        <v>12</v>
      </c>
      <c r="G590">
        <v>21.7</v>
      </c>
      <c r="H590" t="str" cm="1">
        <f t="array" ref="H590">_xlfn.IFS(G590&gt;=20,"20-25", G590&gt;=15,"15-20", G590&gt;=10,"10-15", G590&gt;=5,"5-10", G590&gt;=1,"1-5", G590&lt;1,"Less than 1")</f>
        <v>20-25</v>
      </c>
      <c r="I590">
        <v>6</v>
      </c>
      <c r="J590">
        <v>0</v>
      </c>
      <c r="K590" s="6">
        <v>5</v>
      </c>
      <c r="L590" s="2">
        <v>1.99</v>
      </c>
      <c r="M590" s="6">
        <v>13</v>
      </c>
      <c r="N590" t="str" cm="1">
        <f t="array" ref="N590">_xlfn.IFS(M590&gt;=50,"50-60 Days", M590&gt;=40,"40-50 Days", M590&gt;=30, "30-40 Days", M590&gt;=20, "20-30 Days", M590&gt;=10, "10-20 Days", M590&gt;=0, "0-10 Days")</f>
        <v>10-20 Days</v>
      </c>
    </row>
    <row r="591" spans="1:14">
      <c r="A591">
        <v>590</v>
      </c>
      <c r="B591" t="s">
        <v>28</v>
      </c>
      <c r="C591" s="5">
        <v>45397</v>
      </c>
      <c r="D591" s="8">
        <v>45397</v>
      </c>
      <c r="E591" s="8">
        <f>IF(B591="Inactive", EDATE(D591,K591), "")</f>
        <v>45703</v>
      </c>
      <c r="F591" t="s">
        <v>10</v>
      </c>
      <c r="G591">
        <v>16.3</v>
      </c>
      <c r="H591" t="str" cm="1">
        <f t="array" ref="H591">_xlfn.IFS(G591&gt;=20,"20-25", G591&gt;=15,"15-20", G591&gt;=10,"10-15", G591&gt;=5,"5-10", G591&gt;=1,"1-5", G591&lt;1,"Less than 1")</f>
        <v>15-20</v>
      </c>
      <c r="I591">
        <v>1</v>
      </c>
      <c r="J591">
        <v>5</v>
      </c>
      <c r="K591" s="6">
        <v>10</v>
      </c>
      <c r="L591" s="2">
        <v>6.99</v>
      </c>
      <c r="M591" s="6">
        <v>43</v>
      </c>
      <c r="N591" t="str" cm="1">
        <f t="array" ref="N591">_xlfn.IFS(M591&gt;=50,"50-60 Days", M591&gt;=40,"40-50 Days", M591&gt;=30, "30-40 Days", M591&gt;=20, "20-30 Days", M591&gt;=10, "10-20 Days", M591&gt;=0, "0-10 Days")</f>
        <v>40-50 Days</v>
      </c>
    </row>
    <row r="592" spans="1:14">
      <c r="A592">
        <v>591</v>
      </c>
      <c r="B592" t="s">
        <v>29</v>
      </c>
      <c r="C592" s="5">
        <v>45498</v>
      </c>
      <c r="D592" s="8">
        <v>45498</v>
      </c>
      <c r="E592" s="8" t="str">
        <f>IF(B592="Inactive", EDATE(D592,K592), "")</f>
        <v/>
      </c>
      <c r="F592" t="s">
        <v>10</v>
      </c>
      <c r="G592">
        <v>1.4</v>
      </c>
      <c r="H592" t="str" cm="1">
        <f t="array" ref="H592">_xlfn.IFS(G592&gt;=20,"20-25", G592&gt;=15,"15-20", G592&gt;=10,"10-15", G592&gt;=5,"5-10", G592&gt;=1,"1-5", G592&lt;1,"Less than 1")</f>
        <v>1-5</v>
      </c>
      <c r="I592">
        <v>1</v>
      </c>
      <c r="J592">
        <v>0</v>
      </c>
      <c r="K592" s="6">
        <v>8</v>
      </c>
      <c r="L592" s="2">
        <v>6.99</v>
      </c>
      <c r="M592" s="6">
        <v>11</v>
      </c>
      <c r="N592" t="str" cm="1">
        <f t="array" ref="N592">_xlfn.IFS(M592&gt;=50,"50-60 Days", M592&gt;=40,"40-50 Days", M592&gt;=30, "30-40 Days", M592&gt;=20, "20-30 Days", M592&gt;=10, "10-20 Days", M592&gt;=0, "0-10 Days")</f>
        <v>10-20 Days</v>
      </c>
    </row>
    <row r="593" spans="1:14">
      <c r="A593">
        <v>592</v>
      </c>
      <c r="B593" t="s">
        <v>28</v>
      </c>
      <c r="C593" s="5">
        <v>45370</v>
      </c>
      <c r="D593" s="8">
        <v>45370</v>
      </c>
      <c r="E593" s="8">
        <f>IF(B593="Inactive", EDATE(D593,K593), "")</f>
        <v>45523</v>
      </c>
      <c r="F593" t="s">
        <v>12</v>
      </c>
      <c r="G593">
        <v>22.8</v>
      </c>
      <c r="H593" t="str" cm="1">
        <f t="array" ref="H593">_xlfn.IFS(G593&gt;=20,"20-25", G593&gt;=15,"15-20", G593&gt;=10,"10-15", G593&gt;=5,"5-10", G593&gt;=1,"1-5", G593&lt;1,"Less than 1")</f>
        <v>20-25</v>
      </c>
      <c r="I593">
        <v>6</v>
      </c>
      <c r="J593">
        <v>3</v>
      </c>
      <c r="K593" s="6">
        <v>5</v>
      </c>
      <c r="L593" s="2">
        <v>1.99</v>
      </c>
      <c r="M593" s="6">
        <v>28</v>
      </c>
      <c r="N593" t="str" cm="1">
        <f t="array" ref="N593">_xlfn.IFS(M593&gt;=50,"50-60 Days", M593&gt;=40,"40-50 Days", M593&gt;=30, "30-40 Days", M593&gt;=20, "20-30 Days", M593&gt;=10, "10-20 Days", M593&gt;=0, "0-10 Days")</f>
        <v>20-30 Days</v>
      </c>
    </row>
    <row r="594" spans="1:14">
      <c r="A594">
        <v>593</v>
      </c>
      <c r="B594" t="s">
        <v>29</v>
      </c>
      <c r="C594" s="5">
        <v>45560</v>
      </c>
      <c r="D594" s="8">
        <v>45560</v>
      </c>
      <c r="E594" s="8" t="str">
        <f>IF(B594="Inactive", EDATE(D594,K594), "")</f>
        <v/>
      </c>
      <c r="F594" t="s">
        <v>14</v>
      </c>
      <c r="G594">
        <v>10</v>
      </c>
      <c r="H594" t="str" cm="1">
        <f t="array" ref="H594">_xlfn.IFS(G594&gt;=20,"20-25", G594&gt;=15,"15-20", G594&gt;=10,"10-15", G594&gt;=5,"5-10", G594&gt;=1,"1-5", G594&lt;1,"Less than 1")</f>
        <v>10-15</v>
      </c>
      <c r="I594">
        <v>1</v>
      </c>
      <c r="J594">
        <v>4</v>
      </c>
      <c r="K594" s="6">
        <v>1</v>
      </c>
      <c r="L594" s="2">
        <v>3.99</v>
      </c>
      <c r="M594" s="6">
        <v>0</v>
      </c>
      <c r="N594" t="str" cm="1">
        <f t="array" ref="N594">_xlfn.IFS(M594&gt;=50,"50-60 Days", M594&gt;=40,"40-50 Days", M594&gt;=30, "30-40 Days", M594&gt;=20, "20-30 Days", M594&gt;=10, "10-20 Days", M594&gt;=0, "0-10 Days")</f>
        <v>0-10 Days</v>
      </c>
    </row>
    <row r="595" spans="1:14">
      <c r="A595">
        <v>594</v>
      </c>
      <c r="B595" t="s">
        <v>28</v>
      </c>
      <c r="C595" s="5">
        <v>45223</v>
      </c>
      <c r="D595" s="8">
        <v>45223</v>
      </c>
      <c r="E595" s="8">
        <f>IF(B595="Inactive", EDATE(D595,K595), "")</f>
        <v>45254</v>
      </c>
      <c r="F595" t="s">
        <v>12</v>
      </c>
      <c r="G595">
        <v>17.7</v>
      </c>
      <c r="H595" t="str" cm="1">
        <f t="array" ref="H595">_xlfn.IFS(G595&gt;=20,"20-25", G595&gt;=15,"15-20", G595&gt;=10,"10-15", G595&gt;=5,"5-10", G595&gt;=1,"1-5", G595&lt;1,"Less than 1")</f>
        <v>15-20</v>
      </c>
      <c r="I595">
        <v>1</v>
      </c>
      <c r="J595">
        <v>2</v>
      </c>
      <c r="K595" s="6">
        <v>1</v>
      </c>
      <c r="L595" s="2">
        <v>1.99</v>
      </c>
      <c r="M595" s="6">
        <v>59</v>
      </c>
      <c r="N595" t="str" cm="1">
        <f t="array" ref="N595">_xlfn.IFS(M595&gt;=50,"50-60 Days", M595&gt;=40,"40-50 Days", M595&gt;=30, "30-40 Days", M595&gt;=20, "20-30 Days", M595&gt;=10, "10-20 Days", M595&gt;=0, "0-10 Days")</f>
        <v>50-60 Days</v>
      </c>
    </row>
    <row r="596" spans="1:14">
      <c r="A596">
        <v>595</v>
      </c>
      <c r="B596" t="s">
        <v>28</v>
      </c>
      <c r="C596" s="5">
        <v>45603</v>
      </c>
      <c r="D596" s="8">
        <v>45603</v>
      </c>
      <c r="E596" s="8">
        <f>IF(B596="Inactive", EDATE(D596,K596), "")</f>
        <v>45815</v>
      </c>
      <c r="F596" t="s">
        <v>10</v>
      </c>
      <c r="G596">
        <v>15.4</v>
      </c>
      <c r="H596" t="str" cm="1">
        <f t="array" ref="H596">_xlfn.IFS(G596&gt;=20,"20-25", G596&gt;=15,"15-20", G596&gt;=10,"10-15", G596&gt;=5,"5-10", G596&gt;=1,"1-5", G596&lt;1,"Less than 1")</f>
        <v>15-20</v>
      </c>
      <c r="I596">
        <v>4</v>
      </c>
      <c r="J596">
        <v>3</v>
      </c>
      <c r="K596" s="6">
        <v>7</v>
      </c>
      <c r="L596" s="2">
        <v>6.99</v>
      </c>
      <c r="M596" s="6">
        <v>24</v>
      </c>
      <c r="N596" t="str" cm="1">
        <f t="array" ref="N596">_xlfn.IFS(M596&gt;=50,"50-60 Days", M596&gt;=40,"40-50 Days", M596&gt;=30, "30-40 Days", M596&gt;=20, "20-30 Days", M596&gt;=10, "10-20 Days", M596&gt;=0, "0-10 Days")</f>
        <v>20-30 Days</v>
      </c>
    </row>
    <row r="597" spans="1:14">
      <c r="A597">
        <v>596</v>
      </c>
      <c r="B597" t="s">
        <v>28</v>
      </c>
      <c r="C597" s="5">
        <v>45485</v>
      </c>
      <c r="D597" s="8">
        <v>45485</v>
      </c>
      <c r="E597" s="8">
        <f>IF(B597="Inactive", EDATE(D597,K597), "")</f>
        <v>45820</v>
      </c>
      <c r="F597" t="s">
        <v>12</v>
      </c>
      <c r="G597">
        <v>4.3</v>
      </c>
      <c r="H597" t="str" cm="1">
        <f t="array" ref="H597">_xlfn.IFS(G597&gt;=20,"20-25", G597&gt;=15,"15-20", G597&gt;=10,"10-15", G597&gt;=5,"5-10", G597&gt;=1,"1-5", G597&lt;1,"Less than 1")</f>
        <v>1-5</v>
      </c>
      <c r="I597">
        <v>3</v>
      </c>
      <c r="J597">
        <v>1</v>
      </c>
      <c r="K597" s="6">
        <v>11</v>
      </c>
      <c r="L597" s="2">
        <v>1.99</v>
      </c>
      <c r="M597" s="6">
        <v>47</v>
      </c>
      <c r="N597" t="str" cm="1">
        <f t="array" ref="N597">_xlfn.IFS(M597&gt;=50,"50-60 Days", M597&gt;=40,"40-50 Days", M597&gt;=30, "30-40 Days", M597&gt;=20, "20-30 Days", M597&gt;=10, "10-20 Days", M597&gt;=0, "0-10 Days")</f>
        <v>40-50 Days</v>
      </c>
    </row>
    <row r="598" spans="1:14">
      <c r="A598">
        <v>597</v>
      </c>
      <c r="B598" t="s">
        <v>29</v>
      </c>
      <c r="C598" s="5">
        <v>45071</v>
      </c>
      <c r="D598" s="8">
        <v>45071</v>
      </c>
      <c r="E598" s="8" t="str">
        <f>IF(B598="Inactive", EDATE(D598,K598), "")</f>
        <v/>
      </c>
      <c r="F598" t="s">
        <v>14</v>
      </c>
      <c r="G598">
        <v>7.8</v>
      </c>
      <c r="H598" t="str" cm="1">
        <f t="array" ref="H598">_xlfn.IFS(G598&gt;=20,"20-25", G598&gt;=15,"15-20", G598&gt;=10,"10-15", G598&gt;=5,"5-10", G598&gt;=1,"1-5", G598&lt;1,"Less than 1")</f>
        <v>5-10</v>
      </c>
      <c r="I598">
        <v>5</v>
      </c>
      <c r="J598">
        <v>0</v>
      </c>
      <c r="K598" s="6">
        <v>4</v>
      </c>
      <c r="L598" s="2">
        <v>3.99</v>
      </c>
      <c r="M598" s="6">
        <v>35</v>
      </c>
      <c r="N598" t="str" cm="1">
        <f t="array" ref="N598">_xlfn.IFS(M598&gt;=50,"50-60 Days", M598&gt;=40,"40-50 Days", M598&gt;=30, "30-40 Days", M598&gt;=20, "20-30 Days", M598&gt;=10, "10-20 Days", M598&gt;=0, "0-10 Days")</f>
        <v>30-40 Days</v>
      </c>
    </row>
    <row r="599" spans="1:14">
      <c r="A599">
        <v>598</v>
      </c>
      <c r="B599" t="s">
        <v>28</v>
      </c>
      <c r="C599" s="5">
        <v>45239</v>
      </c>
      <c r="D599" s="8">
        <v>45239</v>
      </c>
      <c r="E599" s="8">
        <f>IF(B599="Inactive", EDATE(D599,K599), "")</f>
        <v>45269</v>
      </c>
      <c r="F599" t="s">
        <v>12</v>
      </c>
      <c r="G599">
        <v>0.6</v>
      </c>
      <c r="H599" t="str" cm="1">
        <f t="array" ref="H599">_xlfn.IFS(G599&gt;=20,"20-25", G599&gt;=15,"15-20", G599&gt;=10,"10-15", G599&gt;=5,"5-10", G599&gt;=1,"1-5", G599&lt;1,"Less than 1")</f>
        <v>Less than 1</v>
      </c>
      <c r="I599">
        <v>6</v>
      </c>
      <c r="J599">
        <v>4</v>
      </c>
      <c r="K599" s="6">
        <v>1</v>
      </c>
      <c r="L599" s="2">
        <v>1.99</v>
      </c>
      <c r="M599" s="6">
        <v>35</v>
      </c>
      <c r="N599" t="str" cm="1">
        <f t="array" ref="N599">_xlfn.IFS(M599&gt;=50,"50-60 Days", M599&gt;=40,"40-50 Days", M599&gt;=30, "30-40 Days", M599&gt;=20, "20-30 Days", M599&gt;=10, "10-20 Days", M599&gt;=0, "0-10 Days")</f>
        <v>30-40 Days</v>
      </c>
    </row>
    <row r="600" spans="1:14">
      <c r="A600">
        <v>599</v>
      </c>
      <c r="B600" t="s">
        <v>28</v>
      </c>
      <c r="C600" s="5">
        <v>45558</v>
      </c>
      <c r="D600" s="8">
        <v>45558</v>
      </c>
      <c r="E600" s="8">
        <f>IF(B600="Inactive", EDATE(D600,K600), "")</f>
        <v>45800</v>
      </c>
      <c r="F600" t="s">
        <v>12</v>
      </c>
      <c r="G600">
        <v>5.7</v>
      </c>
      <c r="H600" t="str" cm="1">
        <f t="array" ref="H600">_xlfn.IFS(G600&gt;=20,"20-25", G600&gt;=15,"15-20", G600&gt;=10,"10-15", G600&gt;=5,"5-10", G600&gt;=1,"1-5", G600&lt;1,"Less than 1")</f>
        <v>5-10</v>
      </c>
      <c r="I600">
        <v>8</v>
      </c>
      <c r="J600">
        <v>1</v>
      </c>
      <c r="K600" s="6">
        <v>8</v>
      </c>
      <c r="L600" s="2">
        <v>1.99</v>
      </c>
      <c r="M600" s="6">
        <v>10</v>
      </c>
      <c r="N600" t="str" cm="1">
        <f t="array" ref="N600">_xlfn.IFS(M600&gt;=50,"50-60 Days", M600&gt;=40,"40-50 Days", M600&gt;=30, "30-40 Days", M600&gt;=20, "20-30 Days", M600&gt;=10, "10-20 Days", M600&gt;=0, "0-10 Days")</f>
        <v>10-20 Days</v>
      </c>
    </row>
    <row r="601" spans="1:14">
      <c r="A601">
        <v>600</v>
      </c>
      <c r="B601" t="s">
        <v>28</v>
      </c>
      <c r="C601" s="5">
        <v>45001</v>
      </c>
      <c r="D601" s="8">
        <v>45001</v>
      </c>
      <c r="E601" s="8">
        <f>IF(B601="Inactive", EDATE(D601,K601), "")</f>
        <v>45154</v>
      </c>
      <c r="F601" t="s">
        <v>14</v>
      </c>
      <c r="G601">
        <v>3.3</v>
      </c>
      <c r="H601" t="str" cm="1">
        <f t="array" ref="H601">_xlfn.IFS(G601&gt;=20,"20-25", G601&gt;=15,"15-20", G601&gt;=10,"10-15", G601&gt;=5,"5-10", G601&gt;=1,"1-5", G601&lt;1,"Less than 1")</f>
        <v>1-5</v>
      </c>
      <c r="I601">
        <v>0</v>
      </c>
      <c r="J601">
        <v>4</v>
      </c>
      <c r="K601" s="6">
        <v>5</v>
      </c>
      <c r="L601" s="2">
        <v>3.99</v>
      </c>
      <c r="M601" s="6">
        <v>29</v>
      </c>
      <c r="N601" t="str" cm="1">
        <f t="array" ref="N601">_xlfn.IFS(M601&gt;=50,"50-60 Days", M601&gt;=40,"40-50 Days", M601&gt;=30, "30-40 Days", M601&gt;=20, "20-30 Days", M601&gt;=10, "10-20 Days", M601&gt;=0, "0-10 Days")</f>
        <v>20-30 Days</v>
      </c>
    </row>
    <row r="602" spans="1:14">
      <c r="A602">
        <v>601</v>
      </c>
      <c r="B602" t="s">
        <v>28</v>
      </c>
      <c r="C602" s="5">
        <v>45265</v>
      </c>
      <c r="D602" s="8">
        <v>45265</v>
      </c>
      <c r="E602" s="8">
        <f>IF(B602="Inactive", EDATE(D602,K602), "")</f>
        <v>45327</v>
      </c>
      <c r="F602" t="s">
        <v>14</v>
      </c>
      <c r="G602">
        <v>6.6</v>
      </c>
      <c r="H602" t="str" cm="1">
        <f t="array" ref="H602">_xlfn.IFS(G602&gt;=20,"20-25", G602&gt;=15,"15-20", G602&gt;=10,"10-15", G602&gt;=5,"5-10", G602&gt;=1,"1-5", G602&lt;1,"Less than 1")</f>
        <v>5-10</v>
      </c>
      <c r="I602">
        <v>3</v>
      </c>
      <c r="J602">
        <v>5</v>
      </c>
      <c r="K602" s="6">
        <v>2</v>
      </c>
      <c r="L602" s="2">
        <v>3.99</v>
      </c>
      <c r="M602" s="6">
        <v>37</v>
      </c>
      <c r="N602" t="str" cm="1">
        <f t="array" ref="N602">_xlfn.IFS(M602&gt;=50,"50-60 Days", M602&gt;=40,"40-50 Days", M602&gt;=30, "30-40 Days", M602&gt;=20, "20-30 Days", M602&gt;=10, "10-20 Days", M602&gt;=0, "0-10 Days")</f>
        <v>30-40 Days</v>
      </c>
    </row>
    <row r="603" spans="1:14">
      <c r="A603">
        <v>602</v>
      </c>
      <c r="B603" t="s">
        <v>29</v>
      </c>
      <c r="C603" s="5">
        <v>45125</v>
      </c>
      <c r="D603" s="8">
        <v>45125</v>
      </c>
      <c r="E603" s="8" t="str">
        <f>IF(B603="Inactive", EDATE(D603,K603), "")</f>
        <v/>
      </c>
      <c r="F603" t="s">
        <v>14</v>
      </c>
      <c r="G603">
        <v>16.899999999999999</v>
      </c>
      <c r="H603" t="str" cm="1">
        <f t="array" ref="H603">_xlfn.IFS(G603&gt;=20,"20-25", G603&gt;=15,"15-20", G603&gt;=10,"10-15", G603&gt;=5,"5-10", G603&gt;=1,"1-5", G603&lt;1,"Less than 1")</f>
        <v>15-20</v>
      </c>
      <c r="I603">
        <v>3</v>
      </c>
      <c r="J603">
        <v>0</v>
      </c>
      <c r="K603" s="6">
        <v>3</v>
      </c>
      <c r="L603" s="2">
        <v>3.99</v>
      </c>
      <c r="M603" s="6">
        <v>18</v>
      </c>
      <c r="N603" t="str" cm="1">
        <f t="array" ref="N603">_xlfn.IFS(M603&gt;=50,"50-60 Days", M603&gt;=40,"40-50 Days", M603&gt;=30, "30-40 Days", M603&gt;=20, "20-30 Days", M603&gt;=10, "10-20 Days", M603&gt;=0, "0-10 Days")</f>
        <v>10-20 Days</v>
      </c>
    </row>
    <row r="604" spans="1:14">
      <c r="A604">
        <v>603</v>
      </c>
      <c r="B604" t="s">
        <v>28</v>
      </c>
      <c r="C604" s="5">
        <v>45507</v>
      </c>
      <c r="D604" s="8">
        <v>45507</v>
      </c>
      <c r="E604" s="8">
        <f>IF(B604="Inactive", EDATE(D604,K604), "")</f>
        <v>45841</v>
      </c>
      <c r="F604" t="s">
        <v>14</v>
      </c>
      <c r="G604">
        <v>11.5</v>
      </c>
      <c r="H604" t="str" cm="1">
        <f t="array" ref="H604">_xlfn.IFS(G604&gt;=20,"20-25", G604&gt;=15,"15-20", G604&gt;=10,"10-15", G604&gt;=5,"5-10", G604&gt;=1,"1-5", G604&lt;1,"Less than 1")</f>
        <v>10-15</v>
      </c>
      <c r="I604">
        <v>4</v>
      </c>
      <c r="J604">
        <v>5</v>
      </c>
      <c r="K604" s="6">
        <v>11</v>
      </c>
      <c r="L604" s="2">
        <v>3.99</v>
      </c>
      <c r="M604" s="6">
        <v>37</v>
      </c>
      <c r="N604" t="str" cm="1">
        <f t="array" ref="N604">_xlfn.IFS(M604&gt;=50,"50-60 Days", M604&gt;=40,"40-50 Days", M604&gt;=30, "30-40 Days", M604&gt;=20, "20-30 Days", M604&gt;=10, "10-20 Days", M604&gt;=0, "0-10 Days")</f>
        <v>30-40 Days</v>
      </c>
    </row>
    <row r="605" spans="1:14">
      <c r="A605">
        <v>604</v>
      </c>
      <c r="B605" t="s">
        <v>29</v>
      </c>
      <c r="C605" s="5">
        <v>45153</v>
      </c>
      <c r="D605" s="8">
        <v>45153</v>
      </c>
      <c r="E605" s="8" t="str">
        <f>IF(B605="Inactive", EDATE(D605,K605), "")</f>
        <v/>
      </c>
      <c r="F605" t="s">
        <v>14</v>
      </c>
      <c r="G605">
        <v>24</v>
      </c>
      <c r="H605" t="str" cm="1">
        <f t="array" ref="H605">_xlfn.IFS(G605&gt;=20,"20-25", G605&gt;=15,"15-20", G605&gt;=10,"10-15", G605&gt;=5,"5-10", G605&gt;=1,"1-5", G605&lt;1,"Less than 1")</f>
        <v>20-25</v>
      </c>
      <c r="I605">
        <v>2</v>
      </c>
      <c r="J605">
        <v>0</v>
      </c>
      <c r="K605" s="6">
        <v>7</v>
      </c>
      <c r="L605" s="2">
        <v>3.99</v>
      </c>
      <c r="M605" s="6">
        <v>20</v>
      </c>
      <c r="N605" t="str" cm="1">
        <f t="array" ref="N605">_xlfn.IFS(M605&gt;=50,"50-60 Days", M605&gt;=40,"40-50 Days", M605&gt;=30, "30-40 Days", M605&gt;=20, "20-30 Days", M605&gt;=10, "10-20 Days", M605&gt;=0, "0-10 Days")</f>
        <v>20-30 Days</v>
      </c>
    </row>
    <row r="606" spans="1:14">
      <c r="A606">
        <v>605</v>
      </c>
      <c r="B606" t="s">
        <v>29</v>
      </c>
      <c r="C606" s="5">
        <v>45418</v>
      </c>
      <c r="D606" s="8">
        <v>45418</v>
      </c>
      <c r="E606" s="8" t="str">
        <f>IF(B606="Inactive", EDATE(D606,K606), "")</f>
        <v/>
      </c>
      <c r="F606" t="s">
        <v>10</v>
      </c>
      <c r="G606">
        <v>7.3</v>
      </c>
      <c r="H606" t="str" cm="1">
        <f t="array" ref="H606">_xlfn.IFS(G606&gt;=20,"20-25", G606&gt;=15,"15-20", G606&gt;=10,"10-15", G606&gt;=5,"5-10", G606&gt;=1,"1-5", G606&lt;1,"Less than 1")</f>
        <v>5-10</v>
      </c>
      <c r="I606">
        <v>5</v>
      </c>
      <c r="J606">
        <v>1</v>
      </c>
      <c r="K606" s="6">
        <v>10</v>
      </c>
      <c r="L606" s="2">
        <v>6.99</v>
      </c>
      <c r="M606" s="6">
        <v>43</v>
      </c>
      <c r="N606" t="str" cm="1">
        <f t="array" ref="N606">_xlfn.IFS(M606&gt;=50,"50-60 Days", M606&gt;=40,"40-50 Days", M606&gt;=30, "30-40 Days", M606&gt;=20, "20-30 Days", M606&gt;=10, "10-20 Days", M606&gt;=0, "0-10 Days")</f>
        <v>40-50 Days</v>
      </c>
    </row>
    <row r="607" spans="1:14">
      <c r="A607">
        <v>606</v>
      </c>
      <c r="B607" t="s">
        <v>28</v>
      </c>
      <c r="C607" s="5">
        <v>45588</v>
      </c>
      <c r="D607" s="8">
        <v>45588</v>
      </c>
      <c r="E607" s="8">
        <f>IF(B607="Inactive", EDATE(D607,K607), "")</f>
        <v>45892</v>
      </c>
      <c r="F607" t="s">
        <v>14</v>
      </c>
      <c r="G607">
        <v>9.3000000000000007</v>
      </c>
      <c r="H607" t="str" cm="1">
        <f t="array" ref="H607">_xlfn.IFS(G607&gt;=20,"20-25", G607&gt;=15,"15-20", G607&gt;=10,"10-15", G607&gt;=5,"5-10", G607&gt;=1,"1-5", G607&lt;1,"Less than 1")</f>
        <v>5-10</v>
      </c>
      <c r="I607">
        <v>4</v>
      </c>
      <c r="J607">
        <v>3</v>
      </c>
      <c r="K607" s="6">
        <v>10</v>
      </c>
      <c r="L607" s="2">
        <v>3.99</v>
      </c>
      <c r="M607" s="6">
        <v>35</v>
      </c>
      <c r="N607" t="str" cm="1">
        <f t="array" ref="N607">_xlfn.IFS(M607&gt;=50,"50-60 Days", M607&gt;=40,"40-50 Days", M607&gt;=30, "30-40 Days", M607&gt;=20, "20-30 Days", M607&gt;=10, "10-20 Days", M607&gt;=0, "0-10 Days")</f>
        <v>30-40 Days</v>
      </c>
    </row>
    <row r="608" spans="1:14">
      <c r="A608">
        <v>607</v>
      </c>
      <c r="B608" t="s">
        <v>28</v>
      </c>
      <c r="C608" s="5">
        <v>45568</v>
      </c>
      <c r="D608" s="8">
        <v>45568</v>
      </c>
      <c r="E608" s="8">
        <f>IF(B608="Inactive", EDATE(D608,K608), "")</f>
        <v>45629</v>
      </c>
      <c r="F608" t="s">
        <v>10</v>
      </c>
      <c r="G608">
        <v>21.1</v>
      </c>
      <c r="H608" t="str" cm="1">
        <f t="array" ref="H608">_xlfn.IFS(G608&gt;=20,"20-25", G608&gt;=15,"15-20", G608&gt;=10,"10-15", G608&gt;=5,"5-10", G608&gt;=1,"1-5", G608&lt;1,"Less than 1")</f>
        <v>20-25</v>
      </c>
      <c r="I608">
        <v>2</v>
      </c>
      <c r="J608">
        <v>4</v>
      </c>
      <c r="K608" s="6">
        <v>2</v>
      </c>
      <c r="L608" s="2">
        <v>6.99</v>
      </c>
      <c r="M608" s="6">
        <v>12</v>
      </c>
      <c r="N608" t="str" cm="1">
        <f t="array" ref="N608">_xlfn.IFS(M608&gt;=50,"50-60 Days", M608&gt;=40,"40-50 Days", M608&gt;=30, "30-40 Days", M608&gt;=20, "20-30 Days", M608&gt;=10, "10-20 Days", M608&gt;=0, "0-10 Days")</f>
        <v>10-20 Days</v>
      </c>
    </row>
    <row r="609" spans="1:14">
      <c r="A609">
        <v>608</v>
      </c>
      <c r="B609" t="s">
        <v>29</v>
      </c>
      <c r="C609" s="5">
        <v>45519</v>
      </c>
      <c r="D609" s="8">
        <v>45519</v>
      </c>
      <c r="E609" s="8" t="str">
        <f>IF(B609="Inactive", EDATE(D609,K609), "")</f>
        <v/>
      </c>
      <c r="F609" t="s">
        <v>12</v>
      </c>
      <c r="G609">
        <v>22.4</v>
      </c>
      <c r="H609" t="str" cm="1">
        <f t="array" ref="H609">_xlfn.IFS(G609&gt;=20,"20-25", G609&gt;=15,"15-20", G609&gt;=10,"10-15", G609&gt;=5,"5-10", G609&gt;=1,"1-5", G609&lt;1,"Less than 1")</f>
        <v>20-25</v>
      </c>
      <c r="I609">
        <v>8</v>
      </c>
      <c r="J609">
        <v>5</v>
      </c>
      <c r="K609" s="6">
        <v>2</v>
      </c>
      <c r="L609" s="2">
        <v>1.99</v>
      </c>
      <c r="M609" s="6">
        <v>1</v>
      </c>
      <c r="N609" t="str" cm="1">
        <f t="array" ref="N609">_xlfn.IFS(M609&gt;=50,"50-60 Days", M609&gt;=40,"40-50 Days", M609&gt;=30, "30-40 Days", M609&gt;=20, "20-30 Days", M609&gt;=10, "10-20 Days", M609&gt;=0, "0-10 Days")</f>
        <v>0-10 Days</v>
      </c>
    </row>
    <row r="610" spans="1:14">
      <c r="A610">
        <v>609</v>
      </c>
      <c r="B610" t="s">
        <v>29</v>
      </c>
      <c r="C610" s="5">
        <v>45479</v>
      </c>
      <c r="D610" s="8">
        <v>45479</v>
      </c>
      <c r="E610" s="8" t="str">
        <f>IF(B610="Inactive", EDATE(D610,K610), "")</f>
        <v/>
      </c>
      <c r="F610" t="s">
        <v>14</v>
      </c>
      <c r="G610">
        <v>22.7</v>
      </c>
      <c r="H610" t="str" cm="1">
        <f t="array" ref="H610">_xlfn.IFS(G610&gt;=20,"20-25", G610&gt;=15,"15-20", G610&gt;=10,"10-15", G610&gt;=5,"5-10", G610&gt;=1,"1-5", G610&lt;1,"Less than 1")</f>
        <v>20-25</v>
      </c>
      <c r="I610">
        <v>8</v>
      </c>
      <c r="J610">
        <v>2</v>
      </c>
      <c r="K610" s="6">
        <v>5</v>
      </c>
      <c r="L610" s="2">
        <v>3.99</v>
      </c>
      <c r="M610" s="6">
        <v>34</v>
      </c>
      <c r="N610" t="str" cm="1">
        <f t="array" ref="N610">_xlfn.IFS(M610&gt;=50,"50-60 Days", M610&gt;=40,"40-50 Days", M610&gt;=30, "30-40 Days", M610&gt;=20, "20-30 Days", M610&gt;=10, "10-20 Days", M610&gt;=0, "0-10 Days")</f>
        <v>30-40 Days</v>
      </c>
    </row>
    <row r="611" spans="1:14">
      <c r="A611">
        <v>610</v>
      </c>
      <c r="B611" t="s">
        <v>29</v>
      </c>
      <c r="C611" s="5">
        <v>45064</v>
      </c>
      <c r="D611" s="8">
        <v>45064</v>
      </c>
      <c r="E611" s="8" t="str">
        <f>IF(B611="Inactive", EDATE(D611,K611), "")</f>
        <v/>
      </c>
      <c r="F611" t="s">
        <v>14</v>
      </c>
      <c r="G611">
        <v>9.5</v>
      </c>
      <c r="H611" t="str" cm="1">
        <f t="array" ref="H611">_xlfn.IFS(G611&gt;=20,"20-25", G611&gt;=15,"15-20", G611&gt;=10,"10-15", G611&gt;=5,"5-10", G611&gt;=1,"1-5", G611&lt;1,"Less than 1")</f>
        <v>5-10</v>
      </c>
      <c r="I611">
        <v>3</v>
      </c>
      <c r="J611">
        <v>4</v>
      </c>
      <c r="K611" s="6">
        <v>4</v>
      </c>
      <c r="L611" s="2">
        <v>3.99</v>
      </c>
      <c r="M611" s="6">
        <v>46</v>
      </c>
      <c r="N611" t="str" cm="1">
        <f t="array" ref="N611">_xlfn.IFS(M611&gt;=50,"50-60 Days", M611&gt;=40,"40-50 Days", M611&gt;=30, "30-40 Days", M611&gt;=20, "20-30 Days", M611&gt;=10, "10-20 Days", M611&gt;=0, "0-10 Days")</f>
        <v>40-50 Days</v>
      </c>
    </row>
    <row r="612" spans="1:14">
      <c r="A612">
        <v>611</v>
      </c>
      <c r="B612" t="s">
        <v>28</v>
      </c>
      <c r="C612" s="5">
        <v>45171</v>
      </c>
      <c r="D612" s="8">
        <v>45171</v>
      </c>
      <c r="E612" s="8">
        <f>IF(B612="Inactive", EDATE(D612,K612), "")</f>
        <v>45506</v>
      </c>
      <c r="F612" t="s">
        <v>14</v>
      </c>
      <c r="G612">
        <v>13</v>
      </c>
      <c r="H612" t="str" cm="1">
        <f t="array" ref="H612">_xlfn.IFS(G612&gt;=20,"20-25", G612&gt;=15,"15-20", G612&gt;=10,"10-15", G612&gt;=5,"5-10", G612&gt;=1,"1-5", G612&lt;1,"Less than 1")</f>
        <v>10-15</v>
      </c>
      <c r="I612">
        <v>6</v>
      </c>
      <c r="J612">
        <v>2</v>
      </c>
      <c r="K612" s="6">
        <v>11</v>
      </c>
      <c r="L612" s="2">
        <v>3.99</v>
      </c>
      <c r="M612" s="6">
        <v>32</v>
      </c>
      <c r="N612" t="str" cm="1">
        <f t="array" ref="N612">_xlfn.IFS(M612&gt;=50,"50-60 Days", M612&gt;=40,"40-50 Days", M612&gt;=30, "30-40 Days", M612&gt;=20, "20-30 Days", M612&gt;=10, "10-20 Days", M612&gt;=0, "0-10 Days")</f>
        <v>30-40 Days</v>
      </c>
    </row>
    <row r="613" spans="1:14">
      <c r="A613">
        <v>612</v>
      </c>
      <c r="B613" t="s">
        <v>28</v>
      </c>
      <c r="C613" s="5">
        <v>45506</v>
      </c>
      <c r="D613" s="8">
        <v>45506</v>
      </c>
      <c r="E613" s="8">
        <f>IF(B613="Inactive", EDATE(D613,K613), "")</f>
        <v>45628</v>
      </c>
      <c r="F613" t="s">
        <v>10</v>
      </c>
      <c r="G613">
        <v>19.100000000000001</v>
      </c>
      <c r="H613" t="str" cm="1">
        <f t="array" ref="H613">_xlfn.IFS(G613&gt;=20,"20-25", G613&gt;=15,"15-20", G613&gt;=10,"10-15", G613&gt;=5,"5-10", G613&gt;=1,"1-5", G613&lt;1,"Less than 1")</f>
        <v>15-20</v>
      </c>
      <c r="I613">
        <v>2</v>
      </c>
      <c r="J613">
        <v>3</v>
      </c>
      <c r="K613" s="6">
        <v>4</v>
      </c>
      <c r="L613" s="2">
        <v>6.99</v>
      </c>
      <c r="M613" s="6">
        <v>10</v>
      </c>
      <c r="N613" t="str" cm="1">
        <f t="array" ref="N613">_xlfn.IFS(M613&gt;=50,"50-60 Days", M613&gt;=40,"40-50 Days", M613&gt;=30, "30-40 Days", M613&gt;=20, "20-30 Days", M613&gt;=10, "10-20 Days", M613&gt;=0, "0-10 Days")</f>
        <v>10-20 Days</v>
      </c>
    </row>
    <row r="614" spans="1:14">
      <c r="A614">
        <v>613</v>
      </c>
      <c r="B614" t="s">
        <v>28</v>
      </c>
      <c r="C614" s="5">
        <v>45426</v>
      </c>
      <c r="D614" s="8">
        <v>45426</v>
      </c>
      <c r="E614" s="8">
        <f>IF(B614="Inactive", EDATE(D614,K614), "")</f>
        <v>45549</v>
      </c>
      <c r="F614" t="s">
        <v>10</v>
      </c>
      <c r="G614">
        <v>18.5</v>
      </c>
      <c r="H614" t="str" cm="1">
        <f t="array" ref="H614">_xlfn.IFS(G614&gt;=20,"20-25", G614&gt;=15,"15-20", G614&gt;=10,"10-15", G614&gt;=5,"5-10", G614&gt;=1,"1-5", G614&lt;1,"Less than 1")</f>
        <v>15-20</v>
      </c>
      <c r="I614">
        <v>7</v>
      </c>
      <c r="J614">
        <v>2</v>
      </c>
      <c r="K614" s="6">
        <v>4</v>
      </c>
      <c r="L614" s="2">
        <v>6.99</v>
      </c>
      <c r="M614" s="6">
        <v>2</v>
      </c>
      <c r="N614" t="str" cm="1">
        <f t="array" ref="N614">_xlfn.IFS(M614&gt;=50,"50-60 Days", M614&gt;=40,"40-50 Days", M614&gt;=30, "30-40 Days", M614&gt;=20, "20-30 Days", M614&gt;=10, "10-20 Days", M614&gt;=0, "0-10 Days")</f>
        <v>0-10 Days</v>
      </c>
    </row>
    <row r="615" spans="1:14">
      <c r="A615">
        <v>614</v>
      </c>
      <c r="B615" t="s">
        <v>28</v>
      </c>
      <c r="C615" s="5">
        <v>45296</v>
      </c>
      <c r="D615" s="8">
        <v>45296</v>
      </c>
      <c r="E615" s="8">
        <f>IF(B615="Inactive", EDATE(D615,K615), "")</f>
        <v>45356</v>
      </c>
      <c r="F615" t="s">
        <v>12</v>
      </c>
      <c r="G615">
        <v>7</v>
      </c>
      <c r="H615" t="str" cm="1">
        <f t="array" ref="H615">_xlfn.IFS(G615&gt;=20,"20-25", G615&gt;=15,"15-20", G615&gt;=10,"10-15", G615&gt;=5,"5-10", G615&gt;=1,"1-5", G615&lt;1,"Less than 1")</f>
        <v>5-10</v>
      </c>
      <c r="I615">
        <v>3</v>
      </c>
      <c r="J615">
        <v>0</v>
      </c>
      <c r="K615" s="6">
        <v>2</v>
      </c>
      <c r="L615" s="2">
        <v>1.99</v>
      </c>
      <c r="M615" s="6">
        <v>42</v>
      </c>
      <c r="N615" t="str" cm="1">
        <f t="array" ref="N615">_xlfn.IFS(M615&gt;=50,"50-60 Days", M615&gt;=40,"40-50 Days", M615&gt;=30, "30-40 Days", M615&gt;=20, "20-30 Days", M615&gt;=10, "10-20 Days", M615&gt;=0, "0-10 Days")</f>
        <v>40-50 Days</v>
      </c>
    </row>
    <row r="616" spans="1:14">
      <c r="A616">
        <v>615</v>
      </c>
      <c r="B616" t="s">
        <v>28</v>
      </c>
      <c r="C616" s="5">
        <v>45647</v>
      </c>
      <c r="D616" s="8">
        <v>45647</v>
      </c>
      <c r="E616" s="8">
        <f>IF(B616="Inactive", EDATE(D616,K616), "")</f>
        <v>45982</v>
      </c>
      <c r="F616" t="s">
        <v>14</v>
      </c>
      <c r="G616">
        <v>23</v>
      </c>
      <c r="H616" t="str" cm="1">
        <f t="array" ref="H616">_xlfn.IFS(G616&gt;=20,"20-25", G616&gt;=15,"15-20", G616&gt;=10,"10-15", G616&gt;=5,"5-10", G616&gt;=1,"1-5", G616&lt;1,"Less than 1")</f>
        <v>20-25</v>
      </c>
      <c r="I616">
        <v>0</v>
      </c>
      <c r="J616">
        <v>0</v>
      </c>
      <c r="K616" s="6">
        <v>11</v>
      </c>
      <c r="L616" s="2">
        <v>3.99</v>
      </c>
      <c r="M616" s="6">
        <v>41</v>
      </c>
      <c r="N616" t="str" cm="1">
        <f t="array" ref="N616">_xlfn.IFS(M616&gt;=50,"50-60 Days", M616&gt;=40,"40-50 Days", M616&gt;=30, "30-40 Days", M616&gt;=20, "20-30 Days", M616&gt;=10, "10-20 Days", M616&gt;=0, "0-10 Days")</f>
        <v>40-50 Days</v>
      </c>
    </row>
    <row r="617" spans="1:14">
      <c r="A617">
        <v>616</v>
      </c>
      <c r="B617" t="s">
        <v>28</v>
      </c>
      <c r="C617" s="5">
        <v>45312</v>
      </c>
      <c r="D617" s="8">
        <v>45312</v>
      </c>
      <c r="E617" s="8">
        <f>IF(B617="Inactive", EDATE(D617,K617), "")</f>
        <v>45494</v>
      </c>
      <c r="F617" t="s">
        <v>10</v>
      </c>
      <c r="G617">
        <v>21</v>
      </c>
      <c r="H617" t="str" cm="1">
        <f t="array" ref="H617">_xlfn.IFS(G617&gt;=20,"20-25", G617&gt;=15,"15-20", G617&gt;=10,"10-15", G617&gt;=5,"5-10", G617&gt;=1,"1-5", G617&lt;1,"Less than 1")</f>
        <v>20-25</v>
      </c>
      <c r="I617">
        <v>4</v>
      </c>
      <c r="J617">
        <v>4</v>
      </c>
      <c r="K617" s="6">
        <v>6</v>
      </c>
      <c r="L617" s="2">
        <v>6.99</v>
      </c>
      <c r="M617" s="6">
        <v>34</v>
      </c>
      <c r="N617" t="str" cm="1">
        <f t="array" ref="N617">_xlfn.IFS(M617&gt;=50,"50-60 Days", M617&gt;=40,"40-50 Days", M617&gt;=30, "30-40 Days", M617&gt;=20, "20-30 Days", M617&gt;=10, "10-20 Days", M617&gt;=0, "0-10 Days")</f>
        <v>30-40 Days</v>
      </c>
    </row>
    <row r="618" spans="1:14">
      <c r="A618">
        <v>617</v>
      </c>
      <c r="B618" t="s">
        <v>29</v>
      </c>
      <c r="C618" s="5">
        <v>45155</v>
      </c>
      <c r="D618" s="8">
        <v>45155</v>
      </c>
      <c r="E618" s="8" t="str">
        <f>IF(B618="Inactive", EDATE(D618,K618), "")</f>
        <v/>
      </c>
      <c r="F618" t="s">
        <v>10</v>
      </c>
      <c r="G618">
        <v>9.4</v>
      </c>
      <c r="H618" t="str" cm="1">
        <f t="array" ref="H618">_xlfn.IFS(G618&gt;=20,"20-25", G618&gt;=15,"15-20", G618&gt;=10,"10-15", G618&gt;=5,"5-10", G618&gt;=1,"1-5", G618&lt;1,"Less than 1")</f>
        <v>5-10</v>
      </c>
      <c r="I618">
        <v>1</v>
      </c>
      <c r="J618">
        <v>4</v>
      </c>
      <c r="K618" s="6">
        <v>9</v>
      </c>
      <c r="L618" s="2">
        <v>6.99</v>
      </c>
      <c r="M618" s="6">
        <v>16</v>
      </c>
      <c r="N618" t="str" cm="1">
        <f t="array" ref="N618">_xlfn.IFS(M618&gt;=50,"50-60 Days", M618&gt;=40,"40-50 Days", M618&gt;=30, "30-40 Days", M618&gt;=20, "20-30 Days", M618&gt;=10, "10-20 Days", M618&gt;=0, "0-10 Days")</f>
        <v>10-20 Days</v>
      </c>
    </row>
    <row r="619" spans="1:14">
      <c r="A619">
        <v>618</v>
      </c>
      <c r="B619" t="s">
        <v>28</v>
      </c>
      <c r="C619" s="5">
        <v>45545</v>
      </c>
      <c r="D619" s="8">
        <v>45545</v>
      </c>
      <c r="E619" s="8">
        <f>IF(B619="Inactive", EDATE(D619,K619), "")</f>
        <v>45818</v>
      </c>
      <c r="F619" t="s">
        <v>10</v>
      </c>
      <c r="G619">
        <v>9.1</v>
      </c>
      <c r="H619" t="str" cm="1">
        <f t="array" ref="H619">_xlfn.IFS(G619&gt;=20,"20-25", G619&gt;=15,"15-20", G619&gt;=10,"10-15", G619&gt;=5,"5-10", G619&gt;=1,"1-5", G619&lt;1,"Less than 1")</f>
        <v>5-10</v>
      </c>
      <c r="I619">
        <v>5</v>
      </c>
      <c r="J619">
        <v>3</v>
      </c>
      <c r="K619" s="6">
        <v>9</v>
      </c>
      <c r="L619" s="2">
        <v>6.99</v>
      </c>
      <c r="M619" s="6">
        <v>50</v>
      </c>
      <c r="N619" t="str" cm="1">
        <f t="array" ref="N619">_xlfn.IFS(M619&gt;=50,"50-60 Days", M619&gt;=40,"40-50 Days", M619&gt;=30, "30-40 Days", M619&gt;=20, "20-30 Days", M619&gt;=10, "10-20 Days", M619&gt;=0, "0-10 Days")</f>
        <v>50-60 Days</v>
      </c>
    </row>
    <row r="620" spans="1:14">
      <c r="A620">
        <v>619</v>
      </c>
      <c r="B620" t="s">
        <v>28</v>
      </c>
      <c r="C620" s="5">
        <v>45585</v>
      </c>
      <c r="D620" s="8">
        <v>45585</v>
      </c>
      <c r="E620" s="8">
        <f>IF(B620="Inactive", EDATE(D620,K620), "")</f>
        <v>45920</v>
      </c>
      <c r="F620" t="s">
        <v>12</v>
      </c>
      <c r="G620">
        <v>22.1</v>
      </c>
      <c r="H620" t="str" cm="1">
        <f t="array" ref="H620">_xlfn.IFS(G620&gt;=20,"20-25", G620&gt;=15,"15-20", G620&gt;=10,"10-15", G620&gt;=5,"5-10", G620&gt;=1,"1-5", G620&lt;1,"Less than 1")</f>
        <v>20-25</v>
      </c>
      <c r="I620">
        <v>7</v>
      </c>
      <c r="J620">
        <v>1</v>
      </c>
      <c r="K620" s="6">
        <v>11</v>
      </c>
      <c r="L620" s="2">
        <v>1.99</v>
      </c>
      <c r="M620" s="6">
        <v>14</v>
      </c>
      <c r="N620" t="str" cm="1">
        <f t="array" ref="N620">_xlfn.IFS(M620&gt;=50,"50-60 Days", M620&gt;=40,"40-50 Days", M620&gt;=30, "30-40 Days", M620&gt;=20, "20-30 Days", M620&gt;=10, "10-20 Days", M620&gt;=0, "0-10 Days")</f>
        <v>10-20 Days</v>
      </c>
    </row>
    <row r="621" spans="1:14">
      <c r="A621">
        <v>620</v>
      </c>
      <c r="B621" t="s">
        <v>28</v>
      </c>
      <c r="C621" s="5">
        <v>45048</v>
      </c>
      <c r="D621" s="8">
        <v>45048</v>
      </c>
      <c r="E621" s="8">
        <f>IF(B621="Inactive", EDATE(D621,K621), "")</f>
        <v>45201</v>
      </c>
      <c r="F621" t="s">
        <v>14</v>
      </c>
      <c r="G621">
        <v>4.2</v>
      </c>
      <c r="H621" t="str" cm="1">
        <f t="array" ref="H621">_xlfn.IFS(G621&gt;=20,"20-25", G621&gt;=15,"15-20", G621&gt;=10,"10-15", G621&gt;=5,"5-10", G621&gt;=1,"1-5", G621&lt;1,"Less than 1")</f>
        <v>1-5</v>
      </c>
      <c r="I621">
        <v>2</v>
      </c>
      <c r="J621">
        <v>2</v>
      </c>
      <c r="K621" s="6">
        <v>5</v>
      </c>
      <c r="L621" s="2">
        <v>3.99</v>
      </c>
      <c r="M621" s="6">
        <v>38</v>
      </c>
      <c r="N621" t="str" cm="1">
        <f t="array" ref="N621">_xlfn.IFS(M621&gt;=50,"50-60 Days", M621&gt;=40,"40-50 Days", M621&gt;=30, "30-40 Days", M621&gt;=20, "20-30 Days", M621&gt;=10, "10-20 Days", M621&gt;=0, "0-10 Days")</f>
        <v>30-40 Days</v>
      </c>
    </row>
    <row r="622" spans="1:14">
      <c r="A622">
        <v>621</v>
      </c>
      <c r="B622" t="s">
        <v>28</v>
      </c>
      <c r="C622" s="5">
        <v>45417</v>
      </c>
      <c r="D622" s="8">
        <v>45417</v>
      </c>
      <c r="E622" s="8">
        <f>IF(B622="Inactive", EDATE(D622,K622), "")</f>
        <v>45570</v>
      </c>
      <c r="F622" t="s">
        <v>10</v>
      </c>
      <c r="G622">
        <v>10.7</v>
      </c>
      <c r="H622" t="str" cm="1">
        <f t="array" ref="H622">_xlfn.IFS(G622&gt;=20,"20-25", G622&gt;=15,"15-20", G622&gt;=10,"10-15", G622&gt;=5,"5-10", G622&gt;=1,"1-5", G622&lt;1,"Less than 1")</f>
        <v>10-15</v>
      </c>
      <c r="I622">
        <v>5</v>
      </c>
      <c r="J622">
        <v>5</v>
      </c>
      <c r="K622" s="6">
        <v>5</v>
      </c>
      <c r="L622" s="2">
        <v>6.99</v>
      </c>
      <c r="M622" s="6">
        <v>7</v>
      </c>
      <c r="N622" t="str" cm="1">
        <f t="array" ref="N622">_xlfn.IFS(M622&gt;=50,"50-60 Days", M622&gt;=40,"40-50 Days", M622&gt;=30, "30-40 Days", M622&gt;=20, "20-30 Days", M622&gt;=10, "10-20 Days", M622&gt;=0, "0-10 Days")</f>
        <v>0-10 Days</v>
      </c>
    </row>
    <row r="623" spans="1:14">
      <c r="A623">
        <v>622</v>
      </c>
      <c r="B623" t="s">
        <v>28</v>
      </c>
      <c r="C623" s="5">
        <v>45514</v>
      </c>
      <c r="D623" s="8">
        <v>45514</v>
      </c>
      <c r="E623" s="8">
        <f>IF(B623="Inactive", EDATE(D623,K623), "")</f>
        <v>45667</v>
      </c>
      <c r="F623" t="s">
        <v>14</v>
      </c>
      <c r="G623">
        <v>15</v>
      </c>
      <c r="H623" t="str" cm="1">
        <f t="array" ref="H623">_xlfn.IFS(G623&gt;=20,"20-25", G623&gt;=15,"15-20", G623&gt;=10,"10-15", G623&gt;=5,"5-10", G623&gt;=1,"1-5", G623&lt;1,"Less than 1")</f>
        <v>15-20</v>
      </c>
      <c r="I623">
        <v>6</v>
      </c>
      <c r="J623">
        <v>0</v>
      </c>
      <c r="K623" s="6">
        <v>5</v>
      </c>
      <c r="L623" s="2">
        <v>3.99</v>
      </c>
      <c r="M623" s="6">
        <v>15</v>
      </c>
      <c r="N623" t="str" cm="1">
        <f t="array" ref="N623">_xlfn.IFS(M623&gt;=50,"50-60 Days", M623&gt;=40,"40-50 Days", M623&gt;=30, "30-40 Days", M623&gt;=20, "20-30 Days", M623&gt;=10, "10-20 Days", M623&gt;=0, "0-10 Days")</f>
        <v>10-20 Days</v>
      </c>
    </row>
    <row r="624" spans="1:14">
      <c r="A624">
        <v>623</v>
      </c>
      <c r="B624" t="s">
        <v>28</v>
      </c>
      <c r="C624" s="5">
        <v>44984</v>
      </c>
      <c r="D624" s="8">
        <v>44984</v>
      </c>
      <c r="E624" s="8">
        <f>IF(B624="Inactive", EDATE(D624,K624), "")</f>
        <v>45104</v>
      </c>
      <c r="F624" t="s">
        <v>10</v>
      </c>
      <c r="G624">
        <v>3.8</v>
      </c>
      <c r="H624" t="str" cm="1">
        <f t="array" ref="H624">_xlfn.IFS(G624&gt;=20,"20-25", G624&gt;=15,"15-20", G624&gt;=10,"10-15", G624&gt;=5,"5-10", G624&gt;=1,"1-5", G624&lt;1,"Less than 1")</f>
        <v>1-5</v>
      </c>
      <c r="I624">
        <v>8</v>
      </c>
      <c r="J624">
        <v>0</v>
      </c>
      <c r="K624" s="6">
        <v>4</v>
      </c>
      <c r="L624" s="2">
        <v>6.99</v>
      </c>
      <c r="M624" s="6">
        <v>57</v>
      </c>
      <c r="N624" t="str" cm="1">
        <f t="array" ref="N624">_xlfn.IFS(M624&gt;=50,"50-60 Days", M624&gt;=40,"40-50 Days", M624&gt;=30, "30-40 Days", M624&gt;=20, "20-30 Days", M624&gt;=10, "10-20 Days", M624&gt;=0, "0-10 Days")</f>
        <v>50-60 Days</v>
      </c>
    </row>
    <row r="625" spans="1:14">
      <c r="A625">
        <v>624</v>
      </c>
      <c r="B625" t="s">
        <v>29</v>
      </c>
      <c r="C625" s="5">
        <v>45579</v>
      </c>
      <c r="D625" s="8">
        <v>45579</v>
      </c>
      <c r="E625" s="8" t="str">
        <f>IF(B625="Inactive", EDATE(D625,K625), "")</f>
        <v/>
      </c>
      <c r="F625" t="s">
        <v>12</v>
      </c>
      <c r="G625">
        <v>23.1</v>
      </c>
      <c r="H625" t="str" cm="1">
        <f t="array" ref="H625">_xlfn.IFS(G625&gt;=20,"20-25", G625&gt;=15,"15-20", G625&gt;=10,"10-15", G625&gt;=5,"5-10", G625&gt;=1,"1-5", G625&lt;1,"Less than 1")</f>
        <v>20-25</v>
      </c>
      <c r="I625">
        <v>8</v>
      </c>
      <c r="J625">
        <v>3</v>
      </c>
      <c r="K625" s="6">
        <v>6</v>
      </c>
      <c r="L625" s="2">
        <v>1.99</v>
      </c>
      <c r="M625" s="6">
        <v>38</v>
      </c>
      <c r="N625" t="str" cm="1">
        <f t="array" ref="N625">_xlfn.IFS(M625&gt;=50,"50-60 Days", M625&gt;=40,"40-50 Days", M625&gt;=30, "30-40 Days", M625&gt;=20, "20-30 Days", M625&gt;=10, "10-20 Days", M625&gt;=0, "0-10 Days")</f>
        <v>30-40 Days</v>
      </c>
    </row>
    <row r="626" spans="1:14">
      <c r="A626">
        <v>625</v>
      </c>
      <c r="B626" t="s">
        <v>29</v>
      </c>
      <c r="C626" s="5">
        <v>45420</v>
      </c>
      <c r="D626" s="8">
        <v>45420</v>
      </c>
      <c r="E626" s="8" t="str">
        <f>IF(B626="Inactive", EDATE(D626,K626), "")</f>
        <v/>
      </c>
      <c r="F626" t="s">
        <v>12</v>
      </c>
      <c r="G626">
        <v>23.7</v>
      </c>
      <c r="H626" t="str" cm="1">
        <f t="array" ref="H626">_xlfn.IFS(G626&gt;=20,"20-25", G626&gt;=15,"15-20", G626&gt;=10,"10-15", G626&gt;=5,"5-10", G626&gt;=1,"1-5", G626&lt;1,"Less than 1")</f>
        <v>20-25</v>
      </c>
      <c r="I626">
        <v>3</v>
      </c>
      <c r="J626">
        <v>3</v>
      </c>
      <c r="K626" s="6">
        <v>7</v>
      </c>
      <c r="L626" s="2">
        <v>1.99</v>
      </c>
      <c r="M626" s="6">
        <v>38</v>
      </c>
      <c r="N626" t="str" cm="1">
        <f t="array" ref="N626">_xlfn.IFS(M626&gt;=50,"50-60 Days", M626&gt;=40,"40-50 Days", M626&gt;=30, "30-40 Days", M626&gt;=20, "20-30 Days", M626&gt;=10, "10-20 Days", M626&gt;=0, "0-10 Days")</f>
        <v>30-40 Days</v>
      </c>
    </row>
    <row r="627" spans="1:14">
      <c r="A627">
        <v>626</v>
      </c>
      <c r="B627" t="s">
        <v>29</v>
      </c>
      <c r="C627" s="5">
        <v>45565</v>
      </c>
      <c r="D627" s="8">
        <v>45565</v>
      </c>
      <c r="E627" s="8" t="str">
        <f>IF(B627="Inactive", EDATE(D627,K627), "")</f>
        <v/>
      </c>
      <c r="F627" t="s">
        <v>12</v>
      </c>
      <c r="G627">
        <v>20.8</v>
      </c>
      <c r="H627" t="str" cm="1">
        <f t="array" ref="H627">_xlfn.IFS(G627&gt;=20,"20-25", G627&gt;=15,"15-20", G627&gt;=10,"10-15", G627&gt;=5,"5-10", G627&gt;=1,"1-5", G627&lt;1,"Less than 1")</f>
        <v>20-25</v>
      </c>
      <c r="I627">
        <v>2</v>
      </c>
      <c r="J627">
        <v>4</v>
      </c>
      <c r="K627" s="6">
        <v>5</v>
      </c>
      <c r="L627" s="2">
        <v>1.99</v>
      </c>
      <c r="M627" s="6">
        <v>52</v>
      </c>
      <c r="N627" t="str" cm="1">
        <f t="array" ref="N627">_xlfn.IFS(M627&gt;=50,"50-60 Days", M627&gt;=40,"40-50 Days", M627&gt;=30, "30-40 Days", M627&gt;=20, "20-30 Days", M627&gt;=10, "10-20 Days", M627&gt;=0, "0-10 Days")</f>
        <v>50-60 Days</v>
      </c>
    </row>
    <row r="628" spans="1:14">
      <c r="A628">
        <v>627</v>
      </c>
      <c r="B628" t="s">
        <v>28</v>
      </c>
      <c r="C628" s="5">
        <v>45162</v>
      </c>
      <c r="D628" s="8">
        <v>45162</v>
      </c>
      <c r="E628" s="8">
        <f>IF(B628="Inactive", EDATE(D628,K628), "")</f>
        <v>45497</v>
      </c>
      <c r="F628" t="s">
        <v>10</v>
      </c>
      <c r="G628">
        <v>7</v>
      </c>
      <c r="H628" t="str" cm="1">
        <f t="array" ref="H628">_xlfn.IFS(G628&gt;=20,"20-25", G628&gt;=15,"15-20", G628&gt;=10,"10-15", G628&gt;=5,"5-10", G628&gt;=1,"1-5", G628&lt;1,"Less than 1")</f>
        <v>5-10</v>
      </c>
      <c r="I628">
        <v>5</v>
      </c>
      <c r="J628">
        <v>3</v>
      </c>
      <c r="K628" s="6">
        <v>11</v>
      </c>
      <c r="L628" s="2">
        <v>6.99</v>
      </c>
      <c r="M628" s="6">
        <v>38</v>
      </c>
      <c r="N628" t="str" cm="1">
        <f t="array" ref="N628">_xlfn.IFS(M628&gt;=50,"50-60 Days", M628&gt;=40,"40-50 Days", M628&gt;=30, "30-40 Days", M628&gt;=20, "20-30 Days", M628&gt;=10, "10-20 Days", M628&gt;=0, "0-10 Days")</f>
        <v>30-40 Days</v>
      </c>
    </row>
    <row r="629" spans="1:14">
      <c r="A629">
        <v>628</v>
      </c>
      <c r="B629" t="s">
        <v>29</v>
      </c>
      <c r="C629" s="5">
        <v>45443</v>
      </c>
      <c r="D629" s="8">
        <v>45443</v>
      </c>
      <c r="E629" s="8" t="str">
        <f>IF(B629="Inactive", EDATE(D629,K629), "")</f>
        <v/>
      </c>
      <c r="F629" t="s">
        <v>14</v>
      </c>
      <c r="G629">
        <v>3.7</v>
      </c>
      <c r="H629" t="str" cm="1">
        <f t="array" ref="H629">_xlfn.IFS(G629&gt;=20,"20-25", G629&gt;=15,"15-20", G629&gt;=10,"10-15", G629&gt;=5,"5-10", G629&gt;=1,"1-5", G629&lt;1,"Less than 1")</f>
        <v>1-5</v>
      </c>
      <c r="I629">
        <v>0</v>
      </c>
      <c r="J629">
        <v>1</v>
      </c>
      <c r="K629" s="6">
        <v>9</v>
      </c>
      <c r="L629" s="2">
        <v>3.99</v>
      </c>
      <c r="M629" s="6">
        <v>33</v>
      </c>
      <c r="N629" t="str" cm="1">
        <f t="array" ref="N629">_xlfn.IFS(M629&gt;=50,"50-60 Days", M629&gt;=40,"40-50 Days", M629&gt;=30, "30-40 Days", M629&gt;=20, "20-30 Days", M629&gt;=10, "10-20 Days", M629&gt;=0, "0-10 Days")</f>
        <v>30-40 Days</v>
      </c>
    </row>
    <row r="630" spans="1:14">
      <c r="A630">
        <v>629</v>
      </c>
      <c r="B630" t="s">
        <v>29</v>
      </c>
      <c r="C630" s="5">
        <v>45541</v>
      </c>
      <c r="D630" s="8">
        <v>45541</v>
      </c>
      <c r="E630" s="8" t="str">
        <f>IF(B630="Inactive", EDATE(D630,K630), "")</f>
        <v/>
      </c>
      <c r="F630" t="s">
        <v>10</v>
      </c>
      <c r="G630">
        <v>20.7</v>
      </c>
      <c r="H630" t="str" cm="1">
        <f t="array" ref="H630">_xlfn.IFS(G630&gt;=20,"20-25", G630&gt;=15,"15-20", G630&gt;=10,"10-15", G630&gt;=5,"5-10", G630&gt;=1,"1-5", G630&lt;1,"Less than 1")</f>
        <v>20-25</v>
      </c>
      <c r="I630">
        <v>1</v>
      </c>
      <c r="J630">
        <v>1</v>
      </c>
      <c r="K630" s="6">
        <v>9</v>
      </c>
      <c r="L630" s="2">
        <v>6.99</v>
      </c>
      <c r="M630" s="6">
        <v>30</v>
      </c>
      <c r="N630" t="str" cm="1">
        <f t="array" ref="N630">_xlfn.IFS(M630&gt;=50,"50-60 Days", M630&gt;=40,"40-50 Days", M630&gt;=30, "30-40 Days", M630&gt;=20, "20-30 Days", M630&gt;=10, "10-20 Days", M630&gt;=0, "0-10 Days")</f>
        <v>30-40 Days</v>
      </c>
    </row>
    <row r="631" spans="1:14">
      <c r="A631">
        <v>630</v>
      </c>
      <c r="B631" t="s">
        <v>29</v>
      </c>
      <c r="C631" s="5">
        <v>45544</v>
      </c>
      <c r="D631" s="8">
        <v>45544</v>
      </c>
      <c r="E631" s="8" t="str">
        <f>IF(B631="Inactive", EDATE(D631,K631), "")</f>
        <v/>
      </c>
      <c r="F631" t="s">
        <v>12</v>
      </c>
      <c r="G631">
        <v>12.8</v>
      </c>
      <c r="H631" t="str" cm="1">
        <f t="array" ref="H631">_xlfn.IFS(G631&gt;=20,"20-25", G631&gt;=15,"15-20", G631&gt;=10,"10-15", G631&gt;=5,"5-10", G631&gt;=1,"1-5", G631&lt;1,"Less than 1")</f>
        <v>10-15</v>
      </c>
      <c r="I631">
        <v>1</v>
      </c>
      <c r="J631">
        <v>0</v>
      </c>
      <c r="K631" s="6">
        <v>12</v>
      </c>
      <c r="L631" s="2">
        <v>1.99</v>
      </c>
      <c r="M631" s="6">
        <v>30</v>
      </c>
      <c r="N631" t="str" cm="1">
        <f t="array" ref="N631">_xlfn.IFS(M631&gt;=50,"50-60 Days", M631&gt;=40,"40-50 Days", M631&gt;=30, "30-40 Days", M631&gt;=20, "20-30 Days", M631&gt;=10, "10-20 Days", M631&gt;=0, "0-10 Days")</f>
        <v>30-40 Days</v>
      </c>
    </row>
    <row r="632" spans="1:14">
      <c r="A632">
        <v>631</v>
      </c>
      <c r="B632" t="s">
        <v>28</v>
      </c>
      <c r="C632" s="5">
        <v>44971</v>
      </c>
      <c r="D632" s="8">
        <v>44971</v>
      </c>
      <c r="E632" s="8">
        <f>IF(B632="Inactive", EDATE(D632,K632), "")</f>
        <v>44999</v>
      </c>
      <c r="F632" t="s">
        <v>10</v>
      </c>
      <c r="G632">
        <v>22.5</v>
      </c>
      <c r="H632" t="str" cm="1">
        <f t="array" ref="H632">_xlfn.IFS(G632&gt;=20,"20-25", G632&gt;=15,"15-20", G632&gt;=10,"10-15", G632&gt;=5,"5-10", G632&gt;=1,"1-5", G632&lt;1,"Less than 1")</f>
        <v>20-25</v>
      </c>
      <c r="I632">
        <v>6</v>
      </c>
      <c r="J632">
        <v>4</v>
      </c>
      <c r="K632" s="6">
        <v>1</v>
      </c>
      <c r="L632" s="2">
        <v>6.99</v>
      </c>
      <c r="M632" s="6">
        <v>26</v>
      </c>
      <c r="N632" t="str" cm="1">
        <f t="array" ref="N632">_xlfn.IFS(M632&gt;=50,"50-60 Days", M632&gt;=40,"40-50 Days", M632&gt;=30, "30-40 Days", M632&gt;=20, "20-30 Days", M632&gt;=10, "10-20 Days", M632&gt;=0, "0-10 Days")</f>
        <v>20-30 Days</v>
      </c>
    </row>
    <row r="633" spans="1:14">
      <c r="A633">
        <v>632</v>
      </c>
      <c r="B633" t="s">
        <v>28</v>
      </c>
      <c r="C633" s="5">
        <v>45640</v>
      </c>
      <c r="D633" s="8">
        <v>45640</v>
      </c>
      <c r="E633" s="8">
        <f>IF(B633="Inactive", EDATE(D633,K633), "")</f>
        <v>46005</v>
      </c>
      <c r="F633" t="s">
        <v>10</v>
      </c>
      <c r="G633">
        <v>11</v>
      </c>
      <c r="H633" t="str" cm="1">
        <f t="array" ref="H633">_xlfn.IFS(G633&gt;=20,"20-25", G633&gt;=15,"15-20", G633&gt;=10,"10-15", G633&gt;=5,"5-10", G633&gt;=1,"1-5", G633&lt;1,"Less than 1")</f>
        <v>10-15</v>
      </c>
      <c r="I633">
        <v>7</v>
      </c>
      <c r="J633">
        <v>3</v>
      </c>
      <c r="K633" s="6">
        <v>12</v>
      </c>
      <c r="L633" s="2">
        <v>6.99</v>
      </c>
      <c r="M633" s="6">
        <v>22</v>
      </c>
      <c r="N633" t="str" cm="1">
        <f t="array" ref="N633">_xlfn.IFS(M633&gt;=50,"50-60 Days", M633&gt;=40,"40-50 Days", M633&gt;=30, "30-40 Days", M633&gt;=20, "20-30 Days", M633&gt;=10, "10-20 Days", M633&gt;=0, "0-10 Days")</f>
        <v>20-30 Days</v>
      </c>
    </row>
    <row r="634" spans="1:14">
      <c r="A634">
        <v>633</v>
      </c>
      <c r="B634" t="s">
        <v>28</v>
      </c>
      <c r="C634" s="5">
        <v>45012</v>
      </c>
      <c r="D634" s="8">
        <v>45012</v>
      </c>
      <c r="E634" s="8">
        <f>IF(B634="Inactive", EDATE(D634,K634), "")</f>
        <v>45104</v>
      </c>
      <c r="F634" t="s">
        <v>10</v>
      </c>
      <c r="G634">
        <v>10.9</v>
      </c>
      <c r="H634" t="str" cm="1">
        <f t="array" ref="H634">_xlfn.IFS(G634&gt;=20,"20-25", G634&gt;=15,"15-20", G634&gt;=10,"10-15", G634&gt;=5,"5-10", G634&gt;=1,"1-5", G634&lt;1,"Less than 1")</f>
        <v>10-15</v>
      </c>
      <c r="I634">
        <v>4</v>
      </c>
      <c r="J634">
        <v>3</v>
      </c>
      <c r="K634" s="6">
        <v>3</v>
      </c>
      <c r="L634" s="2">
        <v>6.99</v>
      </c>
      <c r="M634" s="6">
        <v>49</v>
      </c>
      <c r="N634" t="str" cm="1">
        <f t="array" ref="N634">_xlfn.IFS(M634&gt;=50,"50-60 Days", M634&gt;=40,"40-50 Days", M634&gt;=30, "30-40 Days", M634&gt;=20, "20-30 Days", M634&gt;=10, "10-20 Days", M634&gt;=0, "0-10 Days")</f>
        <v>40-50 Days</v>
      </c>
    </row>
    <row r="635" spans="1:14">
      <c r="A635">
        <v>634</v>
      </c>
      <c r="B635" t="s">
        <v>29</v>
      </c>
      <c r="C635" s="5">
        <v>44934</v>
      </c>
      <c r="D635" s="8">
        <v>44934</v>
      </c>
      <c r="E635" s="8" t="str">
        <f>IF(B635="Inactive", EDATE(D635,K635), "")</f>
        <v/>
      </c>
      <c r="F635" t="s">
        <v>14</v>
      </c>
      <c r="G635">
        <v>10.5</v>
      </c>
      <c r="H635" t="str" cm="1">
        <f t="array" ref="H635">_xlfn.IFS(G635&gt;=20,"20-25", G635&gt;=15,"15-20", G635&gt;=10,"10-15", G635&gt;=5,"5-10", G635&gt;=1,"1-5", G635&lt;1,"Less than 1")</f>
        <v>10-15</v>
      </c>
      <c r="I635">
        <v>3</v>
      </c>
      <c r="J635">
        <v>0</v>
      </c>
      <c r="K635" s="6">
        <v>12</v>
      </c>
      <c r="L635" s="2">
        <v>3.99</v>
      </c>
      <c r="M635" s="6">
        <v>45</v>
      </c>
      <c r="N635" t="str" cm="1">
        <f t="array" ref="N635">_xlfn.IFS(M635&gt;=50,"50-60 Days", M635&gt;=40,"40-50 Days", M635&gt;=30, "30-40 Days", M635&gt;=20, "20-30 Days", M635&gt;=10, "10-20 Days", M635&gt;=0, "0-10 Days")</f>
        <v>40-50 Days</v>
      </c>
    </row>
    <row r="636" spans="1:14">
      <c r="A636">
        <v>635</v>
      </c>
      <c r="B636" t="s">
        <v>28</v>
      </c>
      <c r="C636" s="5">
        <v>45250</v>
      </c>
      <c r="D636" s="8">
        <v>45250</v>
      </c>
      <c r="E636" s="8">
        <f>IF(B636="Inactive", EDATE(D636,K636), "")</f>
        <v>45616</v>
      </c>
      <c r="F636" t="s">
        <v>10</v>
      </c>
      <c r="G636">
        <v>3.4</v>
      </c>
      <c r="H636" t="str" cm="1">
        <f t="array" ref="H636">_xlfn.IFS(G636&gt;=20,"20-25", G636&gt;=15,"15-20", G636&gt;=10,"10-15", G636&gt;=5,"5-10", G636&gt;=1,"1-5", G636&lt;1,"Less than 1")</f>
        <v>1-5</v>
      </c>
      <c r="I636">
        <v>0</v>
      </c>
      <c r="J636">
        <v>3</v>
      </c>
      <c r="K636" s="6">
        <v>12</v>
      </c>
      <c r="L636" s="2">
        <v>6.99</v>
      </c>
      <c r="M636" s="6">
        <v>41</v>
      </c>
      <c r="N636" t="str" cm="1">
        <f t="array" ref="N636">_xlfn.IFS(M636&gt;=50,"50-60 Days", M636&gt;=40,"40-50 Days", M636&gt;=30, "30-40 Days", M636&gt;=20, "20-30 Days", M636&gt;=10, "10-20 Days", M636&gt;=0, "0-10 Days")</f>
        <v>40-50 Days</v>
      </c>
    </row>
    <row r="637" spans="1:14">
      <c r="A637">
        <v>636</v>
      </c>
      <c r="B637" t="s">
        <v>28</v>
      </c>
      <c r="C637" s="5">
        <v>45475</v>
      </c>
      <c r="D637" s="8">
        <v>45475</v>
      </c>
      <c r="E637" s="8">
        <f>IF(B637="Inactive", EDATE(D637,K637), "")</f>
        <v>45718</v>
      </c>
      <c r="F637" t="s">
        <v>14</v>
      </c>
      <c r="G637">
        <v>3.1</v>
      </c>
      <c r="H637" t="str" cm="1">
        <f t="array" ref="H637">_xlfn.IFS(G637&gt;=20,"20-25", G637&gt;=15,"15-20", G637&gt;=10,"10-15", G637&gt;=5,"5-10", G637&gt;=1,"1-5", G637&lt;1,"Less than 1")</f>
        <v>1-5</v>
      </c>
      <c r="I637">
        <v>6</v>
      </c>
      <c r="J637">
        <v>5</v>
      </c>
      <c r="K637" s="6">
        <v>8</v>
      </c>
      <c r="L637" s="2">
        <v>3.99</v>
      </c>
      <c r="M637" s="6">
        <v>37</v>
      </c>
      <c r="N637" t="str" cm="1">
        <f t="array" ref="N637">_xlfn.IFS(M637&gt;=50,"50-60 Days", M637&gt;=40,"40-50 Days", M637&gt;=30, "30-40 Days", M637&gt;=20, "20-30 Days", M637&gt;=10, "10-20 Days", M637&gt;=0, "0-10 Days")</f>
        <v>30-40 Days</v>
      </c>
    </row>
    <row r="638" spans="1:14">
      <c r="A638">
        <v>637</v>
      </c>
      <c r="B638" t="s">
        <v>29</v>
      </c>
      <c r="C638" s="5">
        <v>45497</v>
      </c>
      <c r="D638" s="8">
        <v>45497</v>
      </c>
      <c r="E638" s="8" t="str">
        <f>IF(B638="Inactive", EDATE(D638,K638), "")</f>
        <v/>
      </c>
      <c r="F638" t="s">
        <v>14</v>
      </c>
      <c r="G638">
        <v>15.5</v>
      </c>
      <c r="H638" t="str" cm="1">
        <f t="array" ref="H638">_xlfn.IFS(G638&gt;=20,"20-25", G638&gt;=15,"15-20", G638&gt;=10,"10-15", G638&gt;=5,"5-10", G638&gt;=1,"1-5", G638&lt;1,"Less than 1")</f>
        <v>15-20</v>
      </c>
      <c r="I638">
        <v>6</v>
      </c>
      <c r="J638">
        <v>1</v>
      </c>
      <c r="K638" s="6">
        <v>8</v>
      </c>
      <c r="L638" s="2">
        <v>3.99</v>
      </c>
      <c r="M638" s="6">
        <v>26</v>
      </c>
      <c r="N638" t="str" cm="1">
        <f t="array" ref="N638">_xlfn.IFS(M638&gt;=50,"50-60 Days", M638&gt;=40,"40-50 Days", M638&gt;=30, "30-40 Days", M638&gt;=20, "20-30 Days", M638&gt;=10, "10-20 Days", M638&gt;=0, "0-10 Days")</f>
        <v>20-30 Days</v>
      </c>
    </row>
    <row r="639" spans="1:14">
      <c r="A639">
        <v>638</v>
      </c>
      <c r="B639" t="s">
        <v>29</v>
      </c>
      <c r="C639" s="5">
        <v>45518</v>
      </c>
      <c r="D639" s="8">
        <v>45518</v>
      </c>
      <c r="E639" s="8" t="str">
        <f>IF(B639="Inactive", EDATE(D639,K639), "")</f>
        <v/>
      </c>
      <c r="F639" t="s">
        <v>14</v>
      </c>
      <c r="G639">
        <v>9.6</v>
      </c>
      <c r="H639" t="str" cm="1">
        <f t="array" ref="H639">_xlfn.IFS(G639&gt;=20,"20-25", G639&gt;=15,"15-20", G639&gt;=10,"10-15", G639&gt;=5,"5-10", G639&gt;=1,"1-5", G639&lt;1,"Less than 1")</f>
        <v>5-10</v>
      </c>
      <c r="I639">
        <v>8</v>
      </c>
      <c r="J639">
        <v>3</v>
      </c>
      <c r="K639" s="6">
        <v>4</v>
      </c>
      <c r="L639" s="2">
        <v>3.99</v>
      </c>
      <c r="M639" s="6">
        <v>16</v>
      </c>
      <c r="N639" t="str" cm="1">
        <f t="array" ref="N639">_xlfn.IFS(M639&gt;=50,"50-60 Days", M639&gt;=40,"40-50 Days", M639&gt;=30, "30-40 Days", M639&gt;=20, "20-30 Days", M639&gt;=10, "10-20 Days", M639&gt;=0, "0-10 Days")</f>
        <v>10-20 Days</v>
      </c>
    </row>
    <row r="640" spans="1:14">
      <c r="A640">
        <v>639</v>
      </c>
      <c r="B640" t="s">
        <v>29</v>
      </c>
      <c r="C640" s="5">
        <v>45643</v>
      </c>
      <c r="D640" s="8">
        <v>45643</v>
      </c>
      <c r="E640" s="8" t="str">
        <f>IF(B640="Inactive", EDATE(D640,K640), "")</f>
        <v/>
      </c>
      <c r="F640" t="s">
        <v>14</v>
      </c>
      <c r="G640">
        <v>18.5</v>
      </c>
      <c r="H640" t="str" cm="1">
        <f t="array" ref="H640">_xlfn.IFS(G640&gt;=20,"20-25", G640&gt;=15,"15-20", G640&gt;=10,"10-15", G640&gt;=5,"5-10", G640&gt;=1,"1-5", G640&lt;1,"Less than 1")</f>
        <v>15-20</v>
      </c>
      <c r="I640">
        <v>1</v>
      </c>
      <c r="J640">
        <v>5</v>
      </c>
      <c r="K640" s="6">
        <v>9</v>
      </c>
      <c r="L640" s="2">
        <v>3.99</v>
      </c>
      <c r="M640" s="6">
        <v>14</v>
      </c>
      <c r="N640" t="str" cm="1">
        <f t="array" ref="N640">_xlfn.IFS(M640&gt;=50,"50-60 Days", M640&gt;=40,"40-50 Days", M640&gt;=30, "30-40 Days", M640&gt;=20, "20-30 Days", M640&gt;=10, "10-20 Days", M640&gt;=0, "0-10 Days")</f>
        <v>10-20 Days</v>
      </c>
    </row>
    <row r="641" spans="1:14">
      <c r="A641">
        <v>640</v>
      </c>
      <c r="B641" t="s">
        <v>28</v>
      </c>
      <c r="C641" s="5">
        <v>45640</v>
      </c>
      <c r="D641" s="8">
        <v>45640</v>
      </c>
      <c r="E641" s="8">
        <f>IF(B641="Inactive", EDATE(D641,K641), "")</f>
        <v>45730</v>
      </c>
      <c r="F641" t="s">
        <v>12</v>
      </c>
      <c r="G641">
        <v>5.8</v>
      </c>
      <c r="H641" t="str" cm="1">
        <f t="array" ref="H641">_xlfn.IFS(G641&gt;=20,"20-25", G641&gt;=15,"15-20", G641&gt;=10,"10-15", G641&gt;=5,"5-10", G641&gt;=1,"1-5", G641&lt;1,"Less than 1")</f>
        <v>5-10</v>
      </c>
      <c r="I641">
        <v>6</v>
      </c>
      <c r="J641">
        <v>2</v>
      </c>
      <c r="K641" s="6">
        <v>3</v>
      </c>
      <c r="L641" s="2">
        <v>1.99</v>
      </c>
      <c r="M641" s="6">
        <v>51</v>
      </c>
      <c r="N641" t="str" cm="1">
        <f t="array" ref="N641">_xlfn.IFS(M641&gt;=50,"50-60 Days", M641&gt;=40,"40-50 Days", M641&gt;=30, "30-40 Days", M641&gt;=20, "20-30 Days", M641&gt;=10, "10-20 Days", M641&gt;=0, "0-10 Days")</f>
        <v>50-60 Days</v>
      </c>
    </row>
    <row r="642" spans="1:14">
      <c r="A642">
        <v>641</v>
      </c>
      <c r="B642" t="s">
        <v>28</v>
      </c>
      <c r="C642" s="5">
        <v>45541</v>
      </c>
      <c r="D642" s="8">
        <v>45541</v>
      </c>
      <c r="E642" s="8">
        <f>IF(B642="Inactive", EDATE(D642,K642), "")</f>
        <v>45602</v>
      </c>
      <c r="F642" t="s">
        <v>10</v>
      </c>
      <c r="G642">
        <v>4.4000000000000004</v>
      </c>
      <c r="H642" t="str" cm="1">
        <f t="array" ref="H642">_xlfn.IFS(G642&gt;=20,"20-25", G642&gt;=15,"15-20", G642&gt;=10,"10-15", G642&gt;=5,"5-10", G642&gt;=1,"1-5", G642&lt;1,"Less than 1")</f>
        <v>1-5</v>
      </c>
      <c r="I642">
        <v>0</v>
      </c>
      <c r="J642">
        <v>0</v>
      </c>
      <c r="K642" s="6">
        <v>2</v>
      </c>
      <c r="L642" s="2">
        <v>6.99</v>
      </c>
      <c r="M642" s="6">
        <v>52</v>
      </c>
      <c r="N642" t="str" cm="1">
        <f t="array" ref="N642">_xlfn.IFS(M642&gt;=50,"50-60 Days", M642&gt;=40,"40-50 Days", M642&gt;=30, "30-40 Days", M642&gt;=20, "20-30 Days", M642&gt;=10, "10-20 Days", M642&gt;=0, "0-10 Days")</f>
        <v>50-60 Days</v>
      </c>
    </row>
    <row r="643" spans="1:14">
      <c r="A643">
        <v>642</v>
      </c>
      <c r="B643" t="s">
        <v>29</v>
      </c>
      <c r="C643" s="5">
        <v>45320</v>
      </c>
      <c r="D643" s="8">
        <v>45320</v>
      </c>
      <c r="E643" s="8" t="str">
        <f>IF(B643="Inactive", EDATE(D643,K643), "")</f>
        <v/>
      </c>
      <c r="F643" t="s">
        <v>14</v>
      </c>
      <c r="G643">
        <v>2.1</v>
      </c>
      <c r="H643" t="str" cm="1">
        <f t="array" ref="H643">_xlfn.IFS(G643&gt;=20,"20-25", G643&gt;=15,"15-20", G643&gt;=10,"10-15", G643&gt;=5,"5-10", G643&gt;=1,"1-5", G643&lt;1,"Less than 1")</f>
        <v>1-5</v>
      </c>
      <c r="I643">
        <v>3</v>
      </c>
      <c r="J643">
        <v>2</v>
      </c>
      <c r="K643" s="6">
        <v>2</v>
      </c>
      <c r="L643" s="2">
        <v>3.99</v>
      </c>
      <c r="M643" s="6">
        <v>5</v>
      </c>
      <c r="N643" t="str" cm="1">
        <f t="array" ref="N643">_xlfn.IFS(M643&gt;=50,"50-60 Days", M643&gt;=40,"40-50 Days", M643&gt;=30, "30-40 Days", M643&gt;=20, "20-30 Days", M643&gt;=10, "10-20 Days", M643&gt;=0, "0-10 Days")</f>
        <v>0-10 Days</v>
      </c>
    </row>
    <row r="644" spans="1:14">
      <c r="A644">
        <v>643</v>
      </c>
      <c r="B644" t="s">
        <v>29</v>
      </c>
      <c r="C644" s="5">
        <v>44937</v>
      </c>
      <c r="D644" s="8">
        <v>44937</v>
      </c>
      <c r="E644" s="8" t="str">
        <f>IF(B644="Inactive", EDATE(D644,K644), "")</f>
        <v/>
      </c>
      <c r="F644" t="s">
        <v>14</v>
      </c>
      <c r="G644">
        <v>7.5</v>
      </c>
      <c r="H644" t="str" cm="1">
        <f t="array" ref="H644">_xlfn.IFS(G644&gt;=20,"20-25", G644&gt;=15,"15-20", G644&gt;=10,"10-15", G644&gt;=5,"5-10", G644&gt;=1,"1-5", G644&lt;1,"Less than 1")</f>
        <v>5-10</v>
      </c>
      <c r="I644">
        <v>0</v>
      </c>
      <c r="J644">
        <v>1</v>
      </c>
      <c r="K644" s="6">
        <v>12</v>
      </c>
      <c r="L644" s="2">
        <v>3.99</v>
      </c>
      <c r="M644" s="6">
        <v>40</v>
      </c>
      <c r="N644" t="str" cm="1">
        <f t="array" ref="N644">_xlfn.IFS(M644&gt;=50,"50-60 Days", M644&gt;=40,"40-50 Days", M644&gt;=30, "30-40 Days", M644&gt;=20, "20-30 Days", M644&gt;=10, "10-20 Days", M644&gt;=0, "0-10 Days")</f>
        <v>40-50 Days</v>
      </c>
    </row>
    <row r="645" spans="1:14">
      <c r="A645">
        <v>644</v>
      </c>
      <c r="B645" t="s">
        <v>28</v>
      </c>
      <c r="C645" s="5">
        <v>45164</v>
      </c>
      <c r="D645" s="8">
        <v>45164</v>
      </c>
      <c r="E645" s="8">
        <f>IF(B645="Inactive", EDATE(D645,K645), "")</f>
        <v>45530</v>
      </c>
      <c r="F645" t="s">
        <v>12</v>
      </c>
      <c r="G645">
        <v>7.5</v>
      </c>
      <c r="H645" t="str" cm="1">
        <f t="array" ref="H645">_xlfn.IFS(G645&gt;=20,"20-25", G645&gt;=15,"15-20", G645&gt;=10,"10-15", G645&gt;=5,"5-10", G645&gt;=1,"1-5", G645&lt;1,"Less than 1")</f>
        <v>5-10</v>
      </c>
      <c r="I645">
        <v>0</v>
      </c>
      <c r="J645">
        <v>4</v>
      </c>
      <c r="K645" s="6">
        <v>12</v>
      </c>
      <c r="L645" s="2">
        <v>1.99</v>
      </c>
      <c r="M645" s="6">
        <v>32</v>
      </c>
      <c r="N645" t="str" cm="1">
        <f t="array" ref="N645">_xlfn.IFS(M645&gt;=50,"50-60 Days", M645&gt;=40,"40-50 Days", M645&gt;=30, "30-40 Days", M645&gt;=20, "20-30 Days", M645&gt;=10, "10-20 Days", M645&gt;=0, "0-10 Days")</f>
        <v>30-40 Days</v>
      </c>
    </row>
    <row r="646" spans="1:14">
      <c r="A646">
        <v>645</v>
      </c>
      <c r="B646" t="s">
        <v>28</v>
      </c>
      <c r="C646" s="5">
        <v>45088</v>
      </c>
      <c r="D646" s="8">
        <v>45088</v>
      </c>
      <c r="E646" s="8">
        <f>IF(B646="Inactive", EDATE(D646,K646), "")</f>
        <v>45210</v>
      </c>
      <c r="F646" t="s">
        <v>10</v>
      </c>
      <c r="G646">
        <v>17</v>
      </c>
      <c r="H646" t="str" cm="1">
        <f t="array" ref="H646">_xlfn.IFS(G646&gt;=20,"20-25", G646&gt;=15,"15-20", G646&gt;=10,"10-15", G646&gt;=5,"5-10", G646&gt;=1,"1-5", G646&lt;1,"Less than 1")</f>
        <v>15-20</v>
      </c>
      <c r="I646">
        <v>5</v>
      </c>
      <c r="J646">
        <v>1</v>
      </c>
      <c r="K646" s="6">
        <v>4</v>
      </c>
      <c r="L646" s="2">
        <v>6.99</v>
      </c>
      <c r="M646" s="6">
        <v>41</v>
      </c>
      <c r="N646" t="str" cm="1">
        <f t="array" ref="N646">_xlfn.IFS(M646&gt;=50,"50-60 Days", M646&gt;=40,"40-50 Days", M646&gt;=30, "30-40 Days", M646&gt;=20, "20-30 Days", M646&gt;=10, "10-20 Days", M646&gt;=0, "0-10 Days")</f>
        <v>40-50 Days</v>
      </c>
    </row>
    <row r="647" spans="1:14">
      <c r="A647">
        <v>646</v>
      </c>
      <c r="B647" t="s">
        <v>28</v>
      </c>
      <c r="C647" s="5">
        <v>45132</v>
      </c>
      <c r="D647" s="8">
        <v>45132</v>
      </c>
      <c r="E647" s="8">
        <f>IF(B647="Inactive", EDATE(D647,K647), "")</f>
        <v>45316</v>
      </c>
      <c r="F647" t="s">
        <v>12</v>
      </c>
      <c r="G647">
        <v>19.600000000000001</v>
      </c>
      <c r="H647" t="str" cm="1">
        <f t="array" ref="H647">_xlfn.IFS(G647&gt;=20,"20-25", G647&gt;=15,"15-20", G647&gt;=10,"10-15", G647&gt;=5,"5-10", G647&gt;=1,"1-5", G647&lt;1,"Less than 1")</f>
        <v>15-20</v>
      </c>
      <c r="I647">
        <v>5</v>
      </c>
      <c r="J647">
        <v>5</v>
      </c>
      <c r="K647" s="6">
        <v>6</v>
      </c>
      <c r="L647" s="2">
        <v>1.99</v>
      </c>
      <c r="M647" s="6">
        <v>25</v>
      </c>
      <c r="N647" t="str" cm="1">
        <f t="array" ref="N647">_xlfn.IFS(M647&gt;=50,"50-60 Days", M647&gt;=40,"40-50 Days", M647&gt;=30, "30-40 Days", M647&gt;=20, "20-30 Days", M647&gt;=10, "10-20 Days", M647&gt;=0, "0-10 Days")</f>
        <v>20-30 Days</v>
      </c>
    </row>
    <row r="648" spans="1:14">
      <c r="A648">
        <v>647</v>
      </c>
      <c r="B648" t="s">
        <v>28</v>
      </c>
      <c r="C648" s="5">
        <v>45499</v>
      </c>
      <c r="D648" s="8">
        <v>45499</v>
      </c>
      <c r="E648" s="8">
        <f>IF(B648="Inactive", EDATE(D648,K648), "")</f>
        <v>45530</v>
      </c>
      <c r="F648" t="s">
        <v>10</v>
      </c>
      <c r="G648">
        <v>18.600000000000001</v>
      </c>
      <c r="H648" t="str" cm="1">
        <f t="array" ref="H648">_xlfn.IFS(G648&gt;=20,"20-25", G648&gt;=15,"15-20", G648&gt;=10,"10-15", G648&gt;=5,"5-10", G648&gt;=1,"1-5", G648&lt;1,"Less than 1")</f>
        <v>15-20</v>
      </c>
      <c r="I648">
        <v>1</v>
      </c>
      <c r="J648">
        <v>0</v>
      </c>
      <c r="K648" s="6">
        <v>1</v>
      </c>
      <c r="L648" s="2">
        <v>6.99</v>
      </c>
      <c r="M648" s="6">
        <v>35</v>
      </c>
      <c r="N648" t="str" cm="1">
        <f t="array" ref="N648">_xlfn.IFS(M648&gt;=50,"50-60 Days", M648&gt;=40,"40-50 Days", M648&gt;=30, "30-40 Days", M648&gt;=20, "20-30 Days", M648&gt;=10, "10-20 Days", M648&gt;=0, "0-10 Days")</f>
        <v>30-40 Days</v>
      </c>
    </row>
    <row r="649" spans="1:14">
      <c r="A649">
        <v>648</v>
      </c>
      <c r="B649" t="s">
        <v>29</v>
      </c>
      <c r="C649" s="5">
        <v>45392</v>
      </c>
      <c r="D649" s="8">
        <v>45392</v>
      </c>
      <c r="E649" s="8" t="str">
        <f>IF(B649="Inactive", EDATE(D649,K649), "")</f>
        <v/>
      </c>
      <c r="F649" t="s">
        <v>10</v>
      </c>
      <c r="G649">
        <v>9</v>
      </c>
      <c r="H649" t="str" cm="1">
        <f t="array" ref="H649">_xlfn.IFS(G649&gt;=20,"20-25", G649&gt;=15,"15-20", G649&gt;=10,"10-15", G649&gt;=5,"5-10", G649&gt;=1,"1-5", G649&lt;1,"Less than 1")</f>
        <v>5-10</v>
      </c>
      <c r="I649">
        <v>4</v>
      </c>
      <c r="J649">
        <v>1</v>
      </c>
      <c r="K649" s="6">
        <v>8</v>
      </c>
      <c r="L649" s="2">
        <v>6.99</v>
      </c>
      <c r="M649" s="6">
        <v>38</v>
      </c>
      <c r="N649" t="str" cm="1">
        <f t="array" ref="N649">_xlfn.IFS(M649&gt;=50,"50-60 Days", M649&gt;=40,"40-50 Days", M649&gt;=30, "30-40 Days", M649&gt;=20, "20-30 Days", M649&gt;=10, "10-20 Days", M649&gt;=0, "0-10 Days")</f>
        <v>30-40 Days</v>
      </c>
    </row>
    <row r="650" spans="1:14">
      <c r="A650">
        <v>649</v>
      </c>
      <c r="B650" t="s">
        <v>29</v>
      </c>
      <c r="C650" s="5">
        <v>45442</v>
      </c>
      <c r="D650" s="8">
        <v>45442</v>
      </c>
      <c r="E650" s="8" t="str">
        <f>IF(B650="Inactive", EDATE(D650,K650), "")</f>
        <v/>
      </c>
      <c r="F650" t="s">
        <v>14</v>
      </c>
      <c r="G650">
        <v>6.9</v>
      </c>
      <c r="H650" t="str" cm="1">
        <f t="array" ref="H650">_xlfn.IFS(G650&gt;=20,"20-25", G650&gt;=15,"15-20", G650&gt;=10,"10-15", G650&gt;=5,"5-10", G650&gt;=1,"1-5", G650&lt;1,"Less than 1")</f>
        <v>5-10</v>
      </c>
      <c r="I650">
        <v>6</v>
      </c>
      <c r="J650">
        <v>4</v>
      </c>
      <c r="K650" s="6">
        <v>1</v>
      </c>
      <c r="L650" s="2">
        <v>3.99</v>
      </c>
      <c r="M650" s="6">
        <v>6</v>
      </c>
      <c r="N650" t="str" cm="1">
        <f t="array" ref="N650">_xlfn.IFS(M650&gt;=50,"50-60 Days", M650&gt;=40,"40-50 Days", M650&gt;=30, "30-40 Days", M650&gt;=20, "20-30 Days", M650&gt;=10, "10-20 Days", M650&gt;=0, "0-10 Days")</f>
        <v>0-10 Days</v>
      </c>
    </row>
    <row r="651" spans="1:14">
      <c r="A651">
        <v>650</v>
      </c>
      <c r="B651" t="s">
        <v>28</v>
      </c>
      <c r="C651" s="5">
        <v>45515</v>
      </c>
      <c r="D651" s="8">
        <v>45515</v>
      </c>
      <c r="E651" s="8">
        <f>IF(B651="Inactive", EDATE(D651,K651), "")</f>
        <v>45758</v>
      </c>
      <c r="F651" t="s">
        <v>14</v>
      </c>
      <c r="G651">
        <v>23.7</v>
      </c>
      <c r="H651" t="str" cm="1">
        <f t="array" ref="H651">_xlfn.IFS(G651&gt;=20,"20-25", G651&gt;=15,"15-20", G651&gt;=10,"10-15", G651&gt;=5,"5-10", G651&gt;=1,"1-5", G651&lt;1,"Less than 1")</f>
        <v>20-25</v>
      </c>
      <c r="I651">
        <v>8</v>
      </c>
      <c r="J651">
        <v>2</v>
      </c>
      <c r="K651" s="6">
        <v>8</v>
      </c>
      <c r="L651" s="2">
        <v>3.99</v>
      </c>
      <c r="M651" s="6">
        <v>56</v>
      </c>
      <c r="N651" t="str" cm="1">
        <f t="array" ref="N651">_xlfn.IFS(M651&gt;=50,"50-60 Days", M651&gt;=40,"40-50 Days", M651&gt;=30, "30-40 Days", M651&gt;=20, "20-30 Days", M651&gt;=10, "10-20 Days", M651&gt;=0, "0-10 Days")</f>
        <v>50-60 Days</v>
      </c>
    </row>
    <row r="652" spans="1:14">
      <c r="A652">
        <v>651</v>
      </c>
      <c r="B652" t="s">
        <v>28</v>
      </c>
      <c r="C652" s="5">
        <v>45396</v>
      </c>
      <c r="D652" s="8">
        <v>45396</v>
      </c>
      <c r="E652" s="8">
        <f>IF(B652="Inactive", EDATE(D652,K652), "")</f>
        <v>45702</v>
      </c>
      <c r="F652" t="s">
        <v>14</v>
      </c>
      <c r="G652">
        <v>24.2</v>
      </c>
      <c r="H652" t="str" cm="1">
        <f t="array" ref="H652">_xlfn.IFS(G652&gt;=20,"20-25", G652&gt;=15,"15-20", G652&gt;=10,"10-15", G652&gt;=5,"5-10", G652&gt;=1,"1-5", G652&lt;1,"Less than 1")</f>
        <v>20-25</v>
      </c>
      <c r="I652">
        <v>7</v>
      </c>
      <c r="J652">
        <v>1</v>
      </c>
      <c r="K652" s="6">
        <v>10</v>
      </c>
      <c r="L652" s="2">
        <v>3.99</v>
      </c>
      <c r="M652" s="6">
        <v>48</v>
      </c>
      <c r="N652" t="str" cm="1">
        <f t="array" ref="N652">_xlfn.IFS(M652&gt;=50,"50-60 Days", M652&gt;=40,"40-50 Days", M652&gt;=30, "30-40 Days", M652&gt;=20, "20-30 Days", M652&gt;=10, "10-20 Days", M652&gt;=0, "0-10 Days")</f>
        <v>40-50 Days</v>
      </c>
    </row>
    <row r="653" spans="1:14">
      <c r="A653">
        <v>652</v>
      </c>
      <c r="B653" t="s">
        <v>28</v>
      </c>
      <c r="C653" s="5">
        <v>45318</v>
      </c>
      <c r="D653" s="8">
        <v>45318</v>
      </c>
      <c r="E653" s="8">
        <f>IF(B653="Inactive", EDATE(D653,K653), "")</f>
        <v>45623</v>
      </c>
      <c r="F653" t="s">
        <v>10</v>
      </c>
      <c r="G653">
        <v>22.5</v>
      </c>
      <c r="H653" t="str" cm="1">
        <f t="array" ref="H653">_xlfn.IFS(G653&gt;=20,"20-25", G653&gt;=15,"15-20", G653&gt;=10,"10-15", G653&gt;=5,"5-10", G653&gt;=1,"1-5", G653&lt;1,"Less than 1")</f>
        <v>20-25</v>
      </c>
      <c r="I653">
        <v>0</v>
      </c>
      <c r="J653">
        <v>3</v>
      </c>
      <c r="K653" s="6">
        <v>10</v>
      </c>
      <c r="L653" s="2">
        <v>6.99</v>
      </c>
      <c r="M653" s="6">
        <v>7</v>
      </c>
      <c r="N653" t="str" cm="1">
        <f t="array" ref="N653">_xlfn.IFS(M653&gt;=50,"50-60 Days", M653&gt;=40,"40-50 Days", M653&gt;=30, "30-40 Days", M653&gt;=20, "20-30 Days", M653&gt;=10, "10-20 Days", M653&gt;=0, "0-10 Days")</f>
        <v>0-10 Days</v>
      </c>
    </row>
    <row r="654" spans="1:14">
      <c r="A654">
        <v>653</v>
      </c>
      <c r="B654" t="s">
        <v>29</v>
      </c>
      <c r="C654" s="5">
        <v>45455</v>
      </c>
      <c r="D654" s="8">
        <v>45455</v>
      </c>
      <c r="E654" s="8" t="str">
        <f>IF(B654="Inactive", EDATE(D654,K654), "")</f>
        <v/>
      </c>
      <c r="F654" t="s">
        <v>10</v>
      </c>
      <c r="G654">
        <v>17.100000000000001</v>
      </c>
      <c r="H654" t="str" cm="1">
        <f t="array" ref="H654">_xlfn.IFS(G654&gt;=20,"20-25", G654&gt;=15,"15-20", G654&gt;=10,"10-15", G654&gt;=5,"5-10", G654&gt;=1,"1-5", G654&lt;1,"Less than 1")</f>
        <v>15-20</v>
      </c>
      <c r="I654">
        <v>3</v>
      </c>
      <c r="J654">
        <v>2</v>
      </c>
      <c r="K654" s="6">
        <v>5</v>
      </c>
      <c r="L654" s="2">
        <v>6.99</v>
      </c>
      <c r="M654" s="6">
        <v>26</v>
      </c>
      <c r="N654" t="str" cm="1">
        <f t="array" ref="N654">_xlfn.IFS(M654&gt;=50,"50-60 Days", M654&gt;=40,"40-50 Days", M654&gt;=30, "30-40 Days", M654&gt;=20, "20-30 Days", M654&gt;=10, "10-20 Days", M654&gt;=0, "0-10 Days")</f>
        <v>20-30 Days</v>
      </c>
    </row>
    <row r="655" spans="1:14">
      <c r="A655">
        <v>654</v>
      </c>
      <c r="B655" t="s">
        <v>28</v>
      </c>
      <c r="C655" s="5">
        <v>45616</v>
      </c>
      <c r="D655" s="8">
        <v>45616</v>
      </c>
      <c r="E655" s="8">
        <f>IF(B655="Inactive", EDATE(D655,K655), "")</f>
        <v>45646</v>
      </c>
      <c r="F655" t="s">
        <v>10</v>
      </c>
      <c r="G655">
        <v>17.7</v>
      </c>
      <c r="H655" t="str" cm="1">
        <f t="array" ref="H655">_xlfn.IFS(G655&gt;=20,"20-25", G655&gt;=15,"15-20", G655&gt;=10,"10-15", G655&gt;=5,"5-10", G655&gt;=1,"1-5", G655&lt;1,"Less than 1")</f>
        <v>15-20</v>
      </c>
      <c r="I655">
        <v>4</v>
      </c>
      <c r="J655">
        <v>1</v>
      </c>
      <c r="K655" s="6">
        <v>1</v>
      </c>
      <c r="L655" s="2">
        <v>6.99</v>
      </c>
      <c r="M655" s="6">
        <v>18</v>
      </c>
      <c r="N655" t="str" cm="1">
        <f t="array" ref="N655">_xlfn.IFS(M655&gt;=50,"50-60 Days", M655&gt;=40,"40-50 Days", M655&gt;=30, "30-40 Days", M655&gt;=20, "20-30 Days", M655&gt;=10, "10-20 Days", M655&gt;=0, "0-10 Days")</f>
        <v>10-20 Days</v>
      </c>
    </row>
    <row r="656" spans="1:14">
      <c r="A656">
        <v>655</v>
      </c>
      <c r="B656" t="s">
        <v>28</v>
      </c>
      <c r="C656" s="5">
        <v>45514</v>
      </c>
      <c r="D656" s="8">
        <v>45514</v>
      </c>
      <c r="E656" s="8">
        <f>IF(B656="Inactive", EDATE(D656,K656), "")</f>
        <v>45757</v>
      </c>
      <c r="F656" t="s">
        <v>10</v>
      </c>
      <c r="G656">
        <v>2.4</v>
      </c>
      <c r="H656" t="str" cm="1">
        <f t="array" ref="H656">_xlfn.IFS(G656&gt;=20,"20-25", G656&gt;=15,"15-20", G656&gt;=10,"10-15", G656&gt;=5,"5-10", G656&gt;=1,"1-5", G656&lt;1,"Less than 1")</f>
        <v>1-5</v>
      </c>
      <c r="I656">
        <v>2</v>
      </c>
      <c r="J656">
        <v>3</v>
      </c>
      <c r="K656" s="6">
        <v>8</v>
      </c>
      <c r="L656" s="2">
        <v>6.99</v>
      </c>
      <c r="M656" s="6">
        <v>20</v>
      </c>
      <c r="N656" t="str" cm="1">
        <f t="array" ref="N656">_xlfn.IFS(M656&gt;=50,"50-60 Days", M656&gt;=40,"40-50 Days", M656&gt;=30, "30-40 Days", M656&gt;=20, "20-30 Days", M656&gt;=10, "10-20 Days", M656&gt;=0, "0-10 Days")</f>
        <v>20-30 Days</v>
      </c>
    </row>
    <row r="657" spans="1:14">
      <c r="A657">
        <v>656</v>
      </c>
      <c r="B657" t="s">
        <v>28</v>
      </c>
      <c r="C657" s="5">
        <v>45174</v>
      </c>
      <c r="D657" s="8">
        <v>45174</v>
      </c>
      <c r="E657" s="8">
        <f>IF(B657="Inactive", EDATE(D657,K657), "")</f>
        <v>45296</v>
      </c>
      <c r="F657" t="s">
        <v>14</v>
      </c>
      <c r="G657">
        <v>23.7</v>
      </c>
      <c r="H657" t="str" cm="1">
        <f t="array" ref="H657">_xlfn.IFS(G657&gt;=20,"20-25", G657&gt;=15,"15-20", G657&gt;=10,"10-15", G657&gt;=5,"5-10", G657&gt;=1,"1-5", G657&lt;1,"Less than 1")</f>
        <v>20-25</v>
      </c>
      <c r="I657">
        <v>3</v>
      </c>
      <c r="J657">
        <v>3</v>
      </c>
      <c r="K657" s="6">
        <v>4</v>
      </c>
      <c r="L657" s="2">
        <v>3.99</v>
      </c>
      <c r="M657" s="6">
        <v>47</v>
      </c>
      <c r="N657" t="str" cm="1">
        <f t="array" ref="N657">_xlfn.IFS(M657&gt;=50,"50-60 Days", M657&gt;=40,"40-50 Days", M657&gt;=30, "30-40 Days", M657&gt;=20, "20-30 Days", M657&gt;=10, "10-20 Days", M657&gt;=0, "0-10 Days")</f>
        <v>40-50 Days</v>
      </c>
    </row>
    <row r="658" spans="1:14">
      <c r="A658">
        <v>657</v>
      </c>
      <c r="B658" t="s">
        <v>28</v>
      </c>
      <c r="C658" s="5">
        <v>45036</v>
      </c>
      <c r="D658" s="8">
        <v>45036</v>
      </c>
      <c r="E658" s="8">
        <f>IF(B658="Inactive", EDATE(D658,K658), "")</f>
        <v>45189</v>
      </c>
      <c r="F658" t="s">
        <v>14</v>
      </c>
      <c r="G658">
        <v>6.1</v>
      </c>
      <c r="H658" t="str" cm="1">
        <f t="array" ref="H658">_xlfn.IFS(G658&gt;=20,"20-25", G658&gt;=15,"15-20", G658&gt;=10,"10-15", G658&gt;=5,"5-10", G658&gt;=1,"1-5", G658&lt;1,"Less than 1")</f>
        <v>5-10</v>
      </c>
      <c r="I658">
        <v>3</v>
      </c>
      <c r="J658">
        <v>4</v>
      </c>
      <c r="K658" s="6">
        <v>5</v>
      </c>
      <c r="L658" s="2">
        <v>3.99</v>
      </c>
      <c r="M658" s="6">
        <v>22</v>
      </c>
      <c r="N658" t="str" cm="1">
        <f t="array" ref="N658">_xlfn.IFS(M658&gt;=50,"50-60 Days", M658&gt;=40,"40-50 Days", M658&gt;=30, "30-40 Days", M658&gt;=20, "20-30 Days", M658&gt;=10, "10-20 Days", M658&gt;=0, "0-10 Days")</f>
        <v>20-30 Days</v>
      </c>
    </row>
    <row r="659" spans="1:14">
      <c r="A659">
        <v>658</v>
      </c>
      <c r="B659" t="s">
        <v>29</v>
      </c>
      <c r="C659" s="5">
        <v>45481</v>
      </c>
      <c r="D659" s="8">
        <v>45481</v>
      </c>
      <c r="E659" s="8" t="str">
        <f>IF(B659="Inactive", EDATE(D659,K659), "")</f>
        <v/>
      </c>
      <c r="F659" t="s">
        <v>12</v>
      </c>
      <c r="G659">
        <v>17.100000000000001</v>
      </c>
      <c r="H659" t="str" cm="1">
        <f t="array" ref="H659">_xlfn.IFS(G659&gt;=20,"20-25", G659&gt;=15,"15-20", G659&gt;=10,"10-15", G659&gt;=5,"5-10", G659&gt;=1,"1-5", G659&lt;1,"Less than 1")</f>
        <v>15-20</v>
      </c>
      <c r="I659">
        <v>7</v>
      </c>
      <c r="J659">
        <v>4</v>
      </c>
      <c r="K659" s="6">
        <v>2</v>
      </c>
      <c r="L659" s="2">
        <v>1.99</v>
      </c>
      <c r="M659" s="6">
        <v>0</v>
      </c>
      <c r="N659" t="str" cm="1">
        <f t="array" ref="N659">_xlfn.IFS(M659&gt;=50,"50-60 Days", M659&gt;=40,"40-50 Days", M659&gt;=30, "30-40 Days", M659&gt;=20, "20-30 Days", M659&gt;=10, "10-20 Days", M659&gt;=0, "0-10 Days")</f>
        <v>0-10 Days</v>
      </c>
    </row>
    <row r="660" spans="1:14">
      <c r="A660">
        <v>659</v>
      </c>
      <c r="B660" t="s">
        <v>29</v>
      </c>
      <c r="C660" s="5">
        <v>45515</v>
      </c>
      <c r="D660" s="8">
        <v>45515</v>
      </c>
      <c r="E660" s="8" t="str">
        <f>IF(B660="Inactive", EDATE(D660,K660), "")</f>
        <v/>
      </c>
      <c r="F660" t="s">
        <v>12</v>
      </c>
      <c r="G660">
        <v>9.6</v>
      </c>
      <c r="H660" t="str" cm="1">
        <f t="array" ref="H660">_xlfn.IFS(G660&gt;=20,"20-25", G660&gt;=15,"15-20", G660&gt;=10,"10-15", G660&gt;=5,"5-10", G660&gt;=1,"1-5", G660&lt;1,"Less than 1")</f>
        <v>5-10</v>
      </c>
      <c r="I660">
        <v>5</v>
      </c>
      <c r="J660">
        <v>3</v>
      </c>
      <c r="K660" s="6">
        <v>11</v>
      </c>
      <c r="L660" s="2">
        <v>1.99</v>
      </c>
      <c r="M660" s="6">
        <v>57</v>
      </c>
      <c r="N660" t="str" cm="1">
        <f t="array" ref="N660">_xlfn.IFS(M660&gt;=50,"50-60 Days", M660&gt;=40,"40-50 Days", M660&gt;=30, "30-40 Days", M660&gt;=20, "20-30 Days", M660&gt;=10, "10-20 Days", M660&gt;=0, "0-10 Days")</f>
        <v>50-60 Days</v>
      </c>
    </row>
    <row r="661" spans="1:14">
      <c r="A661">
        <v>660</v>
      </c>
      <c r="B661" t="s">
        <v>28</v>
      </c>
      <c r="C661" s="5">
        <v>45517</v>
      </c>
      <c r="D661" s="8">
        <v>45517</v>
      </c>
      <c r="E661" s="8">
        <f>IF(B661="Inactive", EDATE(D661,K661), "")</f>
        <v>45851</v>
      </c>
      <c r="F661" t="s">
        <v>14</v>
      </c>
      <c r="G661">
        <v>5</v>
      </c>
      <c r="H661" t="str" cm="1">
        <f t="array" ref="H661">_xlfn.IFS(G661&gt;=20,"20-25", G661&gt;=15,"15-20", G661&gt;=10,"10-15", G661&gt;=5,"5-10", G661&gt;=1,"1-5", G661&lt;1,"Less than 1")</f>
        <v>5-10</v>
      </c>
      <c r="I661">
        <v>8</v>
      </c>
      <c r="J661">
        <v>2</v>
      </c>
      <c r="K661" s="6">
        <v>11</v>
      </c>
      <c r="L661" s="2">
        <v>3.99</v>
      </c>
      <c r="M661" s="6">
        <v>25</v>
      </c>
      <c r="N661" t="str" cm="1">
        <f t="array" ref="N661">_xlfn.IFS(M661&gt;=50,"50-60 Days", M661&gt;=40,"40-50 Days", M661&gt;=30, "30-40 Days", M661&gt;=20, "20-30 Days", M661&gt;=10, "10-20 Days", M661&gt;=0, "0-10 Days")</f>
        <v>20-30 Days</v>
      </c>
    </row>
    <row r="662" spans="1:14">
      <c r="A662">
        <v>661</v>
      </c>
      <c r="B662" t="s">
        <v>28</v>
      </c>
      <c r="C662" s="5">
        <v>45441</v>
      </c>
      <c r="D662" s="8">
        <v>45441</v>
      </c>
      <c r="E662" s="8">
        <f>IF(B662="Inactive", EDATE(D662,K662), "")</f>
        <v>45502</v>
      </c>
      <c r="F662" t="s">
        <v>12</v>
      </c>
      <c r="G662">
        <v>13.4</v>
      </c>
      <c r="H662" t="str" cm="1">
        <f t="array" ref="H662">_xlfn.IFS(G662&gt;=20,"20-25", G662&gt;=15,"15-20", G662&gt;=10,"10-15", G662&gt;=5,"5-10", G662&gt;=1,"1-5", G662&lt;1,"Less than 1")</f>
        <v>10-15</v>
      </c>
      <c r="I662">
        <v>6</v>
      </c>
      <c r="J662">
        <v>3</v>
      </c>
      <c r="K662" s="6">
        <v>2</v>
      </c>
      <c r="L662" s="2">
        <v>1.99</v>
      </c>
      <c r="M662" s="6">
        <v>60</v>
      </c>
      <c r="N662" t="str" cm="1">
        <f t="array" ref="N662">_xlfn.IFS(M662&gt;=50,"50-60 Days", M662&gt;=40,"40-50 Days", M662&gt;=30, "30-40 Days", M662&gt;=20, "20-30 Days", M662&gt;=10, "10-20 Days", M662&gt;=0, "0-10 Days")</f>
        <v>50-60 Days</v>
      </c>
    </row>
    <row r="663" spans="1:14">
      <c r="A663">
        <v>662</v>
      </c>
      <c r="B663" t="s">
        <v>29</v>
      </c>
      <c r="C663" s="5">
        <v>45398</v>
      </c>
      <c r="D663" s="8">
        <v>45398</v>
      </c>
      <c r="E663" s="8" t="str">
        <f>IF(B663="Inactive", EDATE(D663,K663), "")</f>
        <v/>
      </c>
      <c r="F663" t="s">
        <v>14</v>
      </c>
      <c r="G663">
        <v>21.6</v>
      </c>
      <c r="H663" t="str" cm="1">
        <f t="array" ref="H663">_xlfn.IFS(G663&gt;=20,"20-25", G663&gt;=15,"15-20", G663&gt;=10,"10-15", G663&gt;=5,"5-10", G663&gt;=1,"1-5", G663&lt;1,"Less than 1")</f>
        <v>20-25</v>
      </c>
      <c r="I663">
        <v>2</v>
      </c>
      <c r="J663">
        <v>3</v>
      </c>
      <c r="K663" s="6">
        <v>9</v>
      </c>
      <c r="L663" s="2">
        <v>3.99</v>
      </c>
      <c r="M663" s="6">
        <v>7</v>
      </c>
      <c r="N663" t="str" cm="1">
        <f t="array" ref="N663">_xlfn.IFS(M663&gt;=50,"50-60 Days", M663&gt;=40,"40-50 Days", M663&gt;=30, "30-40 Days", M663&gt;=20, "20-30 Days", M663&gt;=10, "10-20 Days", M663&gt;=0, "0-10 Days")</f>
        <v>0-10 Days</v>
      </c>
    </row>
    <row r="664" spans="1:14">
      <c r="A664">
        <v>663</v>
      </c>
      <c r="B664" t="s">
        <v>28</v>
      </c>
      <c r="C664" s="5">
        <v>45297</v>
      </c>
      <c r="D664" s="8">
        <v>45297</v>
      </c>
      <c r="E664" s="8">
        <f>IF(B664="Inactive", EDATE(D664,K664), "")</f>
        <v>45328</v>
      </c>
      <c r="F664" t="s">
        <v>14</v>
      </c>
      <c r="G664">
        <v>0.8</v>
      </c>
      <c r="H664" t="str" cm="1">
        <f t="array" ref="H664">_xlfn.IFS(G664&gt;=20,"20-25", G664&gt;=15,"15-20", G664&gt;=10,"10-15", G664&gt;=5,"5-10", G664&gt;=1,"1-5", G664&lt;1,"Less than 1")</f>
        <v>Less than 1</v>
      </c>
      <c r="I664">
        <v>3</v>
      </c>
      <c r="J664">
        <v>3</v>
      </c>
      <c r="K664" s="6">
        <v>1</v>
      </c>
      <c r="L664" s="2">
        <v>3.99</v>
      </c>
      <c r="M664" s="6">
        <v>37</v>
      </c>
      <c r="N664" t="str" cm="1">
        <f t="array" ref="N664">_xlfn.IFS(M664&gt;=50,"50-60 Days", M664&gt;=40,"40-50 Days", M664&gt;=30, "30-40 Days", M664&gt;=20, "20-30 Days", M664&gt;=10, "10-20 Days", M664&gt;=0, "0-10 Days")</f>
        <v>30-40 Days</v>
      </c>
    </row>
    <row r="665" spans="1:14">
      <c r="A665">
        <v>664</v>
      </c>
      <c r="B665" t="s">
        <v>29</v>
      </c>
      <c r="C665" s="5">
        <v>45554</v>
      </c>
      <c r="D665" s="8">
        <v>45554</v>
      </c>
      <c r="E665" s="8" t="str">
        <f>IF(B665="Inactive", EDATE(D665,K665), "")</f>
        <v/>
      </c>
      <c r="F665" t="s">
        <v>10</v>
      </c>
      <c r="G665">
        <v>5.0999999999999996</v>
      </c>
      <c r="H665" t="str" cm="1">
        <f t="array" ref="H665">_xlfn.IFS(G665&gt;=20,"20-25", G665&gt;=15,"15-20", G665&gt;=10,"10-15", G665&gt;=5,"5-10", G665&gt;=1,"1-5", G665&lt;1,"Less than 1")</f>
        <v>5-10</v>
      </c>
      <c r="I665">
        <v>4</v>
      </c>
      <c r="J665">
        <v>1</v>
      </c>
      <c r="K665" s="6">
        <v>6</v>
      </c>
      <c r="L665" s="2">
        <v>6.99</v>
      </c>
      <c r="M665" s="6">
        <v>17</v>
      </c>
      <c r="N665" t="str" cm="1">
        <f t="array" ref="N665">_xlfn.IFS(M665&gt;=50,"50-60 Days", M665&gt;=40,"40-50 Days", M665&gt;=30, "30-40 Days", M665&gt;=20, "20-30 Days", M665&gt;=10, "10-20 Days", M665&gt;=0, "0-10 Days")</f>
        <v>10-20 Days</v>
      </c>
    </row>
    <row r="666" spans="1:14">
      <c r="A666">
        <v>665</v>
      </c>
      <c r="B666" t="s">
        <v>29</v>
      </c>
      <c r="C666" s="5">
        <v>45308</v>
      </c>
      <c r="D666" s="8">
        <v>45308</v>
      </c>
      <c r="E666" s="8" t="str">
        <f>IF(B666="Inactive", EDATE(D666,K666), "")</f>
        <v/>
      </c>
      <c r="F666" t="s">
        <v>14</v>
      </c>
      <c r="G666">
        <v>5</v>
      </c>
      <c r="H666" t="str" cm="1">
        <f t="array" ref="H666">_xlfn.IFS(G666&gt;=20,"20-25", G666&gt;=15,"15-20", G666&gt;=10,"10-15", G666&gt;=5,"5-10", G666&gt;=1,"1-5", G666&lt;1,"Less than 1")</f>
        <v>5-10</v>
      </c>
      <c r="I666">
        <v>6</v>
      </c>
      <c r="J666">
        <v>1</v>
      </c>
      <c r="K666" s="6">
        <v>8</v>
      </c>
      <c r="L666" s="2">
        <v>3.99</v>
      </c>
      <c r="M666" s="6">
        <v>26</v>
      </c>
      <c r="N666" t="str" cm="1">
        <f t="array" ref="N666">_xlfn.IFS(M666&gt;=50,"50-60 Days", M666&gt;=40,"40-50 Days", M666&gt;=30, "30-40 Days", M666&gt;=20, "20-30 Days", M666&gt;=10, "10-20 Days", M666&gt;=0, "0-10 Days")</f>
        <v>20-30 Days</v>
      </c>
    </row>
    <row r="667" spans="1:14">
      <c r="A667">
        <v>666</v>
      </c>
      <c r="B667" t="s">
        <v>29</v>
      </c>
      <c r="C667" s="5">
        <v>45629</v>
      </c>
      <c r="D667" s="8">
        <v>45629</v>
      </c>
      <c r="E667" s="8" t="str">
        <f>IF(B667="Inactive", EDATE(D667,K667), "")</f>
        <v/>
      </c>
      <c r="F667" t="s">
        <v>14</v>
      </c>
      <c r="G667">
        <v>7.4</v>
      </c>
      <c r="H667" t="str" cm="1">
        <f t="array" ref="H667">_xlfn.IFS(G667&gt;=20,"20-25", G667&gt;=15,"15-20", G667&gt;=10,"10-15", G667&gt;=5,"5-10", G667&gt;=1,"1-5", G667&lt;1,"Less than 1")</f>
        <v>5-10</v>
      </c>
      <c r="I667">
        <v>2</v>
      </c>
      <c r="J667">
        <v>4</v>
      </c>
      <c r="K667" s="6">
        <v>9</v>
      </c>
      <c r="L667" s="2">
        <v>3.99</v>
      </c>
      <c r="M667" s="6">
        <v>8</v>
      </c>
      <c r="N667" t="str" cm="1">
        <f t="array" ref="N667">_xlfn.IFS(M667&gt;=50,"50-60 Days", M667&gt;=40,"40-50 Days", M667&gt;=30, "30-40 Days", M667&gt;=20, "20-30 Days", M667&gt;=10, "10-20 Days", M667&gt;=0, "0-10 Days")</f>
        <v>0-10 Days</v>
      </c>
    </row>
    <row r="668" spans="1:14">
      <c r="A668">
        <v>667</v>
      </c>
      <c r="B668" t="s">
        <v>29</v>
      </c>
      <c r="C668" s="5">
        <v>45127</v>
      </c>
      <c r="D668" s="8">
        <v>45127</v>
      </c>
      <c r="E668" s="8" t="str">
        <f>IF(B668="Inactive", EDATE(D668,K668), "")</f>
        <v/>
      </c>
      <c r="F668" t="s">
        <v>12</v>
      </c>
      <c r="G668">
        <v>18.2</v>
      </c>
      <c r="H668" t="str" cm="1">
        <f t="array" ref="H668">_xlfn.IFS(G668&gt;=20,"20-25", G668&gt;=15,"15-20", G668&gt;=10,"10-15", G668&gt;=5,"5-10", G668&gt;=1,"1-5", G668&lt;1,"Less than 1")</f>
        <v>15-20</v>
      </c>
      <c r="I668">
        <v>3</v>
      </c>
      <c r="J668">
        <v>4</v>
      </c>
      <c r="K668" s="6">
        <v>3</v>
      </c>
      <c r="L668" s="2">
        <v>1.99</v>
      </c>
      <c r="M668" s="6">
        <v>27</v>
      </c>
      <c r="N668" t="str" cm="1">
        <f t="array" ref="N668">_xlfn.IFS(M668&gt;=50,"50-60 Days", M668&gt;=40,"40-50 Days", M668&gt;=30, "30-40 Days", M668&gt;=20, "20-30 Days", M668&gt;=10, "10-20 Days", M668&gt;=0, "0-10 Days")</f>
        <v>20-30 Days</v>
      </c>
    </row>
    <row r="669" spans="1:14">
      <c r="A669">
        <v>668</v>
      </c>
      <c r="B669" t="s">
        <v>29</v>
      </c>
      <c r="C669" s="5">
        <v>45572</v>
      </c>
      <c r="D669" s="8">
        <v>45572</v>
      </c>
      <c r="E669" s="8" t="str">
        <f>IF(B669="Inactive", EDATE(D669,K669), "")</f>
        <v/>
      </c>
      <c r="F669" t="s">
        <v>12</v>
      </c>
      <c r="G669">
        <v>12.1</v>
      </c>
      <c r="H669" t="str" cm="1">
        <f t="array" ref="H669">_xlfn.IFS(G669&gt;=20,"20-25", G669&gt;=15,"15-20", G669&gt;=10,"10-15", G669&gt;=5,"5-10", G669&gt;=1,"1-5", G669&lt;1,"Less than 1")</f>
        <v>10-15</v>
      </c>
      <c r="I669">
        <v>0</v>
      </c>
      <c r="J669">
        <v>1</v>
      </c>
      <c r="K669" s="6">
        <v>4</v>
      </c>
      <c r="L669" s="2">
        <v>1.99</v>
      </c>
      <c r="M669" s="6">
        <v>26</v>
      </c>
      <c r="N669" t="str" cm="1">
        <f t="array" ref="N669">_xlfn.IFS(M669&gt;=50,"50-60 Days", M669&gt;=40,"40-50 Days", M669&gt;=30, "30-40 Days", M669&gt;=20, "20-30 Days", M669&gt;=10, "10-20 Days", M669&gt;=0, "0-10 Days")</f>
        <v>20-30 Days</v>
      </c>
    </row>
    <row r="670" spans="1:14">
      <c r="A670">
        <v>669</v>
      </c>
      <c r="B670" t="s">
        <v>29</v>
      </c>
      <c r="C670" s="5">
        <v>45508</v>
      </c>
      <c r="D670" s="8">
        <v>45508</v>
      </c>
      <c r="E670" s="8" t="str">
        <f>IF(B670="Inactive", EDATE(D670,K670), "")</f>
        <v/>
      </c>
      <c r="F670" t="s">
        <v>10</v>
      </c>
      <c r="G670">
        <v>18.2</v>
      </c>
      <c r="H670" t="str" cm="1">
        <f t="array" ref="H670">_xlfn.IFS(G670&gt;=20,"20-25", G670&gt;=15,"15-20", G670&gt;=10,"10-15", G670&gt;=5,"5-10", G670&gt;=1,"1-5", G670&lt;1,"Less than 1")</f>
        <v>15-20</v>
      </c>
      <c r="I670">
        <v>7</v>
      </c>
      <c r="J670">
        <v>2</v>
      </c>
      <c r="K670" s="6">
        <v>12</v>
      </c>
      <c r="L670" s="2">
        <v>6.99</v>
      </c>
      <c r="M670" s="6">
        <v>16</v>
      </c>
      <c r="N670" t="str" cm="1">
        <f t="array" ref="N670">_xlfn.IFS(M670&gt;=50,"50-60 Days", M670&gt;=40,"40-50 Days", M670&gt;=30, "30-40 Days", M670&gt;=20, "20-30 Days", M670&gt;=10, "10-20 Days", M670&gt;=0, "0-10 Days")</f>
        <v>10-20 Days</v>
      </c>
    </row>
    <row r="671" spans="1:14">
      <c r="A671">
        <v>670</v>
      </c>
      <c r="B671" t="s">
        <v>29</v>
      </c>
      <c r="C671" s="5">
        <v>45414</v>
      </c>
      <c r="D671" s="8">
        <v>45414</v>
      </c>
      <c r="E671" s="8" t="str">
        <f>IF(B671="Inactive", EDATE(D671,K671), "")</f>
        <v/>
      </c>
      <c r="F671" t="s">
        <v>12</v>
      </c>
      <c r="G671">
        <v>2.9</v>
      </c>
      <c r="H671" t="str" cm="1">
        <f t="array" ref="H671">_xlfn.IFS(G671&gt;=20,"20-25", G671&gt;=15,"15-20", G671&gt;=10,"10-15", G671&gt;=5,"5-10", G671&gt;=1,"1-5", G671&lt;1,"Less than 1")</f>
        <v>1-5</v>
      </c>
      <c r="I671">
        <v>2</v>
      </c>
      <c r="J671">
        <v>0</v>
      </c>
      <c r="K671" s="6">
        <v>9</v>
      </c>
      <c r="L671" s="2">
        <v>1.99</v>
      </c>
      <c r="M671" s="6">
        <v>13</v>
      </c>
      <c r="N671" t="str" cm="1">
        <f t="array" ref="N671">_xlfn.IFS(M671&gt;=50,"50-60 Days", M671&gt;=40,"40-50 Days", M671&gt;=30, "30-40 Days", M671&gt;=20, "20-30 Days", M671&gt;=10, "10-20 Days", M671&gt;=0, "0-10 Days")</f>
        <v>10-20 Days</v>
      </c>
    </row>
    <row r="672" spans="1:14">
      <c r="A672">
        <v>671</v>
      </c>
      <c r="B672" t="s">
        <v>28</v>
      </c>
      <c r="C672" s="5">
        <v>45497</v>
      </c>
      <c r="D672" s="8">
        <v>45497</v>
      </c>
      <c r="E672" s="8">
        <f>IF(B672="Inactive", EDATE(D672,K672), "")</f>
        <v>45589</v>
      </c>
      <c r="F672" t="s">
        <v>10</v>
      </c>
      <c r="G672">
        <v>11.5</v>
      </c>
      <c r="H672" t="str" cm="1">
        <f t="array" ref="H672">_xlfn.IFS(G672&gt;=20,"20-25", G672&gt;=15,"15-20", G672&gt;=10,"10-15", G672&gt;=5,"5-10", G672&gt;=1,"1-5", G672&lt;1,"Less than 1")</f>
        <v>10-15</v>
      </c>
      <c r="I672">
        <v>5</v>
      </c>
      <c r="J672">
        <v>2</v>
      </c>
      <c r="K672" s="6">
        <v>3</v>
      </c>
      <c r="L672" s="2">
        <v>6.99</v>
      </c>
      <c r="M672" s="6">
        <v>23</v>
      </c>
      <c r="N672" t="str" cm="1">
        <f t="array" ref="N672">_xlfn.IFS(M672&gt;=50,"50-60 Days", M672&gt;=40,"40-50 Days", M672&gt;=30, "30-40 Days", M672&gt;=20, "20-30 Days", M672&gt;=10, "10-20 Days", M672&gt;=0, "0-10 Days")</f>
        <v>20-30 Days</v>
      </c>
    </row>
    <row r="673" spans="1:14">
      <c r="A673">
        <v>672</v>
      </c>
      <c r="B673" t="s">
        <v>28</v>
      </c>
      <c r="C673" s="5">
        <v>45547</v>
      </c>
      <c r="D673" s="8">
        <v>45547</v>
      </c>
      <c r="E673" s="8">
        <f>IF(B673="Inactive", EDATE(D673,K673), "")</f>
        <v>45789</v>
      </c>
      <c r="F673" t="s">
        <v>14</v>
      </c>
      <c r="G673">
        <v>1</v>
      </c>
      <c r="H673" t="str" cm="1">
        <f t="array" ref="H673">_xlfn.IFS(G673&gt;=20,"20-25", G673&gt;=15,"15-20", G673&gt;=10,"10-15", G673&gt;=5,"5-10", G673&gt;=1,"1-5", G673&lt;1,"Less than 1")</f>
        <v>1-5</v>
      </c>
      <c r="I673">
        <v>1</v>
      </c>
      <c r="J673">
        <v>2</v>
      </c>
      <c r="K673" s="6">
        <v>8</v>
      </c>
      <c r="L673" s="2">
        <v>3.99</v>
      </c>
      <c r="M673" s="6">
        <v>55</v>
      </c>
      <c r="N673" t="str" cm="1">
        <f t="array" ref="N673">_xlfn.IFS(M673&gt;=50,"50-60 Days", M673&gt;=40,"40-50 Days", M673&gt;=30, "30-40 Days", M673&gt;=20, "20-30 Days", M673&gt;=10, "10-20 Days", M673&gt;=0, "0-10 Days")</f>
        <v>50-60 Days</v>
      </c>
    </row>
    <row r="674" spans="1:14">
      <c r="A674">
        <v>673</v>
      </c>
      <c r="B674" t="s">
        <v>28</v>
      </c>
      <c r="C674" s="5">
        <v>45426</v>
      </c>
      <c r="D674" s="8">
        <v>45426</v>
      </c>
      <c r="E674" s="8">
        <f>IF(B674="Inactive", EDATE(D674,K674), "")</f>
        <v>45791</v>
      </c>
      <c r="F674" t="s">
        <v>12</v>
      </c>
      <c r="G674">
        <v>4.8</v>
      </c>
      <c r="H674" t="str" cm="1">
        <f t="array" ref="H674">_xlfn.IFS(G674&gt;=20,"20-25", G674&gt;=15,"15-20", G674&gt;=10,"10-15", G674&gt;=5,"5-10", G674&gt;=1,"1-5", G674&lt;1,"Less than 1")</f>
        <v>1-5</v>
      </c>
      <c r="I674">
        <v>4</v>
      </c>
      <c r="J674">
        <v>2</v>
      </c>
      <c r="K674" s="6">
        <v>12</v>
      </c>
      <c r="L674" s="2">
        <v>1.99</v>
      </c>
      <c r="M674" s="6">
        <v>20</v>
      </c>
      <c r="N674" t="str" cm="1">
        <f t="array" ref="N674">_xlfn.IFS(M674&gt;=50,"50-60 Days", M674&gt;=40,"40-50 Days", M674&gt;=30, "30-40 Days", M674&gt;=20, "20-30 Days", M674&gt;=10, "10-20 Days", M674&gt;=0, "0-10 Days")</f>
        <v>20-30 Days</v>
      </c>
    </row>
    <row r="675" spans="1:14">
      <c r="A675">
        <v>674</v>
      </c>
      <c r="B675" t="s">
        <v>28</v>
      </c>
      <c r="C675" s="5">
        <v>45075</v>
      </c>
      <c r="D675" s="8">
        <v>45075</v>
      </c>
      <c r="E675" s="8">
        <f>IF(B675="Inactive", EDATE(D675,K675), "")</f>
        <v>45380</v>
      </c>
      <c r="F675" t="s">
        <v>10</v>
      </c>
      <c r="G675">
        <v>22.3</v>
      </c>
      <c r="H675" t="str" cm="1">
        <f t="array" ref="H675">_xlfn.IFS(G675&gt;=20,"20-25", G675&gt;=15,"15-20", G675&gt;=10,"10-15", G675&gt;=5,"5-10", G675&gt;=1,"1-5", G675&lt;1,"Less than 1")</f>
        <v>20-25</v>
      </c>
      <c r="I675">
        <v>6</v>
      </c>
      <c r="J675">
        <v>4</v>
      </c>
      <c r="K675" s="6">
        <v>10</v>
      </c>
      <c r="L675" s="2">
        <v>6.99</v>
      </c>
      <c r="M675" s="6">
        <v>18</v>
      </c>
      <c r="N675" t="str" cm="1">
        <f t="array" ref="N675">_xlfn.IFS(M675&gt;=50,"50-60 Days", M675&gt;=40,"40-50 Days", M675&gt;=30, "30-40 Days", M675&gt;=20, "20-30 Days", M675&gt;=10, "10-20 Days", M675&gt;=0, "0-10 Days")</f>
        <v>10-20 Days</v>
      </c>
    </row>
    <row r="676" spans="1:14">
      <c r="A676">
        <v>675</v>
      </c>
      <c r="B676" t="s">
        <v>28</v>
      </c>
      <c r="C676" s="5">
        <v>45160</v>
      </c>
      <c r="D676" s="8">
        <v>45160</v>
      </c>
      <c r="E676" s="8">
        <f>IF(B676="Inactive", EDATE(D676,K676), "")</f>
        <v>45404</v>
      </c>
      <c r="F676" t="s">
        <v>12</v>
      </c>
      <c r="G676">
        <v>10.8</v>
      </c>
      <c r="H676" t="str" cm="1">
        <f t="array" ref="H676">_xlfn.IFS(G676&gt;=20,"20-25", G676&gt;=15,"15-20", G676&gt;=10,"10-15", G676&gt;=5,"5-10", G676&gt;=1,"1-5", G676&lt;1,"Less than 1")</f>
        <v>10-15</v>
      </c>
      <c r="I676">
        <v>6</v>
      </c>
      <c r="J676">
        <v>0</v>
      </c>
      <c r="K676" s="6">
        <v>8</v>
      </c>
      <c r="L676" s="2">
        <v>1.99</v>
      </c>
      <c r="M676" s="6">
        <v>5</v>
      </c>
      <c r="N676" t="str" cm="1">
        <f t="array" ref="N676">_xlfn.IFS(M676&gt;=50,"50-60 Days", M676&gt;=40,"40-50 Days", M676&gt;=30, "30-40 Days", M676&gt;=20, "20-30 Days", M676&gt;=10, "10-20 Days", M676&gt;=0, "0-10 Days")</f>
        <v>0-10 Days</v>
      </c>
    </row>
    <row r="677" spans="1:14">
      <c r="A677">
        <v>676</v>
      </c>
      <c r="B677" t="s">
        <v>28</v>
      </c>
      <c r="C677" s="5">
        <v>45382</v>
      </c>
      <c r="D677" s="8">
        <v>45382</v>
      </c>
      <c r="E677" s="8">
        <f>IF(B677="Inactive", EDATE(D677,K677), "")</f>
        <v>45596</v>
      </c>
      <c r="F677" t="s">
        <v>14</v>
      </c>
      <c r="G677">
        <v>16.5</v>
      </c>
      <c r="H677" t="str" cm="1">
        <f t="array" ref="H677">_xlfn.IFS(G677&gt;=20,"20-25", G677&gt;=15,"15-20", G677&gt;=10,"10-15", G677&gt;=5,"5-10", G677&gt;=1,"1-5", G677&lt;1,"Less than 1")</f>
        <v>15-20</v>
      </c>
      <c r="I677">
        <v>4</v>
      </c>
      <c r="J677">
        <v>4</v>
      </c>
      <c r="K677" s="6">
        <v>7</v>
      </c>
      <c r="L677" s="2">
        <v>3.99</v>
      </c>
      <c r="M677" s="6">
        <v>41</v>
      </c>
      <c r="N677" t="str" cm="1">
        <f t="array" ref="N677">_xlfn.IFS(M677&gt;=50,"50-60 Days", M677&gt;=40,"40-50 Days", M677&gt;=30, "30-40 Days", M677&gt;=20, "20-30 Days", M677&gt;=10, "10-20 Days", M677&gt;=0, "0-10 Days")</f>
        <v>40-50 Days</v>
      </c>
    </row>
    <row r="678" spans="1:14">
      <c r="A678">
        <v>677</v>
      </c>
      <c r="B678" t="s">
        <v>29</v>
      </c>
      <c r="C678" s="5">
        <v>45055</v>
      </c>
      <c r="D678" s="8">
        <v>45055</v>
      </c>
      <c r="E678" s="8" t="str">
        <f>IF(B678="Inactive", EDATE(D678,K678), "")</f>
        <v/>
      </c>
      <c r="F678" t="s">
        <v>14</v>
      </c>
      <c r="G678">
        <v>24.2</v>
      </c>
      <c r="H678" t="str" cm="1">
        <f t="array" ref="H678">_xlfn.IFS(G678&gt;=20,"20-25", G678&gt;=15,"15-20", G678&gt;=10,"10-15", G678&gt;=5,"5-10", G678&gt;=1,"1-5", G678&lt;1,"Less than 1")</f>
        <v>20-25</v>
      </c>
      <c r="I678">
        <v>6</v>
      </c>
      <c r="J678">
        <v>1</v>
      </c>
      <c r="K678" s="6">
        <v>12</v>
      </c>
      <c r="L678" s="2">
        <v>3.99</v>
      </c>
      <c r="M678" s="6">
        <v>11</v>
      </c>
      <c r="N678" t="str" cm="1">
        <f t="array" ref="N678">_xlfn.IFS(M678&gt;=50,"50-60 Days", M678&gt;=40,"40-50 Days", M678&gt;=30, "30-40 Days", M678&gt;=20, "20-30 Days", M678&gt;=10, "10-20 Days", M678&gt;=0, "0-10 Days")</f>
        <v>10-20 Days</v>
      </c>
    </row>
    <row r="679" spans="1:14">
      <c r="A679">
        <v>678</v>
      </c>
      <c r="B679" t="s">
        <v>29</v>
      </c>
      <c r="C679" s="5">
        <v>45024</v>
      </c>
      <c r="D679" s="8">
        <v>45024</v>
      </c>
      <c r="E679" s="8" t="str">
        <f>IF(B679="Inactive", EDATE(D679,K679), "")</f>
        <v/>
      </c>
      <c r="F679" t="s">
        <v>10</v>
      </c>
      <c r="G679">
        <v>16.7</v>
      </c>
      <c r="H679" t="str" cm="1">
        <f t="array" ref="H679">_xlfn.IFS(G679&gt;=20,"20-25", G679&gt;=15,"15-20", G679&gt;=10,"10-15", G679&gt;=5,"5-10", G679&gt;=1,"1-5", G679&lt;1,"Less than 1")</f>
        <v>15-20</v>
      </c>
      <c r="I679">
        <v>1</v>
      </c>
      <c r="J679">
        <v>1</v>
      </c>
      <c r="K679" s="6">
        <v>6</v>
      </c>
      <c r="L679" s="2">
        <v>6.99</v>
      </c>
      <c r="M679" s="6">
        <v>10</v>
      </c>
      <c r="N679" t="str" cm="1">
        <f t="array" ref="N679">_xlfn.IFS(M679&gt;=50,"50-60 Days", M679&gt;=40,"40-50 Days", M679&gt;=30, "30-40 Days", M679&gt;=20, "20-30 Days", M679&gt;=10, "10-20 Days", M679&gt;=0, "0-10 Days")</f>
        <v>10-20 Days</v>
      </c>
    </row>
    <row r="680" spans="1:14">
      <c r="A680">
        <v>679</v>
      </c>
      <c r="B680" t="s">
        <v>29</v>
      </c>
      <c r="C680" s="5">
        <v>45012</v>
      </c>
      <c r="D680" s="8">
        <v>45012</v>
      </c>
      <c r="E680" s="8" t="str">
        <f>IF(B680="Inactive", EDATE(D680,K680), "")</f>
        <v/>
      </c>
      <c r="F680" t="s">
        <v>12</v>
      </c>
      <c r="G680">
        <v>13.9</v>
      </c>
      <c r="H680" t="str" cm="1">
        <f t="array" ref="H680">_xlfn.IFS(G680&gt;=20,"20-25", G680&gt;=15,"15-20", G680&gt;=10,"10-15", G680&gt;=5,"5-10", G680&gt;=1,"1-5", G680&lt;1,"Less than 1")</f>
        <v>10-15</v>
      </c>
      <c r="I680">
        <v>0</v>
      </c>
      <c r="J680">
        <v>3</v>
      </c>
      <c r="K680" s="6">
        <v>11</v>
      </c>
      <c r="L680" s="2">
        <v>1.99</v>
      </c>
      <c r="M680" s="6">
        <v>33</v>
      </c>
      <c r="N680" t="str" cm="1">
        <f t="array" ref="N680">_xlfn.IFS(M680&gt;=50,"50-60 Days", M680&gt;=40,"40-50 Days", M680&gt;=30, "30-40 Days", M680&gt;=20, "20-30 Days", M680&gt;=10, "10-20 Days", M680&gt;=0, "0-10 Days")</f>
        <v>30-40 Days</v>
      </c>
    </row>
    <row r="681" spans="1:14">
      <c r="A681">
        <v>680</v>
      </c>
      <c r="B681" t="s">
        <v>29</v>
      </c>
      <c r="C681" s="5">
        <v>45243</v>
      </c>
      <c r="D681" s="8">
        <v>45243</v>
      </c>
      <c r="E681" s="8" t="str">
        <f>IF(B681="Inactive", EDATE(D681,K681), "")</f>
        <v/>
      </c>
      <c r="F681" t="s">
        <v>12</v>
      </c>
      <c r="G681">
        <v>15.6</v>
      </c>
      <c r="H681" t="str" cm="1">
        <f t="array" ref="H681">_xlfn.IFS(G681&gt;=20,"20-25", G681&gt;=15,"15-20", G681&gt;=10,"10-15", G681&gt;=5,"5-10", G681&gt;=1,"1-5", G681&lt;1,"Less than 1")</f>
        <v>15-20</v>
      </c>
      <c r="I681">
        <v>1</v>
      </c>
      <c r="J681">
        <v>5</v>
      </c>
      <c r="K681" s="6">
        <v>6</v>
      </c>
      <c r="L681" s="2">
        <v>1.99</v>
      </c>
      <c r="M681" s="6">
        <v>59</v>
      </c>
      <c r="N681" t="str" cm="1">
        <f t="array" ref="N681">_xlfn.IFS(M681&gt;=50,"50-60 Days", M681&gt;=40,"40-50 Days", M681&gt;=30, "30-40 Days", M681&gt;=20, "20-30 Days", M681&gt;=10, "10-20 Days", M681&gt;=0, "0-10 Days")</f>
        <v>50-60 Days</v>
      </c>
    </row>
    <row r="682" spans="1:14">
      <c r="A682">
        <v>681</v>
      </c>
      <c r="B682" t="s">
        <v>28</v>
      </c>
      <c r="C682" s="5">
        <v>45101</v>
      </c>
      <c r="D682" s="8">
        <v>45101</v>
      </c>
      <c r="E682" s="8">
        <f>IF(B682="Inactive", EDATE(D682,K682), "")</f>
        <v>45284</v>
      </c>
      <c r="F682" t="s">
        <v>12</v>
      </c>
      <c r="G682">
        <v>18.600000000000001</v>
      </c>
      <c r="H682" t="str" cm="1">
        <f t="array" ref="H682">_xlfn.IFS(G682&gt;=20,"20-25", G682&gt;=15,"15-20", G682&gt;=10,"10-15", G682&gt;=5,"5-10", G682&gt;=1,"1-5", G682&lt;1,"Less than 1")</f>
        <v>15-20</v>
      </c>
      <c r="I682">
        <v>7</v>
      </c>
      <c r="J682">
        <v>5</v>
      </c>
      <c r="K682" s="6">
        <v>6</v>
      </c>
      <c r="L682" s="2">
        <v>1.99</v>
      </c>
      <c r="M682" s="6">
        <v>8</v>
      </c>
      <c r="N682" t="str" cm="1">
        <f t="array" ref="N682">_xlfn.IFS(M682&gt;=50,"50-60 Days", M682&gt;=40,"40-50 Days", M682&gt;=30, "30-40 Days", M682&gt;=20, "20-30 Days", M682&gt;=10, "10-20 Days", M682&gt;=0, "0-10 Days")</f>
        <v>0-10 Days</v>
      </c>
    </row>
    <row r="683" spans="1:14">
      <c r="A683">
        <v>682</v>
      </c>
      <c r="B683" t="s">
        <v>29</v>
      </c>
      <c r="C683" s="5">
        <v>45480</v>
      </c>
      <c r="D683" s="8">
        <v>45480</v>
      </c>
      <c r="E683" s="8" t="str">
        <f>IF(B683="Inactive", EDATE(D683,K683), "")</f>
        <v/>
      </c>
      <c r="F683" t="s">
        <v>12</v>
      </c>
      <c r="G683">
        <v>16.8</v>
      </c>
      <c r="H683" t="str" cm="1">
        <f t="array" ref="H683">_xlfn.IFS(G683&gt;=20,"20-25", G683&gt;=15,"15-20", G683&gt;=10,"10-15", G683&gt;=5,"5-10", G683&gt;=1,"1-5", G683&lt;1,"Less than 1")</f>
        <v>15-20</v>
      </c>
      <c r="I683">
        <v>5</v>
      </c>
      <c r="J683">
        <v>3</v>
      </c>
      <c r="K683" s="6">
        <v>1</v>
      </c>
      <c r="L683" s="2">
        <v>1.99</v>
      </c>
      <c r="M683" s="6">
        <v>29</v>
      </c>
      <c r="N683" t="str" cm="1">
        <f t="array" ref="N683">_xlfn.IFS(M683&gt;=50,"50-60 Days", M683&gt;=40,"40-50 Days", M683&gt;=30, "30-40 Days", M683&gt;=20, "20-30 Days", M683&gt;=10, "10-20 Days", M683&gt;=0, "0-10 Days")</f>
        <v>20-30 Days</v>
      </c>
    </row>
    <row r="684" spans="1:14">
      <c r="A684">
        <v>683</v>
      </c>
      <c r="B684" t="s">
        <v>29</v>
      </c>
      <c r="C684" s="5">
        <v>45573</v>
      </c>
      <c r="D684" s="8">
        <v>45573</v>
      </c>
      <c r="E684" s="8" t="str">
        <f>IF(B684="Inactive", EDATE(D684,K684), "")</f>
        <v/>
      </c>
      <c r="F684" t="s">
        <v>14</v>
      </c>
      <c r="G684">
        <v>11.4</v>
      </c>
      <c r="H684" t="str" cm="1">
        <f t="array" ref="H684">_xlfn.IFS(G684&gt;=20,"20-25", G684&gt;=15,"15-20", G684&gt;=10,"10-15", G684&gt;=5,"5-10", G684&gt;=1,"1-5", G684&lt;1,"Less than 1")</f>
        <v>10-15</v>
      </c>
      <c r="I684">
        <v>8</v>
      </c>
      <c r="J684">
        <v>1</v>
      </c>
      <c r="K684" s="6">
        <v>12</v>
      </c>
      <c r="L684" s="2">
        <v>3.99</v>
      </c>
      <c r="M684" s="6">
        <v>37</v>
      </c>
      <c r="N684" t="str" cm="1">
        <f t="array" ref="N684">_xlfn.IFS(M684&gt;=50,"50-60 Days", M684&gt;=40,"40-50 Days", M684&gt;=30, "30-40 Days", M684&gt;=20, "20-30 Days", M684&gt;=10, "10-20 Days", M684&gt;=0, "0-10 Days")</f>
        <v>30-40 Days</v>
      </c>
    </row>
    <row r="685" spans="1:14">
      <c r="A685">
        <v>684</v>
      </c>
      <c r="B685" t="s">
        <v>28</v>
      </c>
      <c r="C685" s="5">
        <v>45479</v>
      </c>
      <c r="D685" s="8">
        <v>45479</v>
      </c>
      <c r="E685" s="8">
        <f>IF(B685="Inactive", EDATE(D685,K685), "")</f>
        <v>45783</v>
      </c>
      <c r="F685" t="s">
        <v>10</v>
      </c>
      <c r="G685">
        <v>13.3</v>
      </c>
      <c r="H685" t="str" cm="1">
        <f t="array" ref="H685">_xlfn.IFS(G685&gt;=20,"20-25", G685&gt;=15,"15-20", G685&gt;=10,"10-15", G685&gt;=5,"5-10", G685&gt;=1,"1-5", G685&lt;1,"Less than 1")</f>
        <v>10-15</v>
      </c>
      <c r="I685">
        <v>8</v>
      </c>
      <c r="J685">
        <v>2</v>
      </c>
      <c r="K685" s="6">
        <v>10</v>
      </c>
      <c r="L685" s="2">
        <v>6.99</v>
      </c>
      <c r="M685" s="6">
        <v>58</v>
      </c>
      <c r="N685" t="str" cm="1">
        <f t="array" ref="N685">_xlfn.IFS(M685&gt;=50,"50-60 Days", M685&gt;=40,"40-50 Days", M685&gt;=30, "30-40 Days", M685&gt;=20, "20-30 Days", M685&gt;=10, "10-20 Days", M685&gt;=0, "0-10 Days")</f>
        <v>50-60 Days</v>
      </c>
    </row>
    <row r="686" spans="1:14">
      <c r="A686">
        <v>685</v>
      </c>
      <c r="B686" t="s">
        <v>28</v>
      </c>
      <c r="C686" s="5">
        <v>44937</v>
      </c>
      <c r="D686" s="8">
        <v>44937</v>
      </c>
      <c r="E686" s="8">
        <f>IF(B686="Inactive", EDATE(D686,K686), "")</f>
        <v>44996</v>
      </c>
      <c r="F686" t="s">
        <v>12</v>
      </c>
      <c r="G686">
        <v>11.3</v>
      </c>
      <c r="H686" t="str" cm="1">
        <f t="array" ref="H686">_xlfn.IFS(G686&gt;=20,"20-25", G686&gt;=15,"15-20", G686&gt;=10,"10-15", G686&gt;=5,"5-10", G686&gt;=1,"1-5", G686&lt;1,"Less than 1")</f>
        <v>10-15</v>
      </c>
      <c r="I686">
        <v>5</v>
      </c>
      <c r="J686">
        <v>3</v>
      </c>
      <c r="K686" s="6">
        <v>2</v>
      </c>
      <c r="L686" s="2">
        <v>1.99</v>
      </c>
      <c r="M686" s="6">
        <v>16</v>
      </c>
      <c r="N686" t="str" cm="1">
        <f t="array" ref="N686">_xlfn.IFS(M686&gt;=50,"50-60 Days", M686&gt;=40,"40-50 Days", M686&gt;=30, "30-40 Days", M686&gt;=20, "20-30 Days", M686&gt;=10, "10-20 Days", M686&gt;=0, "0-10 Days")</f>
        <v>10-20 Days</v>
      </c>
    </row>
    <row r="687" spans="1:14">
      <c r="A687">
        <v>686</v>
      </c>
      <c r="B687" t="s">
        <v>29</v>
      </c>
      <c r="C687" s="5">
        <v>44935</v>
      </c>
      <c r="D687" s="8">
        <v>44935</v>
      </c>
      <c r="E687" s="8" t="str">
        <f>IF(B687="Inactive", EDATE(D687,K687), "")</f>
        <v/>
      </c>
      <c r="F687" t="s">
        <v>12</v>
      </c>
      <c r="G687">
        <v>20.5</v>
      </c>
      <c r="H687" t="str" cm="1">
        <f t="array" ref="H687">_xlfn.IFS(G687&gt;=20,"20-25", G687&gt;=15,"15-20", G687&gt;=10,"10-15", G687&gt;=5,"5-10", G687&gt;=1,"1-5", G687&lt;1,"Less than 1")</f>
        <v>20-25</v>
      </c>
      <c r="I687">
        <v>2</v>
      </c>
      <c r="J687">
        <v>2</v>
      </c>
      <c r="K687" s="6">
        <v>12</v>
      </c>
      <c r="L687" s="2">
        <v>1.99</v>
      </c>
      <c r="M687" s="6">
        <v>18</v>
      </c>
      <c r="N687" t="str" cm="1">
        <f t="array" ref="N687">_xlfn.IFS(M687&gt;=50,"50-60 Days", M687&gt;=40,"40-50 Days", M687&gt;=30, "30-40 Days", M687&gt;=20, "20-30 Days", M687&gt;=10, "10-20 Days", M687&gt;=0, "0-10 Days")</f>
        <v>10-20 Days</v>
      </c>
    </row>
    <row r="688" spans="1:14">
      <c r="A688">
        <v>687</v>
      </c>
      <c r="B688" t="s">
        <v>29</v>
      </c>
      <c r="C688" s="5">
        <v>45226</v>
      </c>
      <c r="D688" s="8">
        <v>45226</v>
      </c>
      <c r="E688" s="8" t="str">
        <f>IF(B688="Inactive", EDATE(D688,K688), "")</f>
        <v/>
      </c>
      <c r="F688" t="s">
        <v>10</v>
      </c>
      <c r="G688">
        <v>23.7</v>
      </c>
      <c r="H688" t="str" cm="1">
        <f t="array" ref="H688">_xlfn.IFS(G688&gt;=20,"20-25", G688&gt;=15,"15-20", G688&gt;=10,"10-15", G688&gt;=5,"5-10", G688&gt;=1,"1-5", G688&lt;1,"Less than 1")</f>
        <v>20-25</v>
      </c>
      <c r="I688">
        <v>7</v>
      </c>
      <c r="J688">
        <v>2</v>
      </c>
      <c r="K688" s="6">
        <v>11</v>
      </c>
      <c r="L688" s="2">
        <v>6.99</v>
      </c>
      <c r="M688" s="6">
        <v>0</v>
      </c>
      <c r="N688" t="str" cm="1">
        <f t="array" ref="N688">_xlfn.IFS(M688&gt;=50,"50-60 Days", M688&gt;=40,"40-50 Days", M688&gt;=30, "30-40 Days", M688&gt;=20, "20-30 Days", M688&gt;=10, "10-20 Days", M688&gt;=0, "0-10 Days")</f>
        <v>0-10 Days</v>
      </c>
    </row>
    <row r="689" spans="1:14">
      <c r="A689">
        <v>688</v>
      </c>
      <c r="B689" t="s">
        <v>28</v>
      </c>
      <c r="C689" s="5">
        <v>45501</v>
      </c>
      <c r="D689" s="8">
        <v>45501</v>
      </c>
      <c r="E689" s="8">
        <f>IF(B689="Inactive", EDATE(D689,K689), "")</f>
        <v>45654</v>
      </c>
      <c r="F689" t="s">
        <v>10</v>
      </c>
      <c r="G689">
        <v>20</v>
      </c>
      <c r="H689" t="str" cm="1">
        <f t="array" ref="H689">_xlfn.IFS(G689&gt;=20,"20-25", G689&gt;=15,"15-20", G689&gt;=10,"10-15", G689&gt;=5,"5-10", G689&gt;=1,"1-5", G689&lt;1,"Less than 1")</f>
        <v>20-25</v>
      </c>
      <c r="I689">
        <v>8</v>
      </c>
      <c r="J689">
        <v>2</v>
      </c>
      <c r="K689" s="6">
        <v>5</v>
      </c>
      <c r="L689" s="2">
        <v>6.99</v>
      </c>
      <c r="M689" s="6">
        <v>12</v>
      </c>
      <c r="N689" t="str" cm="1">
        <f t="array" ref="N689">_xlfn.IFS(M689&gt;=50,"50-60 Days", M689&gt;=40,"40-50 Days", M689&gt;=30, "30-40 Days", M689&gt;=20, "20-30 Days", M689&gt;=10, "10-20 Days", M689&gt;=0, "0-10 Days")</f>
        <v>10-20 Days</v>
      </c>
    </row>
    <row r="690" spans="1:14">
      <c r="A690">
        <v>689</v>
      </c>
      <c r="B690" t="s">
        <v>28</v>
      </c>
      <c r="C690" s="5">
        <v>45359</v>
      </c>
      <c r="D690" s="8">
        <v>45359</v>
      </c>
      <c r="E690" s="8">
        <f>IF(B690="Inactive", EDATE(D690,K690), "")</f>
        <v>45634</v>
      </c>
      <c r="F690" t="s">
        <v>14</v>
      </c>
      <c r="G690">
        <v>6.6</v>
      </c>
      <c r="H690" t="str" cm="1">
        <f t="array" ref="H690">_xlfn.IFS(G690&gt;=20,"20-25", G690&gt;=15,"15-20", G690&gt;=10,"10-15", G690&gt;=5,"5-10", G690&gt;=1,"1-5", G690&lt;1,"Less than 1")</f>
        <v>5-10</v>
      </c>
      <c r="I690">
        <v>6</v>
      </c>
      <c r="J690">
        <v>3</v>
      </c>
      <c r="K690" s="6">
        <v>9</v>
      </c>
      <c r="L690" s="2">
        <v>3.99</v>
      </c>
      <c r="M690" s="6">
        <v>14</v>
      </c>
      <c r="N690" t="str" cm="1">
        <f t="array" ref="N690">_xlfn.IFS(M690&gt;=50,"50-60 Days", M690&gt;=40,"40-50 Days", M690&gt;=30, "30-40 Days", M690&gt;=20, "20-30 Days", M690&gt;=10, "10-20 Days", M690&gt;=0, "0-10 Days")</f>
        <v>10-20 Days</v>
      </c>
    </row>
    <row r="691" spans="1:14">
      <c r="A691">
        <v>690</v>
      </c>
      <c r="B691" t="s">
        <v>28</v>
      </c>
      <c r="C691" s="5">
        <v>45202</v>
      </c>
      <c r="D691" s="8">
        <v>45202</v>
      </c>
      <c r="E691" s="8">
        <f>IF(B691="Inactive", EDATE(D691,K691), "")</f>
        <v>45385</v>
      </c>
      <c r="F691" t="s">
        <v>10</v>
      </c>
      <c r="G691">
        <v>13.2</v>
      </c>
      <c r="H691" t="str" cm="1">
        <f t="array" ref="H691">_xlfn.IFS(G691&gt;=20,"20-25", G691&gt;=15,"15-20", G691&gt;=10,"10-15", G691&gt;=5,"5-10", G691&gt;=1,"1-5", G691&lt;1,"Less than 1")</f>
        <v>10-15</v>
      </c>
      <c r="I691">
        <v>4</v>
      </c>
      <c r="J691">
        <v>2</v>
      </c>
      <c r="K691" s="6">
        <v>6</v>
      </c>
      <c r="L691" s="2">
        <v>6.99</v>
      </c>
      <c r="M691" s="6">
        <v>41</v>
      </c>
      <c r="N691" t="str" cm="1">
        <f t="array" ref="N691">_xlfn.IFS(M691&gt;=50,"50-60 Days", M691&gt;=40,"40-50 Days", M691&gt;=30, "30-40 Days", M691&gt;=20, "20-30 Days", M691&gt;=10, "10-20 Days", M691&gt;=0, "0-10 Days")</f>
        <v>40-50 Days</v>
      </c>
    </row>
    <row r="692" spans="1:14">
      <c r="A692">
        <v>691</v>
      </c>
      <c r="B692" t="s">
        <v>29</v>
      </c>
      <c r="C692" s="5">
        <v>45393</v>
      </c>
      <c r="D692" s="8">
        <v>45393</v>
      </c>
      <c r="E692" s="8" t="str">
        <f>IF(B692="Inactive", EDATE(D692,K692), "")</f>
        <v/>
      </c>
      <c r="F692" t="s">
        <v>14</v>
      </c>
      <c r="G692">
        <v>21.4</v>
      </c>
      <c r="H692" t="str" cm="1">
        <f t="array" ref="H692">_xlfn.IFS(G692&gt;=20,"20-25", G692&gt;=15,"15-20", G692&gt;=10,"10-15", G692&gt;=5,"5-10", G692&gt;=1,"1-5", G692&lt;1,"Less than 1")</f>
        <v>20-25</v>
      </c>
      <c r="I692">
        <v>2</v>
      </c>
      <c r="J692">
        <v>1</v>
      </c>
      <c r="K692" s="6">
        <v>5</v>
      </c>
      <c r="L692" s="2">
        <v>3.99</v>
      </c>
      <c r="M692" s="6">
        <v>18</v>
      </c>
      <c r="N692" t="str" cm="1">
        <f t="array" ref="N692">_xlfn.IFS(M692&gt;=50,"50-60 Days", M692&gt;=40,"40-50 Days", M692&gt;=30, "30-40 Days", M692&gt;=20, "20-30 Days", M692&gt;=10, "10-20 Days", M692&gt;=0, "0-10 Days")</f>
        <v>10-20 Days</v>
      </c>
    </row>
    <row r="693" spans="1:14">
      <c r="A693">
        <v>692</v>
      </c>
      <c r="B693" t="s">
        <v>28</v>
      </c>
      <c r="C693" s="5">
        <v>44977</v>
      </c>
      <c r="D693" s="8">
        <v>44977</v>
      </c>
      <c r="E693" s="8">
        <f>IF(B693="Inactive", EDATE(D693,K693), "")</f>
        <v>45280</v>
      </c>
      <c r="F693" t="s">
        <v>10</v>
      </c>
      <c r="G693">
        <v>7.2</v>
      </c>
      <c r="H693" t="str" cm="1">
        <f t="array" ref="H693">_xlfn.IFS(G693&gt;=20,"20-25", G693&gt;=15,"15-20", G693&gt;=10,"10-15", G693&gt;=5,"5-10", G693&gt;=1,"1-5", G693&lt;1,"Less than 1")</f>
        <v>5-10</v>
      </c>
      <c r="I693">
        <v>7</v>
      </c>
      <c r="J693">
        <v>1</v>
      </c>
      <c r="K693" s="6">
        <v>10</v>
      </c>
      <c r="L693" s="2">
        <v>6.99</v>
      </c>
      <c r="M693" s="6">
        <v>20</v>
      </c>
      <c r="N693" t="str" cm="1">
        <f t="array" ref="N693">_xlfn.IFS(M693&gt;=50,"50-60 Days", M693&gt;=40,"40-50 Days", M693&gt;=30, "30-40 Days", M693&gt;=20, "20-30 Days", M693&gt;=10, "10-20 Days", M693&gt;=0, "0-10 Days")</f>
        <v>20-30 Days</v>
      </c>
    </row>
    <row r="694" spans="1:14">
      <c r="A694">
        <v>693</v>
      </c>
      <c r="B694" t="s">
        <v>28</v>
      </c>
      <c r="C694" s="5">
        <v>45375</v>
      </c>
      <c r="D694" s="8">
        <v>45375</v>
      </c>
      <c r="E694" s="8">
        <f>IF(B694="Inactive", EDATE(D694,K694), "")</f>
        <v>45406</v>
      </c>
      <c r="F694" t="s">
        <v>10</v>
      </c>
      <c r="G694">
        <v>5.0999999999999996</v>
      </c>
      <c r="H694" t="str" cm="1">
        <f t="array" ref="H694">_xlfn.IFS(G694&gt;=20,"20-25", G694&gt;=15,"15-20", G694&gt;=10,"10-15", G694&gt;=5,"5-10", G694&gt;=1,"1-5", G694&lt;1,"Less than 1")</f>
        <v>5-10</v>
      </c>
      <c r="I694">
        <v>1</v>
      </c>
      <c r="J694">
        <v>2</v>
      </c>
      <c r="K694" s="6">
        <v>1</v>
      </c>
      <c r="L694" s="2">
        <v>6.99</v>
      </c>
      <c r="M694" s="6">
        <v>17</v>
      </c>
      <c r="N694" t="str" cm="1">
        <f t="array" ref="N694">_xlfn.IFS(M694&gt;=50,"50-60 Days", M694&gt;=40,"40-50 Days", M694&gt;=30, "30-40 Days", M694&gt;=20, "20-30 Days", M694&gt;=10, "10-20 Days", M694&gt;=0, "0-10 Days")</f>
        <v>10-20 Days</v>
      </c>
    </row>
    <row r="695" spans="1:14">
      <c r="A695">
        <v>694</v>
      </c>
      <c r="B695" t="s">
        <v>28</v>
      </c>
      <c r="C695" s="5">
        <v>45357</v>
      </c>
      <c r="D695" s="8">
        <v>45357</v>
      </c>
      <c r="E695" s="8">
        <f>IF(B695="Inactive", EDATE(D695,K695), "")</f>
        <v>45388</v>
      </c>
      <c r="F695" t="s">
        <v>10</v>
      </c>
      <c r="G695">
        <v>6.2</v>
      </c>
      <c r="H695" t="str" cm="1">
        <f t="array" ref="H695">_xlfn.IFS(G695&gt;=20,"20-25", G695&gt;=15,"15-20", G695&gt;=10,"10-15", G695&gt;=5,"5-10", G695&gt;=1,"1-5", G695&lt;1,"Less than 1")</f>
        <v>5-10</v>
      </c>
      <c r="I695">
        <v>2</v>
      </c>
      <c r="J695">
        <v>0</v>
      </c>
      <c r="K695" s="6">
        <v>1</v>
      </c>
      <c r="L695" s="2">
        <v>6.99</v>
      </c>
      <c r="M695" s="6">
        <v>31</v>
      </c>
      <c r="N695" t="str" cm="1">
        <f t="array" ref="N695">_xlfn.IFS(M695&gt;=50,"50-60 Days", M695&gt;=40,"40-50 Days", M695&gt;=30, "30-40 Days", M695&gt;=20, "20-30 Days", M695&gt;=10, "10-20 Days", M695&gt;=0, "0-10 Days")</f>
        <v>30-40 Days</v>
      </c>
    </row>
    <row r="696" spans="1:14">
      <c r="A696">
        <v>695</v>
      </c>
      <c r="B696" t="s">
        <v>28</v>
      </c>
      <c r="C696" s="5">
        <v>45009</v>
      </c>
      <c r="D696" s="8">
        <v>45009</v>
      </c>
      <c r="E696" s="8">
        <f>IF(B696="Inactive", EDATE(D696,K696), "")</f>
        <v>45346</v>
      </c>
      <c r="F696" t="s">
        <v>14</v>
      </c>
      <c r="G696">
        <v>25</v>
      </c>
      <c r="H696" t="str" cm="1">
        <f t="array" ref="H696">_xlfn.IFS(G696&gt;=20,"20-25", G696&gt;=15,"15-20", G696&gt;=10,"10-15", G696&gt;=5,"5-10", G696&gt;=1,"1-5", G696&lt;1,"Less than 1")</f>
        <v>20-25</v>
      </c>
      <c r="I696">
        <v>7</v>
      </c>
      <c r="J696">
        <v>5</v>
      </c>
      <c r="K696" s="6">
        <v>11</v>
      </c>
      <c r="L696" s="2">
        <v>3.99</v>
      </c>
      <c r="M696" s="6">
        <v>50</v>
      </c>
      <c r="N696" t="str" cm="1">
        <f t="array" ref="N696">_xlfn.IFS(M696&gt;=50,"50-60 Days", M696&gt;=40,"40-50 Days", M696&gt;=30, "30-40 Days", M696&gt;=20, "20-30 Days", M696&gt;=10, "10-20 Days", M696&gt;=0, "0-10 Days")</f>
        <v>50-60 Days</v>
      </c>
    </row>
    <row r="697" spans="1:14">
      <c r="A697">
        <v>696</v>
      </c>
      <c r="B697" t="s">
        <v>28</v>
      </c>
      <c r="C697" s="5">
        <v>45123</v>
      </c>
      <c r="D697" s="8">
        <v>45123</v>
      </c>
      <c r="E697" s="8">
        <f>IF(B697="Inactive", EDATE(D697,K697), "")</f>
        <v>45185</v>
      </c>
      <c r="F697" t="s">
        <v>12</v>
      </c>
      <c r="G697">
        <v>7</v>
      </c>
      <c r="H697" t="str" cm="1">
        <f t="array" ref="H697">_xlfn.IFS(G697&gt;=20,"20-25", G697&gt;=15,"15-20", G697&gt;=10,"10-15", G697&gt;=5,"5-10", G697&gt;=1,"1-5", G697&lt;1,"Less than 1")</f>
        <v>5-10</v>
      </c>
      <c r="I697">
        <v>6</v>
      </c>
      <c r="J697">
        <v>0</v>
      </c>
      <c r="K697" s="6">
        <v>2</v>
      </c>
      <c r="L697" s="2">
        <v>1.99</v>
      </c>
      <c r="M697" s="6">
        <v>34</v>
      </c>
      <c r="N697" t="str" cm="1">
        <f t="array" ref="N697">_xlfn.IFS(M697&gt;=50,"50-60 Days", M697&gt;=40,"40-50 Days", M697&gt;=30, "30-40 Days", M697&gt;=20, "20-30 Days", M697&gt;=10, "10-20 Days", M697&gt;=0, "0-10 Days")</f>
        <v>30-40 Days</v>
      </c>
    </row>
    <row r="698" spans="1:14">
      <c r="A698">
        <v>697</v>
      </c>
      <c r="B698" t="s">
        <v>29</v>
      </c>
      <c r="C698" s="5">
        <v>45380</v>
      </c>
      <c r="D698" s="8">
        <v>45380</v>
      </c>
      <c r="E698" s="8" t="str">
        <f>IF(B698="Inactive", EDATE(D698,K698), "")</f>
        <v/>
      </c>
      <c r="F698" t="s">
        <v>14</v>
      </c>
      <c r="G698">
        <v>20.8</v>
      </c>
      <c r="H698" t="str" cm="1">
        <f t="array" ref="H698">_xlfn.IFS(G698&gt;=20,"20-25", G698&gt;=15,"15-20", G698&gt;=10,"10-15", G698&gt;=5,"5-10", G698&gt;=1,"1-5", G698&lt;1,"Less than 1")</f>
        <v>20-25</v>
      </c>
      <c r="I698">
        <v>1</v>
      </c>
      <c r="J698">
        <v>5</v>
      </c>
      <c r="K698" s="6">
        <v>9</v>
      </c>
      <c r="L698" s="2">
        <v>3.99</v>
      </c>
      <c r="M698" s="6">
        <v>15</v>
      </c>
      <c r="N698" t="str" cm="1">
        <f t="array" ref="N698">_xlfn.IFS(M698&gt;=50,"50-60 Days", M698&gt;=40,"40-50 Days", M698&gt;=30, "30-40 Days", M698&gt;=20, "20-30 Days", M698&gt;=10, "10-20 Days", M698&gt;=0, "0-10 Days")</f>
        <v>10-20 Days</v>
      </c>
    </row>
    <row r="699" spans="1:14">
      <c r="A699">
        <v>698</v>
      </c>
      <c r="B699" t="s">
        <v>29</v>
      </c>
      <c r="C699" s="5">
        <v>45411</v>
      </c>
      <c r="D699" s="8">
        <v>45411</v>
      </c>
      <c r="E699" s="8" t="str">
        <f>IF(B699="Inactive", EDATE(D699,K699), "")</f>
        <v/>
      </c>
      <c r="F699" t="s">
        <v>12</v>
      </c>
      <c r="G699">
        <v>5.4</v>
      </c>
      <c r="H699" t="str" cm="1">
        <f t="array" ref="H699">_xlfn.IFS(G699&gt;=20,"20-25", G699&gt;=15,"15-20", G699&gt;=10,"10-15", G699&gt;=5,"5-10", G699&gt;=1,"1-5", G699&lt;1,"Less than 1")</f>
        <v>5-10</v>
      </c>
      <c r="I699">
        <v>1</v>
      </c>
      <c r="J699">
        <v>4</v>
      </c>
      <c r="K699" s="6">
        <v>1</v>
      </c>
      <c r="L699" s="2">
        <v>1.99</v>
      </c>
      <c r="M699" s="6">
        <v>42</v>
      </c>
      <c r="N699" t="str" cm="1">
        <f t="array" ref="N699">_xlfn.IFS(M699&gt;=50,"50-60 Days", M699&gt;=40,"40-50 Days", M699&gt;=30, "30-40 Days", M699&gt;=20, "20-30 Days", M699&gt;=10, "10-20 Days", M699&gt;=0, "0-10 Days")</f>
        <v>40-50 Days</v>
      </c>
    </row>
    <row r="700" spans="1:14">
      <c r="A700">
        <v>699</v>
      </c>
      <c r="B700" t="s">
        <v>28</v>
      </c>
      <c r="C700" s="5">
        <v>45489</v>
      </c>
      <c r="D700" s="8">
        <v>45489</v>
      </c>
      <c r="E700" s="8">
        <f>IF(B700="Inactive", EDATE(D700,K700), "")</f>
        <v>45704</v>
      </c>
      <c r="F700" t="s">
        <v>14</v>
      </c>
      <c r="G700">
        <v>23.4</v>
      </c>
      <c r="H700" t="str" cm="1">
        <f t="array" ref="H700">_xlfn.IFS(G700&gt;=20,"20-25", G700&gt;=15,"15-20", G700&gt;=10,"10-15", G700&gt;=5,"5-10", G700&gt;=1,"1-5", G700&lt;1,"Less than 1")</f>
        <v>20-25</v>
      </c>
      <c r="I700">
        <v>2</v>
      </c>
      <c r="J700">
        <v>5</v>
      </c>
      <c r="K700" s="6">
        <v>7</v>
      </c>
      <c r="L700" s="2">
        <v>3.99</v>
      </c>
      <c r="M700" s="6">
        <v>46</v>
      </c>
      <c r="N700" t="str" cm="1">
        <f t="array" ref="N700">_xlfn.IFS(M700&gt;=50,"50-60 Days", M700&gt;=40,"40-50 Days", M700&gt;=30, "30-40 Days", M700&gt;=20, "20-30 Days", M700&gt;=10, "10-20 Days", M700&gt;=0, "0-10 Days")</f>
        <v>40-50 Days</v>
      </c>
    </row>
    <row r="701" spans="1:14">
      <c r="A701">
        <v>700</v>
      </c>
      <c r="B701" t="s">
        <v>29</v>
      </c>
      <c r="C701" s="5">
        <v>45609</v>
      </c>
      <c r="D701" s="8">
        <v>45609</v>
      </c>
      <c r="E701" s="8" t="str">
        <f>IF(B701="Inactive", EDATE(D701,K701), "")</f>
        <v/>
      </c>
      <c r="F701" t="s">
        <v>10</v>
      </c>
      <c r="G701">
        <v>6.7</v>
      </c>
      <c r="H701" t="str" cm="1">
        <f t="array" ref="H701">_xlfn.IFS(G701&gt;=20,"20-25", G701&gt;=15,"15-20", G701&gt;=10,"10-15", G701&gt;=5,"5-10", G701&gt;=1,"1-5", G701&lt;1,"Less than 1")</f>
        <v>5-10</v>
      </c>
      <c r="I701">
        <v>4</v>
      </c>
      <c r="J701">
        <v>1</v>
      </c>
      <c r="K701" s="6">
        <v>3</v>
      </c>
      <c r="L701" s="2">
        <v>6.99</v>
      </c>
      <c r="M701" s="6">
        <v>23</v>
      </c>
      <c r="N701" t="str" cm="1">
        <f t="array" ref="N701">_xlfn.IFS(M701&gt;=50,"50-60 Days", M701&gt;=40,"40-50 Days", M701&gt;=30, "30-40 Days", M701&gt;=20, "20-30 Days", M701&gt;=10, "10-20 Days", M701&gt;=0, "0-10 Days")</f>
        <v>20-30 Days</v>
      </c>
    </row>
    <row r="702" spans="1:14">
      <c r="A702">
        <v>701</v>
      </c>
      <c r="B702" t="s">
        <v>28</v>
      </c>
      <c r="C702" s="5">
        <v>45209</v>
      </c>
      <c r="D702" s="8">
        <v>45209</v>
      </c>
      <c r="E702" s="8">
        <f>IF(B702="Inactive", EDATE(D702,K702), "")</f>
        <v>45301</v>
      </c>
      <c r="F702" t="s">
        <v>12</v>
      </c>
      <c r="G702">
        <v>6.3</v>
      </c>
      <c r="H702" t="str" cm="1">
        <f t="array" ref="H702">_xlfn.IFS(G702&gt;=20,"20-25", G702&gt;=15,"15-20", G702&gt;=10,"10-15", G702&gt;=5,"5-10", G702&gt;=1,"1-5", G702&lt;1,"Less than 1")</f>
        <v>5-10</v>
      </c>
      <c r="I702">
        <v>6</v>
      </c>
      <c r="J702">
        <v>2</v>
      </c>
      <c r="K702" s="6">
        <v>3</v>
      </c>
      <c r="L702" s="2">
        <v>1.99</v>
      </c>
      <c r="M702" s="6">
        <v>0</v>
      </c>
      <c r="N702" t="str" cm="1">
        <f t="array" ref="N702">_xlfn.IFS(M702&gt;=50,"50-60 Days", M702&gt;=40,"40-50 Days", M702&gt;=30, "30-40 Days", M702&gt;=20, "20-30 Days", M702&gt;=10, "10-20 Days", M702&gt;=0, "0-10 Days")</f>
        <v>0-10 Days</v>
      </c>
    </row>
    <row r="703" spans="1:14">
      <c r="A703">
        <v>702</v>
      </c>
      <c r="B703" t="s">
        <v>29</v>
      </c>
      <c r="C703" s="5">
        <v>45634</v>
      </c>
      <c r="D703" s="8">
        <v>45634</v>
      </c>
      <c r="E703" s="8" t="str">
        <f>IF(B703="Inactive", EDATE(D703,K703), "")</f>
        <v/>
      </c>
      <c r="F703" t="s">
        <v>10</v>
      </c>
      <c r="G703">
        <v>10.199999999999999</v>
      </c>
      <c r="H703" t="str" cm="1">
        <f t="array" ref="H703">_xlfn.IFS(G703&gt;=20,"20-25", G703&gt;=15,"15-20", G703&gt;=10,"10-15", G703&gt;=5,"5-10", G703&gt;=1,"1-5", G703&lt;1,"Less than 1")</f>
        <v>10-15</v>
      </c>
      <c r="I703">
        <v>3</v>
      </c>
      <c r="J703">
        <v>0</v>
      </c>
      <c r="K703" s="6">
        <v>3</v>
      </c>
      <c r="L703" s="2">
        <v>6.99</v>
      </c>
      <c r="M703" s="6">
        <v>2</v>
      </c>
      <c r="N703" t="str" cm="1">
        <f t="array" ref="N703">_xlfn.IFS(M703&gt;=50,"50-60 Days", M703&gt;=40,"40-50 Days", M703&gt;=30, "30-40 Days", M703&gt;=20, "20-30 Days", M703&gt;=10, "10-20 Days", M703&gt;=0, "0-10 Days")</f>
        <v>0-10 Days</v>
      </c>
    </row>
    <row r="704" spans="1:14">
      <c r="A704">
        <v>703</v>
      </c>
      <c r="B704" t="s">
        <v>29</v>
      </c>
      <c r="C704" s="5">
        <v>45629</v>
      </c>
      <c r="D704" s="8">
        <v>45629</v>
      </c>
      <c r="E704" s="8" t="str">
        <f>IF(B704="Inactive", EDATE(D704,K704), "")</f>
        <v/>
      </c>
      <c r="F704" t="s">
        <v>14</v>
      </c>
      <c r="G704">
        <v>9.6</v>
      </c>
      <c r="H704" t="str" cm="1">
        <f t="array" ref="H704">_xlfn.IFS(G704&gt;=20,"20-25", G704&gt;=15,"15-20", G704&gt;=10,"10-15", G704&gt;=5,"5-10", G704&gt;=1,"1-5", G704&lt;1,"Less than 1")</f>
        <v>5-10</v>
      </c>
      <c r="I704">
        <v>1</v>
      </c>
      <c r="J704">
        <v>1</v>
      </c>
      <c r="K704" s="6">
        <v>4</v>
      </c>
      <c r="L704" s="2">
        <v>3.99</v>
      </c>
      <c r="M704" s="6">
        <v>10</v>
      </c>
      <c r="N704" t="str" cm="1">
        <f t="array" ref="N704">_xlfn.IFS(M704&gt;=50,"50-60 Days", M704&gt;=40,"40-50 Days", M704&gt;=30, "30-40 Days", M704&gt;=20, "20-30 Days", M704&gt;=10, "10-20 Days", M704&gt;=0, "0-10 Days")</f>
        <v>10-20 Days</v>
      </c>
    </row>
    <row r="705" spans="1:14">
      <c r="A705">
        <v>704</v>
      </c>
      <c r="B705" t="s">
        <v>29</v>
      </c>
      <c r="C705" s="5">
        <v>45645</v>
      </c>
      <c r="D705" s="8">
        <v>45645</v>
      </c>
      <c r="E705" s="8" t="str">
        <f>IF(B705="Inactive", EDATE(D705,K705), "")</f>
        <v/>
      </c>
      <c r="F705" t="s">
        <v>10</v>
      </c>
      <c r="G705">
        <v>23.3</v>
      </c>
      <c r="H705" t="str" cm="1">
        <f t="array" ref="H705">_xlfn.IFS(G705&gt;=20,"20-25", G705&gt;=15,"15-20", G705&gt;=10,"10-15", G705&gt;=5,"5-10", G705&gt;=1,"1-5", G705&lt;1,"Less than 1")</f>
        <v>20-25</v>
      </c>
      <c r="I705">
        <v>0</v>
      </c>
      <c r="J705">
        <v>0</v>
      </c>
      <c r="K705" s="6">
        <v>8</v>
      </c>
      <c r="L705" s="2">
        <v>6.99</v>
      </c>
      <c r="M705" s="6">
        <v>22</v>
      </c>
      <c r="N705" t="str" cm="1">
        <f t="array" ref="N705">_xlfn.IFS(M705&gt;=50,"50-60 Days", M705&gt;=40,"40-50 Days", M705&gt;=30, "30-40 Days", M705&gt;=20, "20-30 Days", M705&gt;=10, "10-20 Days", M705&gt;=0, "0-10 Days")</f>
        <v>20-30 Days</v>
      </c>
    </row>
    <row r="706" spans="1:14">
      <c r="A706">
        <v>705</v>
      </c>
      <c r="B706" t="s">
        <v>28</v>
      </c>
      <c r="C706" s="5">
        <v>45282</v>
      </c>
      <c r="D706" s="8">
        <v>45282</v>
      </c>
      <c r="E706" s="8">
        <f>IF(B706="Inactive", EDATE(D706,K706), "")</f>
        <v>45373</v>
      </c>
      <c r="F706" t="s">
        <v>10</v>
      </c>
      <c r="G706">
        <v>3.6</v>
      </c>
      <c r="H706" t="str" cm="1">
        <f t="array" ref="H706">_xlfn.IFS(G706&gt;=20,"20-25", G706&gt;=15,"15-20", G706&gt;=10,"10-15", G706&gt;=5,"5-10", G706&gt;=1,"1-5", G706&lt;1,"Less than 1")</f>
        <v>1-5</v>
      </c>
      <c r="I706">
        <v>3</v>
      </c>
      <c r="J706">
        <v>2</v>
      </c>
      <c r="K706" s="6">
        <v>3</v>
      </c>
      <c r="L706" s="2">
        <v>6.99</v>
      </c>
      <c r="M706" s="6">
        <v>35</v>
      </c>
      <c r="N706" t="str" cm="1">
        <f t="array" ref="N706">_xlfn.IFS(M706&gt;=50,"50-60 Days", M706&gt;=40,"40-50 Days", M706&gt;=30, "30-40 Days", M706&gt;=20, "20-30 Days", M706&gt;=10, "10-20 Days", M706&gt;=0, "0-10 Days")</f>
        <v>30-40 Days</v>
      </c>
    </row>
    <row r="707" spans="1:14">
      <c r="A707">
        <v>706</v>
      </c>
      <c r="B707" t="s">
        <v>28</v>
      </c>
      <c r="C707" s="5">
        <v>44967</v>
      </c>
      <c r="D707" s="8">
        <v>44967</v>
      </c>
      <c r="E707" s="8">
        <f>IF(B707="Inactive", EDATE(D707,K707), "")</f>
        <v>45117</v>
      </c>
      <c r="F707" t="s">
        <v>14</v>
      </c>
      <c r="G707">
        <v>1</v>
      </c>
      <c r="H707" t="str" cm="1">
        <f t="array" ref="H707">_xlfn.IFS(G707&gt;=20,"20-25", G707&gt;=15,"15-20", G707&gt;=10,"10-15", G707&gt;=5,"5-10", G707&gt;=1,"1-5", G707&lt;1,"Less than 1")</f>
        <v>1-5</v>
      </c>
      <c r="I707">
        <v>6</v>
      </c>
      <c r="J707">
        <v>2</v>
      </c>
      <c r="K707" s="6">
        <v>5</v>
      </c>
      <c r="L707" s="2">
        <v>3.99</v>
      </c>
      <c r="M707" s="6">
        <v>46</v>
      </c>
      <c r="N707" t="str" cm="1">
        <f t="array" ref="N707">_xlfn.IFS(M707&gt;=50,"50-60 Days", M707&gt;=40,"40-50 Days", M707&gt;=30, "30-40 Days", M707&gt;=20, "20-30 Days", M707&gt;=10, "10-20 Days", M707&gt;=0, "0-10 Days")</f>
        <v>40-50 Days</v>
      </c>
    </row>
    <row r="708" spans="1:14">
      <c r="A708">
        <v>707</v>
      </c>
      <c r="B708" t="s">
        <v>28</v>
      </c>
      <c r="C708" s="5">
        <v>45118</v>
      </c>
      <c r="D708" s="8">
        <v>45118</v>
      </c>
      <c r="E708" s="8">
        <f>IF(B708="Inactive", EDATE(D708,K708), "")</f>
        <v>45423</v>
      </c>
      <c r="F708" t="s">
        <v>14</v>
      </c>
      <c r="G708">
        <v>14.2</v>
      </c>
      <c r="H708" t="str" cm="1">
        <f t="array" ref="H708">_xlfn.IFS(G708&gt;=20,"20-25", G708&gt;=15,"15-20", G708&gt;=10,"10-15", G708&gt;=5,"5-10", G708&gt;=1,"1-5", G708&lt;1,"Less than 1")</f>
        <v>10-15</v>
      </c>
      <c r="I708">
        <v>8</v>
      </c>
      <c r="J708">
        <v>5</v>
      </c>
      <c r="K708" s="6">
        <v>10</v>
      </c>
      <c r="L708" s="2">
        <v>3.99</v>
      </c>
      <c r="M708" s="6">
        <v>31</v>
      </c>
      <c r="N708" t="str" cm="1">
        <f t="array" ref="N708">_xlfn.IFS(M708&gt;=50,"50-60 Days", M708&gt;=40,"40-50 Days", M708&gt;=30, "30-40 Days", M708&gt;=20, "20-30 Days", M708&gt;=10, "10-20 Days", M708&gt;=0, "0-10 Days")</f>
        <v>30-40 Days</v>
      </c>
    </row>
    <row r="709" spans="1:14">
      <c r="A709">
        <v>708</v>
      </c>
      <c r="B709" t="s">
        <v>29</v>
      </c>
      <c r="C709" s="5">
        <v>45494</v>
      </c>
      <c r="D709" s="8">
        <v>45494</v>
      </c>
      <c r="E709" s="8" t="str">
        <f>IF(B709="Inactive", EDATE(D709,K709), "")</f>
        <v/>
      </c>
      <c r="F709" t="s">
        <v>10</v>
      </c>
      <c r="G709">
        <v>8.4</v>
      </c>
      <c r="H709" t="str" cm="1">
        <f t="array" ref="H709">_xlfn.IFS(G709&gt;=20,"20-25", G709&gt;=15,"15-20", G709&gt;=10,"10-15", G709&gt;=5,"5-10", G709&gt;=1,"1-5", G709&lt;1,"Less than 1")</f>
        <v>5-10</v>
      </c>
      <c r="I709">
        <v>7</v>
      </c>
      <c r="J709">
        <v>2</v>
      </c>
      <c r="K709" s="6">
        <v>8</v>
      </c>
      <c r="L709" s="2">
        <v>6.99</v>
      </c>
      <c r="M709" s="6">
        <v>55</v>
      </c>
      <c r="N709" t="str" cm="1">
        <f t="array" ref="N709">_xlfn.IFS(M709&gt;=50,"50-60 Days", M709&gt;=40,"40-50 Days", M709&gt;=30, "30-40 Days", M709&gt;=20, "20-30 Days", M709&gt;=10, "10-20 Days", M709&gt;=0, "0-10 Days")</f>
        <v>50-60 Days</v>
      </c>
    </row>
    <row r="710" spans="1:14">
      <c r="A710">
        <v>709</v>
      </c>
      <c r="B710" t="s">
        <v>28</v>
      </c>
      <c r="C710" s="5">
        <v>45302</v>
      </c>
      <c r="D710" s="8">
        <v>45302</v>
      </c>
      <c r="E710" s="8">
        <f>IF(B710="Inactive", EDATE(D710,K710), "")</f>
        <v>45362</v>
      </c>
      <c r="F710" t="s">
        <v>12</v>
      </c>
      <c r="G710">
        <v>13.5</v>
      </c>
      <c r="H710" t="str" cm="1">
        <f t="array" ref="H710">_xlfn.IFS(G710&gt;=20,"20-25", G710&gt;=15,"15-20", G710&gt;=10,"10-15", G710&gt;=5,"5-10", G710&gt;=1,"1-5", G710&lt;1,"Less than 1")</f>
        <v>10-15</v>
      </c>
      <c r="I710">
        <v>7</v>
      </c>
      <c r="J710">
        <v>2</v>
      </c>
      <c r="K710" s="6">
        <v>2</v>
      </c>
      <c r="L710" s="2">
        <v>1.99</v>
      </c>
      <c r="M710" s="6">
        <v>52</v>
      </c>
      <c r="N710" t="str" cm="1">
        <f t="array" ref="N710">_xlfn.IFS(M710&gt;=50,"50-60 Days", M710&gt;=40,"40-50 Days", M710&gt;=30, "30-40 Days", M710&gt;=20, "20-30 Days", M710&gt;=10, "10-20 Days", M710&gt;=0, "0-10 Days")</f>
        <v>50-60 Days</v>
      </c>
    </row>
    <row r="711" spans="1:14">
      <c r="A711">
        <v>710</v>
      </c>
      <c r="B711" t="s">
        <v>28</v>
      </c>
      <c r="C711" s="5">
        <v>44946</v>
      </c>
      <c r="D711" s="8">
        <v>44946</v>
      </c>
      <c r="E711" s="8">
        <f>IF(B711="Inactive", EDATE(D711,K711), "")</f>
        <v>44977</v>
      </c>
      <c r="F711" t="s">
        <v>14</v>
      </c>
      <c r="G711">
        <v>19.5</v>
      </c>
      <c r="H711" t="str" cm="1">
        <f t="array" ref="H711">_xlfn.IFS(G711&gt;=20,"20-25", G711&gt;=15,"15-20", G711&gt;=10,"10-15", G711&gt;=5,"5-10", G711&gt;=1,"1-5", G711&lt;1,"Less than 1")</f>
        <v>15-20</v>
      </c>
      <c r="I711">
        <v>8</v>
      </c>
      <c r="J711">
        <v>3</v>
      </c>
      <c r="K711" s="6">
        <v>1</v>
      </c>
      <c r="L711" s="2">
        <v>3.99</v>
      </c>
      <c r="M711" s="6">
        <v>46</v>
      </c>
      <c r="N711" t="str" cm="1">
        <f t="array" ref="N711">_xlfn.IFS(M711&gt;=50,"50-60 Days", M711&gt;=40,"40-50 Days", M711&gt;=30, "30-40 Days", M711&gt;=20, "20-30 Days", M711&gt;=10, "10-20 Days", M711&gt;=0, "0-10 Days")</f>
        <v>40-50 Days</v>
      </c>
    </row>
    <row r="712" spans="1:14">
      <c r="A712">
        <v>711</v>
      </c>
      <c r="B712" t="s">
        <v>28</v>
      </c>
      <c r="C712" s="5">
        <v>45478</v>
      </c>
      <c r="D712" s="8">
        <v>45478</v>
      </c>
      <c r="E712" s="8">
        <f>IF(B712="Inactive", EDATE(D712,K712), "")</f>
        <v>45721</v>
      </c>
      <c r="F712" t="s">
        <v>10</v>
      </c>
      <c r="G712">
        <v>19.5</v>
      </c>
      <c r="H712" t="str" cm="1">
        <f t="array" ref="H712">_xlfn.IFS(G712&gt;=20,"20-25", G712&gt;=15,"15-20", G712&gt;=10,"10-15", G712&gt;=5,"5-10", G712&gt;=1,"1-5", G712&lt;1,"Less than 1")</f>
        <v>15-20</v>
      </c>
      <c r="I712">
        <v>3</v>
      </c>
      <c r="J712">
        <v>2</v>
      </c>
      <c r="K712" s="6">
        <v>8</v>
      </c>
      <c r="L712" s="2">
        <v>6.99</v>
      </c>
      <c r="M712" s="6">
        <v>46</v>
      </c>
      <c r="N712" t="str" cm="1">
        <f t="array" ref="N712">_xlfn.IFS(M712&gt;=50,"50-60 Days", M712&gt;=40,"40-50 Days", M712&gt;=30, "30-40 Days", M712&gt;=20, "20-30 Days", M712&gt;=10, "10-20 Days", M712&gt;=0, "0-10 Days")</f>
        <v>40-50 Days</v>
      </c>
    </row>
    <row r="713" spans="1:14">
      <c r="A713">
        <v>712</v>
      </c>
      <c r="B713" t="s">
        <v>29</v>
      </c>
      <c r="C713" s="5">
        <v>45257</v>
      </c>
      <c r="D713" s="8">
        <v>45257</v>
      </c>
      <c r="E713" s="8" t="str">
        <f>IF(B713="Inactive", EDATE(D713,K713), "")</f>
        <v/>
      </c>
      <c r="F713" t="s">
        <v>14</v>
      </c>
      <c r="G713">
        <v>13.3</v>
      </c>
      <c r="H713" t="str" cm="1">
        <f t="array" ref="H713">_xlfn.IFS(G713&gt;=20,"20-25", G713&gt;=15,"15-20", G713&gt;=10,"10-15", G713&gt;=5,"5-10", G713&gt;=1,"1-5", G713&lt;1,"Less than 1")</f>
        <v>10-15</v>
      </c>
      <c r="I713">
        <v>7</v>
      </c>
      <c r="J713">
        <v>4</v>
      </c>
      <c r="K713" s="6">
        <v>5</v>
      </c>
      <c r="L713" s="2">
        <v>3.99</v>
      </c>
      <c r="M713" s="6">
        <v>9</v>
      </c>
      <c r="N713" t="str" cm="1">
        <f t="array" ref="N713">_xlfn.IFS(M713&gt;=50,"50-60 Days", M713&gt;=40,"40-50 Days", M713&gt;=30, "30-40 Days", M713&gt;=20, "20-30 Days", M713&gt;=10, "10-20 Days", M713&gt;=0, "0-10 Days")</f>
        <v>0-10 Days</v>
      </c>
    </row>
    <row r="714" spans="1:14">
      <c r="A714">
        <v>713</v>
      </c>
      <c r="B714" t="s">
        <v>28</v>
      </c>
      <c r="C714" s="5">
        <v>45059</v>
      </c>
      <c r="D714" s="8">
        <v>45059</v>
      </c>
      <c r="E714" s="8">
        <f>IF(B714="Inactive", EDATE(D714,K714), "")</f>
        <v>45273</v>
      </c>
      <c r="F714" t="s">
        <v>14</v>
      </c>
      <c r="G714">
        <v>3.2</v>
      </c>
      <c r="H714" t="str" cm="1">
        <f t="array" ref="H714">_xlfn.IFS(G714&gt;=20,"20-25", G714&gt;=15,"15-20", G714&gt;=10,"10-15", G714&gt;=5,"5-10", G714&gt;=1,"1-5", G714&lt;1,"Less than 1")</f>
        <v>1-5</v>
      </c>
      <c r="I714">
        <v>8</v>
      </c>
      <c r="J714">
        <v>5</v>
      </c>
      <c r="K714" s="6">
        <v>7</v>
      </c>
      <c r="L714" s="2">
        <v>3.99</v>
      </c>
      <c r="M714" s="6">
        <v>4</v>
      </c>
      <c r="N714" t="str" cm="1">
        <f t="array" ref="N714">_xlfn.IFS(M714&gt;=50,"50-60 Days", M714&gt;=40,"40-50 Days", M714&gt;=30, "30-40 Days", M714&gt;=20, "20-30 Days", M714&gt;=10, "10-20 Days", M714&gt;=0, "0-10 Days")</f>
        <v>0-10 Days</v>
      </c>
    </row>
    <row r="715" spans="1:14">
      <c r="A715">
        <v>714</v>
      </c>
      <c r="B715" t="s">
        <v>28</v>
      </c>
      <c r="C715" s="5">
        <v>45584</v>
      </c>
      <c r="D715" s="8">
        <v>45584</v>
      </c>
      <c r="E715" s="8">
        <f>IF(B715="Inactive", EDATE(D715,K715), "")</f>
        <v>45615</v>
      </c>
      <c r="F715" t="s">
        <v>12</v>
      </c>
      <c r="G715">
        <v>5.5</v>
      </c>
      <c r="H715" t="str" cm="1">
        <f t="array" ref="H715">_xlfn.IFS(G715&gt;=20,"20-25", G715&gt;=15,"15-20", G715&gt;=10,"10-15", G715&gt;=5,"5-10", G715&gt;=1,"1-5", G715&lt;1,"Less than 1")</f>
        <v>5-10</v>
      </c>
      <c r="I715">
        <v>7</v>
      </c>
      <c r="J715">
        <v>1</v>
      </c>
      <c r="K715" s="6">
        <v>1</v>
      </c>
      <c r="L715" s="2">
        <v>1.99</v>
      </c>
      <c r="M715" s="6">
        <v>6</v>
      </c>
      <c r="N715" t="str" cm="1">
        <f t="array" ref="N715">_xlfn.IFS(M715&gt;=50,"50-60 Days", M715&gt;=40,"40-50 Days", M715&gt;=30, "30-40 Days", M715&gt;=20, "20-30 Days", M715&gt;=10, "10-20 Days", M715&gt;=0, "0-10 Days")</f>
        <v>0-10 Days</v>
      </c>
    </row>
    <row r="716" spans="1:14">
      <c r="A716">
        <v>715</v>
      </c>
      <c r="B716" t="s">
        <v>28</v>
      </c>
      <c r="C716" s="5">
        <v>44999</v>
      </c>
      <c r="D716" s="8">
        <v>44999</v>
      </c>
      <c r="E716" s="8">
        <f>IF(B716="Inactive", EDATE(D716,K716), "")</f>
        <v>45336</v>
      </c>
      <c r="F716" t="s">
        <v>14</v>
      </c>
      <c r="G716">
        <v>13.4</v>
      </c>
      <c r="H716" t="str" cm="1">
        <f t="array" ref="H716">_xlfn.IFS(G716&gt;=20,"20-25", G716&gt;=15,"15-20", G716&gt;=10,"10-15", G716&gt;=5,"5-10", G716&gt;=1,"1-5", G716&lt;1,"Less than 1")</f>
        <v>10-15</v>
      </c>
      <c r="I716">
        <v>4</v>
      </c>
      <c r="J716">
        <v>0</v>
      </c>
      <c r="K716" s="6">
        <v>11</v>
      </c>
      <c r="L716" s="2">
        <v>3.99</v>
      </c>
      <c r="M716" s="6">
        <v>23</v>
      </c>
      <c r="N716" t="str" cm="1">
        <f t="array" ref="N716">_xlfn.IFS(M716&gt;=50,"50-60 Days", M716&gt;=40,"40-50 Days", M716&gt;=30, "30-40 Days", M716&gt;=20, "20-30 Days", M716&gt;=10, "10-20 Days", M716&gt;=0, "0-10 Days")</f>
        <v>20-30 Days</v>
      </c>
    </row>
    <row r="717" spans="1:14">
      <c r="A717">
        <v>716</v>
      </c>
      <c r="B717" t="s">
        <v>29</v>
      </c>
      <c r="C717" s="5">
        <v>45296</v>
      </c>
      <c r="D717" s="8">
        <v>45296</v>
      </c>
      <c r="E717" s="8" t="str">
        <f>IF(B717="Inactive", EDATE(D717,K717), "")</f>
        <v/>
      </c>
      <c r="F717" t="s">
        <v>12</v>
      </c>
      <c r="G717">
        <v>16.600000000000001</v>
      </c>
      <c r="H717" t="str" cm="1">
        <f t="array" ref="H717">_xlfn.IFS(G717&gt;=20,"20-25", G717&gt;=15,"15-20", G717&gt;=10,"10-15", G717&gt;=5,"5-10", G717&gt;=1,"1-5", G717&lt;1,"Less than 1")</f>
        <v>15-20</v>
      </c>
      <c r="I717">
        <v>1</v>
      </c>
      <c r="J717">
        <v>3</v>
      </c>
      <c r="K717" s="6">
        <v>5</v>
      </c>
      <c r="L717" s="2">
        <v>1.99</v>
      </c>
      <c r="M717" s="6">
        <v>51</v>
      </c>
      <c r="N717" t="str" cm="1">
        <f t="array" ref="N717">_xlfn.IFS(M717&gt;=50,"50-60 Days", M717&gt;=40,"40-50 Days", M717&gt;=30, "30-40 Days", M717&gt;=20, "20-30 Days", M717&gt;=10, "10-20 Days", M717&gt;=0, "0-10 Days")</f>
        <v>50-60 Days</v>
      </c>
    </row>
    <row r="718" spans="1:14">
      <c r="A718">
        <v>717</v>
      </c>
      <c r="B718" t="s">
        <v>29</v>
      </c>
      <c r="C718" s="5">
        <v>44999</v>
      </c>
      <c r="D718" s="8">
        <v>44999</v>
      </c>
      <c r="E718" s="8" t="str">
        <f>IF(B718="Inactive", EDATE(D718,K718), "")</f>
        <v/>
      </c>
      <c r="F718" t="s">
        <v>10</v>
      </c>
      <c r="G718">
        <v>20.6</v>
      </c>
      <c r="H718" t="str" cm="1">
        <f t="array" ref="H718">_xlfn.IFS(G718&gt;=20,"20-25", G718&gt;=15,"15-20", G718&gt;=10,"10-15", G718&gt;=5,"5-10", G718&gt;=1,"1-5", G718&lt;1,"Less than 1")</f>
        <v>20-25</v>
      </c>
      <c r="I718">
        <v>0</v>
      </c>
      <c r="J718">
        <v>4</v>
      </c>
      <c r="K718" s="6">
        <v>9</v>
      </c>
      <c r="L718" s="2">
        <v>6.99</v>
      </c>
      <c r="M718" s="6">
        <v>17</v>
      </c>
      <c r="N718" t="str" cm="1">
        <f t="array" ref="N718">_xlfn.IFS(M718&gt;=50,"50-60 Days", M718&gt;=40,"40-50 Days", M718&gt;=30, "30-40 Days", M718&gt;=20, "20-30 Days", M718&gt;=10, "10-20 Days", M718&gt;=0, "0-10 Days")</f>
        <v>10-20 Days</v>
      </c>
    </row>
    <row r="719" spans="1:14">
      <c r="A719">
        <v>718</v>
      </c>
      <c r="B719" t="s">
        <v>29</v>
      </c>
      <c r="C719" s="5">
        <v>45471</v>
      </c>
      <c r="D719" s="8">
        <v>45471</v>
      </c>
      <c r="E719" s="8" t="str">
        <f>IF(B719="Inactive", EDATE(D719,K719), "")</f>
        <v/>
      </c>
      <c r="F719" t="s">
        <v>14</v>
      </c>
      <c r="G719">
        <v>23.6</v>
      </c>
      <c r="H719" t="str" cm="1">
        <f t="array" ref="H719">_xlfn.IFS(G719&gt;=20,"20-25", G719&gt;=15,"15-20", G719&gt;=10,"10-15", G719&gt;=5,"5-10", G719&gt;=1,"1-5", G719&lt;1,"Less than 1")</f>
        <v>20-25</v>
      </c>
      <c r="I719">
        <v>8</v>
      </c>
      <c r="J719">
        <v>0</v>
      </c>
      <c r="K719" s="6">
        <v>2</v>
      </c>
      <c r="L719" s="2">
        <v>3.99</v>
      </c>
      <c r="M719" s="6">
        <v>6</v>
      </c>
      <c r="N719" t="str" cm="1">
        <f t="array" ref="N719">_xlfn.IFS(M719&gt;=50,"50-60 Days", M719&gt;=40,"40-50 Days", M719&gt;=30, "30-40 Days", M719&gt;=20, "20-30 Days", M719&gt;=10, "10-20 Days", M719&gt;=0, "0-10 Days")</f>
        <v>0-10 Days</v>
      </c>
    </row>
    <row r="720" spans="1:14">
      <c r="A720">
        <v>719</v>
      </c>
      <c r="B720" t="s">
        <v>29</v>
      </c>
      <c r="C720" s="5">
        <v>45498</v>
      </c>
      <c r="D720" s="8">
        <v>45498</v>
      </c>
      <c r="E720" s="8" t="str">
        <f>IF(B720="Inactive", EDATE(D720,K720), "")</f>
        <v/>
      </c>
      <c r="F720" t="s">
        <v>14</v>
      </c>
      <c r="G720">
        <v>5.2</v>
      </c>
      <c r="H720" t="str" cm="1">
        <f t="array" ref="H720">_xlfn.IFS(G720&gt;=20,"20-25", G720&gt;=15,"15-20", G720&gt;=10,"10-15", G720&gt;=5,"5-10", G720&gt;=1,"1-5", G720&lt;1,"Less than 1")</f>
        <v>5-10</v>
      </c>
      <c r="I720">
        <v>3</v>
      </c>
      <c r="J720">
        <v>4</v>
      </c>
      <c r="K720" s="6">
        <v>5</v>
      </c>
      <c r="L720" s="2">
        <v>3.99</v>
      </c>
      <c r="M720" s="6">
        <v>40</v>
      </c>
      <c r="N720" t="str" cm="1">
        <f t="array" ref="N720">_xlfn.IFS(M720&gt;=50,"50-60 Days", M720&gt;=40,"40-50 Days", M720&gt;=30, "30-40 Days", M720&gt;=20, "20-30 Days", M720&gt;=10, "10-20 Days", M720&gt;=0, "0-10 Days")</f>
        <v>40-50 Days</v>
      </c>
    </row>
    <row r="721" spans="1:14">
      <c r="A721">
        <v>720</v>
      </c>
      <c r="B721" t="s">
        <v>28</v>
      </c>
      <c r="C721" s="5">
        <v>45396</v>
      </c>
      <c r="D721" s="8">
        <v>45396</v>
      </c>
      <c r="E721" s="8">
        <f>IF(B721="Inactive", EDATE(D721,K721), "")</f>
        <v>45761</v>
      </c>
      <c r="F721" t="s">
        <v>10</v>
      </c>
      <c r="G721">
        <v>10.7</v>
      </c>
      <c r="H721" t="str" cm="1">
        <f t="array" ref="H721">_xlfn.IFS(G721&gt;=20,"20-25", G721&gt;=15,"15-20", G721&gt;=10,"10-15", G721&gt;=5,"5-10", G721&gt;=1,"1-5", G721&lt;1,"Less than 1")</f>
        <v>10-15</v>
      </c>
      <c r="I721">
        <v>1</v>
      </c>
      <c r="J721">
        <v>5</v>
      </c>
      <c r="K721" s="6">
        <v>12</v>
      </c>
      <c r="L721" s="2">
        <v>6.99</v>
      </c>
      <c r="M721" s="6">
        <v>36</v>
      </c>
      <c r="N721" t="str" cm="1">
        <f t="array" ref="N721">_xlfn.IFS(M721&gt;=50,"50-60 Days", M721&gt;=40,"40-50 Days", M721&gt;=30, "30-40 Days", M721&gt;=20, "20-30 Days", M721&gt;=10, "10-20 Days", M721&gt;=0, "0-10 Days")</f>
        <v>30-40 Days</v>
      </c>
    </row>
    <row r="722" spans="1:14">
      <c r="A722">
        <v>721</v>
      </c>
      <c r="B722" t="s">
        <v>29</v>
      </c>
      <c r="C722" s="5">
        <v>45272</v>
      </c>
      <c r="D722" s="8">
        <v>45272</v>
      </c>
      <c r="E722" s="8" t="str">
        <f>IF(B722="Inactive", EDATE(D722,K722), "")</f>
        <v/>
      </c>
      <c r="F722" t="s">
        <v>10</v>
      </c>
      <c r="G722">
        <v>22.1</v>
      </c>
      <c r="H722" t="str" cm="1">
        <f t="array" ref="H722">_xlfn.IFS(G722&gt;=20,"20-25", G722&gt;=15,"15-20", G722&gt;=10,"10-15", G722&gt;=5,"5-10", G722&gt;=1,"1-5", G722&lt;1,"Less than 1")</f>
        <v>20-25</v>
      </c>
      <c r="I722">
        <v>2</v>
      </c>
      <c r="J722">
        <v>1</v>
      </c>
      <c r="K722" s="6">
        <v>10</v>
      </c>
      <c r="L722" s="2">
        <v>6.99</v>
      </c>
      <c r="M722" s="6">
        <v>35</v>
      </c>
      <c r="N722" t="str" cm="1">
        <f t="array" ref="N722">_xlfn.IFS(M722&gt;=50,"50-60 Days", M722&gt;=40,"40-50 Days", M722&gt;=30, "30-40 Days", M722&gt;=20, "20-30 Days", M722&gt;=10, "10-20 Days", M722&gt;=0, "0-10 Days")</f>
        <v>30-40 Days</v>
      </c>
    </row>
    <row r="723" spans="1:14">
      <c r="A723">
        <v>722</v>
      </c>
      <c r="B723" t="s">
        <v>28</v>
      </c>
      <c r="C723" s="5">
        <v>45259</v>
      </c>
      <c r="D723" s="8">
        <v>45259</v>
      </c>
      <c r="E723" s="8">
        <f>IF(B723="Inactive", EDATE(D723,K723), "")</f>
        <v>45380</v>
      </c>
      <c r="F723" t="s">
        <v>10</v>
      </c>
      <c r="G723">
        <v>13.6</v>
      </c>
      <c r="H723" t="str" cm="1">
        <f t="array" ref="H723">_xlfn.IFS(G723&gt;=20,"20-25", G723&gt;=15,"15-20", G723&gt;=10,"10-15", G723&gt;=5,"5-10", G723&gt;=1,"1-5", G723&lt;1,"Less than 1")</f>
        <v>10-15</v>
      </c>
      <c r="I723">
        <v>7</v>
      </c>
      <c r="J723">
        <v>2</v>
      </c>
      <c r="K723" s="6">
        <v>4</v>
      </c>
      <c r="L723" s="2">
        <v>6.99</v>
      </c>
      <c r="M723" s="6">
        <v>57</v>
      </c>
      <c r="N723" t="str" cm="1">
        <f t="array" ref="N723">_xlfn.IFS(M723&gt;=50,"50-60 Days", M723&gt;=40,"40-50 Days", M723&gt;=30, "30-40 Days", M723&gt;=20, "20-30 Days", M723&gt;=10, "10-20 Days", M723&gt;=0, "0-10 Days")</f>
        <v>50-60 Days</v>
      </c>
    </row>
    <row r="724" spans="1:14">
      <c r="A724">
        <v>723</v>
      </c>
      <c r="B724" t="s">
        <v>29</v>
      </c>
      <c r="C724" s="5">
        <v>45503</v>
      </c>
      <c r="D724" s="8">
        <v>45503</v>
      </c>
      <c r="E724" s="8" t="str">
        <f>IF(B724="Inactive", EDATE(D724,K724), "")</f>
        <v/>
      </c>
      <c r="F724" t="s">
        <v>14</v>
      </c>
      <c r="G724">
        <v>19.2</v>
      </c>
      <c r="H724" t="str" cm="1">
        <f t="array" ref="H724">_xlfn.IFS(G724&gt;=20,"20-25", G724&gt;=15,"15-20", G724&gt;=10,"10-15", G724&gt;=5,"5-10", G724&gt;=1,"1-5", G724&lt;1,"Less than 1")</f>
        <v>15-20</v>
      </c>
      <c r="I724">
        <v>6</v>
      </c>
      <c r="J724">
        <v>5</v>
      </c>
      <c r="K724" s="6">
        <v>9</v>
      </c>
      <c r="L724" s="2">
        <v>3.99</v>
      </c>
      <c r="M724" s="6">
        <v>20</v>
      </c>
      <c r="N724" t="str" cm="1">
        <f t="array" ref="N724">_xlfn.IFS(M724&gt;=50,"50-60 Days", M724&gt;=40,"40-50 Days", M724&gt;=30, "30-40 Days", M724&gt;=20, "20-30 Days", M724&gt;=10, "10-20 Days", M724&gt;=0, "0-10 Days")</f>
        <v>20-30 Days</v>
      </c>
    </row>
    <row r="725" spans="1:14">
      <c r="A725">
        <v>724</v>
      </c>
      <c r="B725" t="s">
        <v>28</v>
      </c>
      <c r="C725" s="5">
        <v>45390</v>
      </c>
      <c r="D725" s="8">
        <v>45390</v>
      </c>
      <c r="E725" s="8">
        <f>IF(B725="Inactive", EDATE(D725,K725), "")</f>
        <v>45543</v>
      </c>
      <c r="F725" t="s">
        <v>10</v>
      </c>
      <c r="G725">
        <v>9.6999999999999993</v>
      </c>
      <c r="H725" t="str" cm="1">
        <f t="array" ref="H725">_xlfn.IFS(G725&gt;=20,"20-25", G725&gt;=15,"15-20", G725&gt;=10,"10-15", G725&gt;=5,"5-10", G725&gt;=1,"1-5", G725&lt;1,"Less than 1")</f>
        <v>5-10</v>
      </c>
      <c r="I725">
        <v>8</v>
      </c>
      <c r="J725">
        <v>5</v>
      </c>
      <c r="K725" s="6">
        <v>5</v>
      </c>
      <c r="L725" s="2">
        <v>6.99</v>
      </c>
      <c r="M725" s="6">
        <v>16</v>
      </c>
      <c r="N725" t="str" cm="1">
        <f t="array" ref="N725">_xlfn.IFS(M725&gt;=50,"50-60 Days", M725&gt;=40,"40-50 Days", M725&gt;=30, "30-40 Days", M725&gt;=20, "20-30 Days", M725&gt;=10, "10-20 Days", M725&gt;=0, "0-10 Days")</f>
        <v>10-20 Days</v>
      </c>
    </row>
    <row r="726" spans="1:14">
      <c r="A726">
        <v>725</v>
      </c>
      <c r="B726" t="s">
        <v>28</v>
      </c>
      <c r="C726" s="5">
        <v>45065</v>
      </c>
      <c r="D726" s="8">
        <v>45065</v>
      </c>
      <c r="E726" s="8">
        <f>IF(B726="Inactive", EDATE(D726,K726), "")</f>
        <v>45341</v>
      </c>
      <c r="F726" t="s">
        <v>14</v>
      </c>
      <c r="G726">
        <v>0.5</v>
      </c>
      <c r="H726" t="str" cm="1">
        <f t="array" ref="H726">_xlfn.IFS(G726&gt;=20,"20-25", G726&gt;=15,"15-20", G726&gt;=10,"10-15", G726&gt;=5,"5-10", G726&gt;=1,"1-5", G726&lt;1,"Less than 1")</f>
        <v>Less than 1</v>
      </c>
      <c r="I726">
        <v>0</v>
      </c>
      <c r="J726">
        <v>2</v>
      </c>
      <c r="K726" s="6">
        <v>9</v>
      </c>
      <c r="L726" s="2">
        <v>3.99</v>
      </c>
      <c r="M726" s="6">
        <v>38</v>
      </c>
      <c r="N726" t="str" cm="1">
        <f t="array" ref="N726">_xlfn.IFS(M726&gt;=50,"50-60 Days", M726&gt;=40,"40-50 Days", M726&gt;=30, "30-40 Days", M726&gt;=20, "20-30 Days", M726&gt;=10, "10-20 Days", M726&gt;=0, "0-10 Days")</f>
        <v>30-40 Days</v>
      </c>
    </row>
    <row r="727" spans="1:14">
      <c r="A727">
        <v>726</v>
      </c>
      <c r="B727" t="s">
        <v>28</v>
      </c>
      <c r="C727" s="5">
        <v>45633</v>
      </c>
      <c r="D727" s="8">
        <v>45633</v>
      </c>
      <c r="E727" s="8">
        <f>IF(B727="Inactive", EDATE(D727,K727), "")</f>
        <v>45664</v>
      </c>
      <c r="F727" t="s">
        <v>14</v>
      </c>
      <c r="G727">
        <v>7.9</v>
      </c>
      <c r="H727" t="str" cm="1">
        <f t="array" ref="H727">_xlfn.IFS(G727&gt;=20,"20-25", G727&gt;=15,"15-20", G727&gt;=10,"10-15", G727&gt;=5,"5-10", G727&gt;=1,"1-5", G727&lt;1,"Less than 1")</f>
        <v>5-10</v>
      </c>
      <c r="I727">
        <v>3</v>
      </c>
      <c r="J727">
        <v>1</v>
      </c>
      <c r="K727" s="6">
        <v>1</v>
      </c>
      <c r="L727" s="2">
        <v>3.99</v>
      </c>
      <c r="M727" s="6">
        <v>54</v>
      </c>
      <c r="N727" t="str" cm="1">
        <f t="array" ref="N727">_xlfn.IFS(M727&gt;=50,"50-60 Days", M727&gt;=40,"40-50 Days", M727&gt;=30, "30-40 Days", M727&gt;=20, "20-30 Days", M727&gt;=10, "10-20 Days", M727&gt;=0, "0-10 Days")</f>
        <v>50-60 Days</v>
      </c>
    </row>
    <row r="728" spans="1:14">
      <c r="A728">
        <v>727</v>
      </c>
      <c r="B728" t="s">
        <v>29</v>
      </c>
      <c r="C728" s="5">
        <v>45086</v>
      </c>
      <c r="D728" s="8">
        <v>45086</v>
      </c>
      <c r="E728" s="8" t="str">
        <f>IF(B728="Inactive", EDATE(D728,K728), "")</f>
        <v/>
      </c>
      <c r="F728" t="s">
        <v>14</v>
      </c>
      <c r="G728">
        <v>13</v>
      </c>
      <c r="H728" t="str" cm="1">
        <f t="array" ref="H728">_xlfn.IFS(G728&gt;=20,"20-25", G728&gt;=15,"15-20", G728&gt;=10,"10-15", G728&gt;=5,"5-10", G728&gt;=1,"1-5", G728&lt;1,"Less than 1")</f>
        <v>10-15</v>
      </c>
      <c r="I728">
        <v>2</v>
      </c>
      <c r="J728">
        <v>0</v>
      </c>
      <c r="K728" s="6">
        <v>12</v>
      </c>
      <c r="L728" s="2">
        <v>3.99</v>
      </c>
      <c r="M728" s="6">
        <v>2</v>
      </c>
      <c r="N728" t="str" cm="1">
        <f t="array" ref="N728">_xlfn.IFS(M728&gt;=50,"50-60 Days", M728&gt;=40,"40-50 Days", M728&gt;=30, "30-40 Days", M728&gt;=20, "20-30 Days", M728&gt;=10, "10-20 Days", M728&gt;=0, "0-10 Days")</f>
        <v>0-10 Days</v>
      </c>
    </row>
    <row r="729" spans="1:14">
      <c r="A729">
        <v>728</v>
      </c>
      <c r="B729" t="s">
        <v>29</v>
      </c>
      <c r="C729" s="5">
        <v>45021</v>
      </c>
      <c r="D729" s="8">
        <v>45021</v>
      </c>
      <c r="E729" s="8" t="str">
        <f>IF(B729="Inactive", EDATE(D729,K729), "")</f>
        <v/>
      </c>
      <c r="F729" t="s">
        <v>12</v>
      </c>
      <c r="G729">
        <v>9.5</v>
      </c>
      <c r="H729" t="str" cm="1">
        <f t="array" ref="H729">_xlfn.IFS(G729&gt;=20,"20-25", G729&gt;=15,"15-20", G729&gt;=10,"10-15", G729&gt;=5,"5-10", G729&gt;=1,"1-5", G729&lt;1,"Less than 1")</f>
        <v>5-10</v>
      </c>
      <c r="I729">
        <v>3</v>
      </c>
      <c r="J729">
        <v>1</v>
      </c>
      <c r="K729" s="6">
        <v>6</v>
      </c>
      <c r="L729" s="2">
        <v>1.99</v>
      </c>
      <c r="M729" s="6">
        <v>16</v>
      </c>
      <c r="N729" t="str" cm="1">
        <f t="array" ref="N729">_xlfn.IFS(M729&gt;=50,"50-60 Days", M729&gt;=40,"40-50 Days", M729&gt;=30, "30-40 Days", M729&gt;=20, "20-30 Days", M729&gt;=10, "10-20 Days", M729&gt;=0, "0-10 Days")</f>
        <v>10-20 Days</v>
      </c>
    </row>
    <row r="730" spans="1:14">
      <c r="A730">
        <v>729</v>
      </c>
      <c r="B730" t="s">
        <v>29</v>
      </c>
      <c r="C730" s="5">
        <v>45421</v>
      </c>
      <c r="D730" s="8">
        <v>45421</v>
      </c>
      <c r="E730" s="8" t="str">
        <f>IF(B730="Inactive", EDATE(D730,K730), "")</f>
        <v/>
      </c>
      <c r="F730" t="s">
        <v>10</v>
      </c>
      <c r="G730">
        <v>14.4</v>
      </c>
      <c r="H730" t="str" cm="1">
        <f t="array" ref="H730">_xlfn.IFS(G730&gt;=20,"20-25", G730&gt;=15,"15-20", G730&gt;=10,"10-15", G730&gt;=5,"5-10", G730&gt;=1,"1-5", G730&lt;1,"Less than 1")</f>
        <v>10-15</v>
      </c>
      <c r="I730">
        <v>3</v>
      </c>
      <c r="J730">
        <v>5</v>
      </c>
      <c r="K730" s="6">
        <v>9</v>
      </c>
      <c r="L730" s="2">
        <v>6.99</v>
      </c>
      <c r="M730" s="6">
        <v>4</v>
      </c>
      <c r="N730" t="str" cm="1">
        <f t="array" ref="N730">_xlfn.IFS(M730&gt;=50,"50-60 Days", M730&gt;=40,"40-50 Days", M730&gt;=30, "30-40 Days", M730&gt;=20, "20-30 Days", M730&gt;=10, "10-20 Days", M730&gt;=0, "0-10 Days")</f>
        <v>0-10 Days</v>
      </c>
    </row>
    <row r="731" spans="1:14">
      <c r="A731">
        <v>730</v>
      </c>
      <c r="B731" t="s">
        <v>28</v>
      </c>
      <c r="C731" s="5">
        <v>45517</v>
      </c>
      <c r="D731" s="8">
        <v>45517</v>
      </c>
      <c r="E731" s="8">
        <f>IF(B731="Inactive", EDATE(D731,K731), "")</f>
        <v>45851</v>
      </c>
      <c r="F731" t="s">
        <v>12</v>
      </c>
      <c r="G731">
        <v>20.7</v>
      </c>
      <c r="H731" t="str" cm="1">
        <f t="array" ref="H731">_xlfn.IFS(G731&gt;=20,"20-25", G731&gt;=15,"15-20", G731&gt;=10,"10-15", G731&gt;=5,"5-10", G731&gt;=1,"1-5", G731&lt;1,"Less than 1")</f>
        <v>20-25</v>
      </c>
      <c r="I731">
        <v>1</v>
      </c>
      <c r="J731">
        <v>4</v>
      </c>
      <c r="K731" s="6">
        <v>11</v>
      </c>
      <c r="L731" s="2">
        <v>1.99</v>
      </c>
      <c r="M731" s="6">
        <v>41</v>
      </c>
      <c r="N731" t="str" cm="1">
        <f t="array" ref="N731">_xlfn.IFS(M731&gt;=50,"50-60 Days", M731&gt;=40,"40-50 Days", M731&gt;=30, "30-40 Days", M731&gt;=20, "20-30 Days", M731&gt;=10, "10-20 Days", M731&gt;=0, "0-10 Days")</f>
        <v>40-50 Days</v>
      </c>
    </row>
    <row r="732" spans="1:14">
      <c r="A732">
        <v>731</v>
      </c>
      <c r="B732" t="s">
        <v>29</v>
      </c>
      <c r="C732" s="5">
        <v>45353</v>
      </c>
      <c r="D732" s="8">
        <v>45353</v>
      </c>
      <c r="E732" s="8" t="str">
        <f>IF(B732="Inactive", EDATE(D732,K732), "")</f>
        <v/>
      </c>
      <c r="F732" t="s">
        <v>14</v>
      </c>
      <c r="G732">
        <v>19.600000000000001</v>
      </c>
      <c r="H732" t="str" cm="1">
        <f t="array" ref="H732">_xlfn.IFS(G732&gt;=20,"20-25", G732&gt;=15,"15-20", G732&gt;=10,"10-15", G732&gt;=5,"5-10", G732&gt;=1,"1-5", G732&lt;1,"Less than 1")</f>
        <v>15-20</v>
      </c>
      <c r="I732">
        <v>5</v>
      </c>
      <c r="J732">
        <v>2</v>
      </c>
      <c r="K732" s="6">
        <v>2</v>
      </c>
      <c r="L732" s="2">
        <v>3.99</v>
      </c>
      <c r="M732" s="6">
        <v>56</v>
      </c>
      <c r="N732" t="str" cm="1">
        <f t="array" ref="N732">_xlfn.IFS(M732&gt;=50,"50-60 Days", M732&gt;=40,"40-50 Days", M732&gt;=30, "30-40 Days", M732&gt;=20, "20-30 Days", M732&gt;=10, "10-20 Days", M732&gt;=0, "0-10 Days")</f>
        <v>50-60 Days</v>
      </c>
    </row>
    <row r="733" spans="1:14">
      <c r="A733">
        <v>732</v>
      </c>
      <c r="B733" t="s">
        <v>29</v>
      </c>
      <c r="C733" s="5">
        <v>44982</v>
      </c>
      <c r="D733" s="8">
        <v>44982</v>
      </c>
      <c r="E733" s="8" t="str">
        <f>IF(B733="Inactive", EDATE(D733,K733), "")</f>
        <v/>
      </c>
      <c r="F733" t="s">
        <v>12</v>
      </c>
      <c r="G733">
        <v>18.8</v>
      </c>
      <c r="H733" t="str" cm="1">
        <f t="array" ref="H733">_xlfn.IFS(G733&gt;=20,"20-25", G733&gt;=15,"15-20", G733&gt;=10,"10-15", G733&gt;=5,"5-10", G733&gt;=1,"1-5", G733&lt;1,"Less than 1")</f>
        <v>15-20</v>
      </c>
      <c r="I733">
        <v>0</v>
      </c>
      <c r="J733">
        <v>5</v>
      </c>
      <c r="K733" s="6">
        <v>5</v>
      </c>
      <c r="L733" s="2">
        <v>1.99</v>
      </c>
      <c r="M733" s="6">
        <v>49</v>
      </c>
      <c r="N733" t="str" cm="1">
        <f t="array" ref="N733">_xlfn.IFS(M733&gt;=50,"50-60 Days", M733&gt;=40,"40-50 Days", M733&gt;=30, "30-40 Days", M733&gt;=20, "20-30 Days", M733&gt;=10, "10-20 Days", M733&gt;=0, "0-10 Days")</f>
        <v>40-50 Days</v>
      </c>
    </row>
    <row r="734" spans="1:14">
      <c r="A734">
        <v>733</v>
      </c>
      <c r="B734" t="s">
        <v>28</v>
      </c>
      <c r="C734" s="5">
        <v>45641</v>
      </c>
      <c r="D734" s="8">
        <v>45641</v>
      </c>
      <c r="E734" s="8">
        <f>IF(B734="Inactive", EDATE(D734,K734), "")</f>
        <v>46006</v>
      </c>
      <c r="F734" t="s">
        <v>14</v>
      </c>
      <c r="G734">
        <v>1.5</v>
      </c>
      <c r="H734" t="str" cm="1">
        <f t="array" ref="H734">_xlfn.IFS(G734&gt;=20,"20-25", G734&gt;=15,"15-20", G734&gt;=10,"10-15", G734&gt;=5,"5-10", G734&gt;=1,"1-5", G734&lt;1,"Less than 1")</f>
        <v>1-5</v>
      </c>
      <c r="I734">
        <v>8</v>
      </c>
      <c r="J734">
        <v>4</v>
      </c>
      <c r="K734" s="6">
        <v>12</v>
      </c>
      <c r="L734" s="2">
        <v>3.99</v>
      </c>
      <c r="M734" s="6">
        <v>9</v>
      </c>
      <c r="N734" t="str" cm="1">
        <f t="array" ref="N734">_xlfn.IFS(M734&gt;=50,"50-60 Days", M734&gt;=40,"40-50 Days", M734&gt;=30, "30-40 Days", M734&gt;=20, "20-30 Days", M734&gt;=10, "10-20 Days", M734&gt;=0, "0-10 Days")</f>
        <v>0-10 Days</v>
      </c>
    </row>
    <row r="735" spans="1:14">
      <c r="A735">
        <v>734</v>
      </c>
      <c r="B735" t="s">
        <v>28</v>
      </c>
      <c r="C735" s="5">
        <v>45443</v>
      </c>
      <c r="D735" s="8">
        <v>45443</v>
      </c>
      <c r="E735" s="8">
        <f>IF(B735="Inactive", EDATE(D735,K735), "")</f>
        <v>45565</v>
      </c>
      <c r="F735" t="s">
        <v>12</v>
      </c>
      <c r="G735">
        <v>1.7</v>
      </c>
      <c r="H735" t="str" cm="1">
        <f t="array" ref="H735">_xlfn.IFS(G735&gt;=20,"20-25", G735&gt;=15,"15-20", G735&gt;=10,"10-15", G735&gt;=5,"5-10", G735&gt;=1,"1-5", G735&lt;1,"Less than 1")</f>
        <v>1-5</v>
      </c>
      <c r="I735">
        <v>6</v>
      </c>
      <c r="J735">
        <v>3</v>
      </c>
      <c r="K735" s="6">
        <v>4</v>
      </c>
      <c r="L735" s="2">
        <v>1.99</v>
      </c>
      <c r="M735" s="6">
        <v>48</v>
      </c>
      <c r="N735" t="str" cm="1">
        <f t="array" ref="N735">_xlfn.IFS(M735&gt;=50,"50-60 Days", M735&gt;=40,"40-50 Days", M735&gt;=30, "30-40 Days", M735&gt;=20, "20-30 Days", M735&gt;=10, "10-20 Days", M735&gt;=0, "0-10 Days")</f>
        <v>40-50 Days</v>
      </c>
    </row>
    <row r="736" spans="1:14">
      <c r="A736">
        <v>735</v>
      </c>
      <c r="B736" t="s">
        <v>29</v>
      </c>
      <c r="C736" s="5">
        <v>45414</v>
      </c>
      <c r="D736" s="8">
        <v>45414</v>
      </c>
      <c r="E736" s="8" t="str">
        <f>IF(B736="Inactive", EDATE(D736,K736), "")</f>
        <v/>
      </c>
      <c r="F736" t="s">
        <v>12</v>
      </c>
      <c r="G736">
        <v>11.1</v>
      </c>
      <c r="H736" t="str" cm="1">
        <f t="array" ref="H736">_xlfn.IFS(G736&gt;=20,"20-25", G736&gt;=15,"15-20", G736&gt;=10,"10-15", G736&gt;=5,"5-10", G736&gt;=1,"1-5", G736&lt;1,"Less than 1")</f>
        <v>10-15</v>
      </c>
      <c r="I736">
        <v>6</v>
      </c>
      <c r="J736">
        <v>1</v>
      </c>
      <c r="K736" s="6">
        <v>5</v>
      </c>
      <c r="L736" s="2">
        <v>1.99</v>
      </c>
      <c r="M736" s="6">
        <v>8</v>
      </c>
      <c r="N736" t="str" cm="1">
        <f t="array" ref="N736">_xlfn.IFS(M736&gt;=50,"50-60 Days", M736&gt;=40,"40-50 Days", M736&gt;=30, "30-40 Days", M736&gt;=20, "20-30 Days", M736&gt;=10, "10-20 Days", M736&gt;=0, "0-10 Days")</f>
        <v>0-10 Days</v>
      </c>
    </row>
    <row r="737" spans="1:14">
      <c r="A737">
        <v>736</v>
      </c>
      <c r="B737" t="s">
        <v>29</v>
      </c>
      <c r="C737" s="5">
        <v>45641</v>
      </c>
      <c r="D737" s="8">
        <v>45641</v>
      </c>
      <c r="E737" s="8" t="str">
        <f>IF(B737="Inactive", EDATE(D737,K737), "")</f>
        <v/>
      </c>
      <c r="F737" t="s">
        <v>10</v>
      </c>
      <c r="G737">
        <v>13.9</v>
      </c>
      <c r="H737" t="str" cm="1">
        <f t="array" ref="H737">_xlfn.IFS(G737&gt;=20,"20-25", G737&gt;=15,"15-20", G737&gt;=10,"10-15", G737&gt;=5,"5-10", G737&gt;=1,"1-5", G737&lt;1,"Less than 1")</f>
        <v>10-15</v>
      </c>
      <c r="I737">
        <v>4</v>
      </c>
      <c r="J737">
        <v>0</v>
      </c>
      <c r="K737" s="6">
        <v>2</v>
      </c>
      <c r="L737" s="2">
        <v>6.99</v>
      </c>
      <c r="M737" s="6">
        <v>25</v>
      </c>
      <c r="N737" t="str" cm="1">
        <f t="array" ref="N737">_xlfn.IFS(M737&gt;=50,"50-60 Days", M737&gt;=40,"40-50 Days", M737&gt;=30, "30-40 Days", M737&gt;=20, "20-30 Days", M737&gt;=10, "10-20 Days", M737&gt;=0, "0-10 Days")</f>
        <v>20-30 Days</v>
      </c>
    </row>
    <row r="738" spans="1:14">
      <c r="A738">
        <v>737</v>
      </c>
      <c r="B738" t="s">
        <v>29</v>
      </c>
      <c r="C738" s="5">
        <v>45127</v>
      </c>
      <c r="D738" s="8">
        <v>45127</v>
      </c>
      <c r="E738" s="8" t="str">
        <f>IF(B738="Inactive", EDATE(D738,K738), "")</f>
        <v/>
      </c>
      <c r="F738" t="s">
        <v>12</v>
      </c>
      <c r="G738">
        <v>12.3</v>
      </c>
      <c r="H738" t="str" cm="1">
        <f t="array" ref="H738">_xlfn.IFS(G738&gt;=20,"20-25", G738&gt;=15,"15-20", G738&gt;=10,"10-15", G738&gt;=5,"5-10", G738&gt;=1,"1-5", G738&lt;1,"Less than 1")</f>
        <v>10-15</v>
      </c>
      <c r="I738">
        <v>3</v>
      </c>
      <c r="J738">
        <v>3</v>
      </c>
      <c r="K738" s="6">
        <v>3</v>
      </c>
      <c r="L738" s="2">
        <v>1.99</v>
      </c>
      <c r="M738" s="6">
        <v>25</v>
      </c>
      <c r="N738" t="str" cm="1">
        <f t="array" ref="N738">_xlfn.IFS(M738&gt;=50,"50-60 Days", M738&gt;=40,"40-50 Days", M738&gt;=30, "30-40 Days", M738&gt;=20, "20-30 Days", M738&gt;=10, "10-20 Days", M738&gt;=0, "0-10 Days")</f>
        <v>20-30 Days</v>
      </c>
    </row>
    <row r="739" spans="1:14">
      <c r="A739">
        <v>738</v>
      </c>
      <c r="B739" t="s">
        <v>28</v>
      </c>
      <c r="C739" s="5">
        <v>45628</v>
      </c>
      <c r="D739" s="8">
        <v>45628</v>
      </c>
      <c r="E739" s="8">
        <f>IF(B739="Inactive", EDATE(D739,K739), "")</f>
        <v>45993</v>
      </c>
      <c r="F739" t="s">
        <v>10</v>
      </c>
      <c r="G739">
        <v>6.5</v>
      </c>
      <c r="H739" t="str" cm="1">
        <f t="array" ref="H739">_xlfn.IFS(G739&gt;=20,"20-25", G739&gt;=15,"15-20", G739&gt;=10,"10-15", G739&gt;=5,"5-10", G739&gt;=1,"1-5", G739&lt;1,"Less than 1")</f>
        <v>5-10</v>
      </c>
      <c r="I739">
        <v>1</v>
      </c>
      <c r="J739">
        <v>2</v>
      </c>
      <c r="K739" s="6">
        <v>12</v>
      </c>
      <c r="L739" s="2">
        <v>6.99</v>
      </c>
      <c r="M739" s="6">
        <v>49</v>
      </c>
      <c r="N739" t="str" cm="1">
        <f t="array" ref="N739">_xlfn.IFS(M739&gt;=50,"50-60 Days", M739&gt;=40,"40-50 Days", M739&gt;=30, "30-40 Days", M739&gt;=20, "20-30 Days", M739&gt;=10, "10-20 Days", M739&gt;=0, "0-10 Days")</f>
        <v>40-50 Days</v>
      </c>
    </row>
    <row r="740" spans="1:14">
      <c r="A740">
        <v>739</v>
      </c>
      <c r="B740" t="s">
        <v>28</v>
      </c>
      <c r="C740" s="5">
        <v>45255</v>
      </c>
      <c r="D740" s="8">
        <v>45255</v>
      </c>
      <c r="E740" s="8">
        <f>IF(B740="Inactive", EDATE(D740,K740), "")</f>
        <v>45316</v>
      </c>
      <c r="F740" t="s">
        <v>10</v>
      </c>
      <c r="G740">
        <v>3.3</v>
      </c>
      <c r="H740" t="str" cm="1">
        <f t="array" ref="H740">_xlfn.IFS(G740&gt;=20,"20-25", G740&gt;=15,"15-20", G740&gt;=10,"10-15", G740&gt;=5,"5-10", G740&gt;=1,"1-5", G740&lt;1,"Less than 1")</f>
        <v>1-5</v>
      </c>
      <c r="I740">
        <v>6</v>
      </c>
      <c r="J740">
        <v>3</v>
      </c>
      <c r="K740" s="6">
        <v>2</v>
      </c>
      <c r="L740" s="2">
        <v>6.99</v>
      </c>
      <c r="M740" s="6">
        <v>23</v>
      </c>
      <c r="N740" t="str" cm="1">
        <f t="array" ref="N740">_xlfn.IFS(M740&gt;=50,"50-60 Days", M740&gt;=40,"40-50 Days", M740&gt;=30, "30-40 Days", M740&gt;=20, "20-30 Days", M740&gt;=10, "10-20 Days", M740&gt;=0, "0-10 Days")</f>
        <v>20-30 Days</v>
      </c>
    </row>
    <row r="741" spans="1:14">
      <c r="A741">
        <v>740</v>
      </c>
      <c r="B741" t="s">
        <v>29</v>
      </c>
      <c r="C741" s="5">
        <v>45379</v>
      </c>
      <c r="D741" s="8">
        <v>45379</v>
      </c>
      <c r="E741" s="8" t="str">
        <f>IF(B741="Inactive", EDATE(D741,K741), "")</f>
        <v/>
      </c>
      <c r="F741" t="s">
        <v>14</v>
      </c>
      <c r="G741">
        <v>19.399999999999999</v>
      </c>
      <c r="H741" t="str" cm="1">
        <f t="array" ref="H741">_xlfn.IFS(G741&gt;=20,"20-25", G741&gt;=15,"15-20", G741&gt;=10,"10-15", G741&gt;=5,"5-10", G741&gt;=1,"1-5", G741&lt;1,"Less than 1")</f>
        <v>15-20</v>
      </c>
      <c r="I741">
        <v>2</v>
      </c>
      <c r="J741">
        <v>2</v>
      </c>
      <c r="K741" s="6">
        <v>1</v>
      </c>
      <c r="L741" s="2">
        <v>3.99</v>
      </c>
      <c r="M741" s="6">
        <v>39</v>
      </c>
      <c r="N741" t="str" cm="1">
        <f t="array" ref="N741">_xlfn.IFS(M741&gt;=50,"50-60 Days", M741&gt;=40,"40-50 Days", M741&gt;=30, "30-40 Days", M741&gt;=20, "20-30 Days", M741&gt;=10, "10-20 Days", M741&gt;=0, "0-10 Days")</f>
        <v>30-40 Days</v>
      </c>
    </row>
    <row r="742" spans="1:14">
      <c r="A742">
        <v>741</v>
      </c>
      <c r="B742" t="s">
        <v>29</v>
      </c>
      <c r="C742" s="5">
        <v>45014</v>
      </c>
      <c r="D742" s="8">
        <v>45014</v>
      </c>
      <c r="E742" s="8" t="str">
        <f>IF(B742="Inactive", EDATE(D742,K742), "")</f>
        <v/>
      </c>
      <c r="F742" t="s">
        <v>10</v>
      </c>
      <c r="G742">
        <v>11.3</v>
      </c>
      <c r="H742" t="str" cm="1">
        <f t="array" ref="H742">_xlfn.IFS(G742&gt;=20,"20-25", G742&gt;=15,"15-20", G742&gt;=10,"10-15", G742&gt;=5,"5-10", G742&gt;=1,"1-5", G742&lt;1,"Less than 1")</f>
        <v>10-15</v>
      </c>
      <c r="I742">
        <v>3</v>
      </c>
      <c r="J742">
        <v>1</v>
      </c>
      <c r="K742" s="6">
        <v>4</v>
      </c>
      <c r="L742" s="2">
        <v>6.99</v>
      </c>
      <c r="M742" s="6">
        <v>43</v>
      </c>
      <c r="N742" t="str" cm="1">
        <f t="array" ref="N742">_xlfn.IFS(M742&gt;=50,"50-60 Days", M742&gt;=40,"40-50 Days", M742&gt;=30, "30-40 Days", M742&gt;=20, "20-30 Days", M742&gt;=10, "10-20 Days", M742&gt;=0, "0-10 Days")</f>
        <v>40-50 Days</v>
      </c>
    </row>
    <row r="743" spans="1:14">
      <c r="A743">
        <v>742</v>
      </c>
      <c r="B743" t="s">
        <v>28</v>
      </c>
      <c r="C743" s="5">
        <v>45040</v>
      </c>
      <c r="D743" s="8">
        <v>45040</v>
      </c>
      <c r="E743" s="8">
        <f>IF(B743="Inactive", EDATE(D743,K743), "")</f>
        <v>45101</v>
      </c>
      <c r="F743" t="s">
        <v>12</v>
      </c>
      <c r="G743">
        <v>6.5</v>
      </c>
      <c r="H743" t="str" cm="1">
        <f t="array" ref="H743">_xlfn.IFS(G743&gt;=20,"20-25", G743&gt;=15,"15-20", G743&gt;=10,"10-15", G743&gt;=5,"5-10", G743&gt;=1,"1-5", G743&lt;1,"Less than 1")</f>
        <v>5-10</v>
      </c>
      <c r="I743">
        <v>2</v>
      </c>
      <c r="J743">
        <v>2</v>
      </c>
      <c r="K743" s="6">
        <v>2</v>
      </c>
      <c r="L743" s="2">
        <v>1.99</v>
      </c>
      <c r="M743" s="6">
        <v>0</v>
      </c>
      <c r="N743" t="str" cm="1">
        <f t="array" ref="N743">_xlfn.IFS(M743&gt;=50,"50-60 Days", M743&gt;=40,"40-50 Days", M743&gt;=30, "30-40 Days", M743&gt;=20, "20-30 Days", M743&gt;=10, "10-20 Days", M743&gt;=0, "0-10 Days")</f>
        <v>0-10 Days</v>
      </c>
    </row>
    <row r="744" spans="1:14">
      <c r="A744">
        <v>743</v>
      </c>
      <c r="B744" t="s">
        <v>29</v>
      </c>
      <c r="C744" s="5">
        <v>45135</v>
      </c>
      <c r="D744" s="8">
        <v>45135</v>
      </c>
      <c r="E744" s="8" t="str">
        <f>IF(B744="Inactive", EDATE(D744,K744), "")</f>
        <v/>
      </c>
      <c r="F744" t="s">
        <v>14</v>
      </c>
      <c r="G744">
        <v>12</v>
      </c>
      <c r="H744" t="str" cm="1">
        <f t="array" ref="H744">_xlfn.IFS(G744&gt;=20,"20-25", G744&gt;=15,"15-20", G744&gt;=10,"10-15", G744&gt;=5,"5-10", G744&gt;=1,"1-5", G744&lt;1,"Less than 1")</f>
        <v>10-15</v>
      </c>
      <c r="I744">
        <v>5</v>
      </c>
      <c r="J744">
        <v>1</v>
      </c>
      <c r="K744" s="6">
        <v>10</v>
      </c>
      <c r="L744" s="2">
        <v>3.99</v>
      </c>
      <c r="M744" s="6">
        <v>47</v>
      </c>
      <c r="N744" t="str" cm="1">
        <f t="array" ref="N744">_xlfn.IFS(M744&gt;=50,"50-60 Days", M744&gt;=40,"40-50 Days", M744&gt;=30, "30-40 Days", M744&gt;=20, "20-30 Days", M744&gt;=10, "10-20 Days", M744&gt;=0, "0-10 Days")</f>
        <v>40-50 Days</v>
      </c>
    </row>
    <row r="745" spans="1:14">
      <c r="A745">
        <v>744</v>
      </c>
      <c r="B745" t="s">
        <v>28</v>
      </c>
      <c r="C745" s="5">
        <v>45071</v>
      </c>
      <c r="D745" s="8">
        <v>45071</v>
      </c>
      <c r="E745" s="8">
        <f>IF(B745="Inactive", EDATE(D745,K745), "")</f>
        <v>45437</v>
      </c>
      <c r="F745" t="s">
        <v>10</v>
      </c>
      <c r="G745">
        <v>18.899999999999999</v>
      </c>
      <c r="H745" t="str" cm="1">
        <f t="array" ref="H745">_xlfn.IFS(G745&gt;=20,"20-25", G745&gt;=15,"15-20", G745&gt;=10,"10-15", G745&gt;=5,"5-10", G745&gt;=1,"1-5", G745&lt;1,"Less than 1")</f>
        <v>15-20</v>
      </c>
      <c r="I745">
        <v>8</v>
      </c>
      <c r="J745">
        <v>3</v>
      </c>
      <c r="K745" s="6">
        <v>12</v>
      </c>
      <c r="L745" s="2">
        <v>6.99</v>
      </c>
      <c r="M745" s="6">
        <v>39</v>
      </c>
      <c r="N745" t="str" cm="1">
        <f t="array" ref="N745">_xlfn.IFS(M745&gt;=50,"50-60 Days", M745&gt;=40,"40-50 Days", M745&gt;=30, "30-40 Days", M745&gt;=20, "20-30 Days", M745&gt;=10, "10-20 Days", M745&gt;=0, "0-10 Days")</f>
        <v>30-40 Days</v>
      </c>
    </row>
    <row r="746" spans="1:14">
      <c r="A746">
        <v>745</v>
      </c>
      <c r="B746" t="s">
        <v>28</v>
      </c>
      <c r="C746" s="5">
        <v>45217</v>
      </c>
      <c r="D746" s="8">
        <v>45217</v>
      </c>
      <c r="E746" s="8">
        <f>IF(B746="Inactive", EDATE(D746,K746), "")</f>
        <v>45248</v>
      </c>
      <c r="F746" t="s">
        <v>10</v>
      </c>
      <c r="G746">
        <v>9.6999999999999993</v>
      </c>
      <c r="H746" t="str" cm="1">
        <f t="array" ref="H746">_xlfn.IFS(G746&gt;=20,"20-25", G746&gt;=15,"15-20", G746&gt;=10,"10-15", G746&gt;=5,"5-10", G746&gt;=1,"1-5", G746&lt;1,"Less than 1")</f>
        <v>5-10</v>
      </c>
      <c r="I746">
        <v>8</v>
      </c>
      <c r="J746">
        <v>0</v>
      </c>
      <c r="K746" s="6">
        <v>1</v>
      </c>
      <c r="L746" s="2">
        <v>6.99</v>
      </c>
      <c r="M746" s="6">
        <v>16</v>
      </c>
      <c r="N746" t="str" cm="1">
        <f t="array" ref="N746">_xlfn.IFS(M746&gt;=50,"50-60 Days", M746&gt;=40,"40-50 Days", M746&gt;=30, "30-40 Days", M746&gt;=20, "20-30 Days", M746&gt;=10, "10-20 Days", M746&gt;=0, "0-10 Days")</f>
        <v>10-20 Days</v>
      </c>
    </row>
    <row r="747" spans="1:14">
      <c r="A747">
        <v>746</v>
      </c>
      <c r="B747" t="s">
        <v>29</v>
      </c>
      <c r="C747" s="5">
        <v>45605</v>
      </c>
      <c r="D747" s="8">
        <v>45605</v>
      </c>
      <c r="E747" s="8" t="str">
        <f>IF(B747="Inactive", EDATE(D747,K747), "")</f>
        <v/>
      </c>
      <c r="F747" t="s">
        <v>12</v>
      </c>
      <c r="G747">
        <v>1.8</v>
      </c>
      <c r="H747" t="str" cm="1">
        <f t="array" ref="H747">_xlfn.IFS(G747&gt;=20,"20-25", G747&gt;=15,"15-20", G747&gt;=10,"10-15", G747&gt;=5,"5-10", G747&gt;=1,"1-5", G747&lt;1,"Less than 1")</f>
        <v>1-5</v>
      </c>
      <c r="I747">
        <v>0</v>
      </c>
      <c r="J747">
        <v>0</v>
      </c>
      <c r="K747" s="6">
        <v>6</v>
      </c>
      <c r="L747" s="2">
        <v>1.99</v>
      </c>
      <c r="M747" s="6">
        <v>24</v>
      </c>
      <c r="N747" t="str" cm="1">
        <f t="array" ref="N747">_xlfn.IFS(M747&gt;=50,"50-60 Days", M747&gt;=40,"40-50 Days", M747&gt;=30, "30-40 Days", M747&gt;=20, "20-30 Days", M747&gt;=10, "10-20 Days", M747&gt;=0, "0-10 Days")</f>
        <v>20-30 Days</v>
      </c>
    </row>
    <row r="748" spans="1:14">
      <c r="A748">
        <v>747</v>
      </c>
      <c r="B748" t="s">
        <v>29</v>
      </c>
      <c r="C748" s="5">
        <v>45322</v>
      </c>
      <c r="D748" s="8">
        <v>45322</v>
      </c>
      <c r="E748" s="8" t="str">
        <f>IF(B748="Inactive", EDATE(D748,K748), "")</f>
        <v/>
      </c>
      <c r="F748" t="s">
        <v>10</v>
      </c>
      <c r="G748">
        <v>21.7</v>
      </c>
      <c r="H748" t="str" cm="1">
        <f t="array" ref="H748">_xlfn.IFS(G748&gt;=20,"20-25", G748&gt;=15,"15-20", G748&gt;=10,"10-15", G748&gt;=5,"5-10", G748&gt;=1,"1-5", G748&lt;1,"Less than 1")</f>
        <v>20-25</v>
      </c>
      <c r="I748">
        <v>0</v>
      </c>
      <c r="J748">
        <v>2</v>
      </c>
      <c r="K748" s="6">
        <v>8</v>
      </c>
      <c r="L748" s="2">
        <v>6.99</v>
      </c>
      <c r="M748" s="6">
        <v>55</v>
      </c>
      <c r="N748" t="str" cm="1">
        <f t="array" ref="N748">_xlfn.IFS(M748&gt;=50,"50-60 Days", M748&gt;=40,"40-50 Days", M748&gt;=30, "30-40 Days", M748&gt;=20, "20-30 Days", M748&gt;=10, "10-20 Days", M748&gt;=0, "0-10 Days")</f>
        <v>50-60 Days</v>
      </c>
    </row>
    <row r="749" spans="1:14">
      <c r="A749">
        <v>748</v>
      </c>
      <c r="B749" t="s">
        <v>29</v>
      </c>
      <c r="C749" s="5">
        <v>45471</v>
      </c>
      <c r="D749" s="8">
        <v>45471</v>
      </c>
      <c r="E749" s="8" t="str">
        <f>IF(B749="Inactive", EDATE(D749,K749), "")</f>
        <v/>
      </c>
      <c r="F749" t="s">
        <v>12</v>
      </c>
      <c r="G749">
        <v>13</v>
      </c>
      <c r="H749" t="str" cm="1">
        <f t="array" ref="H749">_xlfn.IFS(G749&gt;=20,"20-25", G749&gt;=15,"15-20", G749&gt;=10,"10-15", G749&gt;=5,"5-10", G749&gt;=1,"1-5", G749&lt;1,"Less than 1")</f>
        <v>10-15</v>
      </c>
      <c r="I749">
        <v>1</v>
      </c>
      <c r="J749">
        <v>2</v>
      </c>
      <c r="K749" s="6">
        <v>9</v>
      </c>
      <c r="L749" s="2">
        <v>1.99</v>
      </c>
      <c r="M749" s="6">
        <v>31</v>
      </c>
      <c r="N749" t="str" cm="1">
        <f t="array" ref="N749">_xlfn.IFS(M749&gt;=50,"50-60 Days", M749&gt;=40,"40-50 Days", M749&gt;=30, "30-40 Days", M749&gt;=20, "20-30 Days", M749&gt;=10, "10-20 Days", M749&gt;=0, "0-10 Days")</f>
        <v>30-40 Days</v>
      </c>
    </row>
    <row r="750" spans="1:14">
      <c r="A750">
        <v>749</v>
      </c>
      <c r="B750" t="s">
        <v>28</v>
      </c>
      <c r="C750" s="5">
        <v>44967</v>
      </c>
      <c r="D750" s="8">
        <v>44967</v>
      </c>
      <c r="E750" s="8">
        <f>IF(B750="Inactive", EDATE(D750,K750), "")</f>
        <v>45087</v>
      </c>
      <c r="F750" t="s">
        <v>12</v>
      </c>
      <c r="G750">
        <v>5.4</v>
      </c>
      <c r="H750" t="str" cm="1">
        <f t="array" ref="H750">_xlfn.IFS(G750&gt;=20,"20-25", G750&gt;=15,"15-20", G750&gt;=10,"10-15", G750&gt;=5,"5-10", G750&gt;=1,"1-5", G750&lt;1,"Less than 1")</f>
        <v>5-10</v>
      </c>
      <c r="I750">
        <v>7</v>
      </c>
      <c r="J750">
        <v>4</v>
      </c>
      <c r="K750" s="6">
        <v>4</v>
      </c>
      <c r="L750" s="2">
        <v>1.99</v>
      </c>
      <c r="M750" s="6">
        <v>59</v>
      </c>
      <c r="N750" t="str" cm="1">
        <f t="array" ref="N750">_xlfn.IFS(M750&gt;=50,"50-60 Days", M750&gt;=40,"40-50 Days", M750&gt;=30, "30-40 Days", M750&gt;=20, "20-30 Days", M750&gt;=10, "10-20 Days", M750&gt;=0, "0-10 Days")</f>
        <v>50-60 Days</v>
      </c>
    </row>
    <row r="751" spans="1:14">
      <c r="A751">
        <v>750</v>
      </c>
      <c r="B751" t="s">
        <v>28</v>
      </c>
      <c r="C751" s="5">
        <v>45282</v>
      </c>
      <c r="D751" s="8">
        <v>45282</v>
      </c>
      <c r="E751" s="8">
        <f>IF(B751="Inactive", EDATE(D751,K751), "")</f>
        <v>45648</v>
      </c>
      <c r="F751" t="s">
        <v>12</v>
      </c>
      <c r="G751">
        <v>8</v>
      </c>
      <c r="H751" t="str" cm="1">
        <f t="array" ref="H751">_xlfn.IFS(G751&gt;=20,"20-25", G751&gt;=15,"15-20", G751&gt;=10,"10-15", G751&gt;=5,"5-10", G751&gt;=1,"1-5", G751&lt;1,"Less than 1")</f>
        <v>5-10</v>
      </c>
      <c r="I751">
        <v>7</v>
      </c>
      <c r="J751">
        <v>3</v>
      </c>
      <c r="K751" s="6">
        <v>12</v>
      </c>
      <c r="L751" s="2">
        <v>1.99</v>
      </c>
      <c r="M751" s="6">
        <v>47</v>
      </c>
      <c r="N751" t="str" cm="1">
        <f t="array" ref="N751">_xlfn.IFS(M751&gt;=50,"50-60 Days", M751&gt;=40,"40-50 Days", M751&gt;=30, "30-40 Days", M751&gt;=20, "20-30 Days", M751&gt;=10, "10-20 Days", M751&gt;=0, "0-10 Days")</f>
        <v>40-50 Days</v>
      </c>
    </row>
    <row r="752" spans="1:14">
      <c r="A752">
        <v>751</v>
      </c>
      <c r="B752" t="s">
        <v>28</v>
      </c>
      <c r="C752" s="5">
        <v>44990</v>
      </c>
      <c r="D752" s="8">
        <v>44990</v>
      </c>
      <c r="E752" s="8">
        <f>IF(B752="Inactive", EDATE(D752,K752), "")</f>
        <v>45235</v>
      </c>
      <c r="F752" t="s">
        <v>10</v>
      </c>
      <c r="G752">
        <v>9.1999999999999993</v>
      </c>
      <c r="H752" t="str" cm="1">
        <f t="array" ref="H752">_xlfn.IFS(G752&gt;=20,"20-25", G752&gt;=15,"15-20", G752&gt;=10,"10-15", G752&gt;=5,"5-10", G752&gt;=1,"1-5", G752&lt;1,"Less than 1")</f>
        <v>5-10</v>
      </c>
      <c r="I752">
        <v>4</v>
      </c>
      <c r="J752">
        <v>1</v>
      </c>
      <c r="K752" s="6">
        <v>8</v>
      </c>
      <c r="L752" s="2">
        <v>6.99</v>
      </c>
      <c r="M752" s="6">
        <v>32</v>
      </c>
      <c r="N752" t="str" cm="1">
        <f t="array" ref="N752">_xlfn.IFS(M752&gt;=50,"50-60 Days", M752&gt;=40,"40-50 Days", M752&gt;=30, "30-40 Days", M752&gt;=20, "20-30 Days", M752&gt;=10, "10-20 Days", M752&gt;=0, "0-10 Days")</f>
        <v>30-40 Days</v>
      </c>
    </row>
    <row r="753" spans="1:14">
      <c r="A753">
        <v>752</v>
      </c>
      <c r="B753" t="s">
        <v>28</v>
      </c>
      <c r="C753" s="5">
        <v>45082</v>
      </c>
      <c r="D753" s="8">
        <v>45082</v>
      </c>
      <c r="E753" s="8">
        <f>IF(B753="Inactive", EDATE(D753,K753), "")</f>
        <v>45265</v>
      </c>
      <c r="F753" t="s">
        <v>10</v>
      </c>
      <c r="G753">
        <v>22</v>
      </c>
      <c r="H753" t="str" cm="1">
        <f t="array" ref="H753">_xlfn.IFS(G753&gt;=20,"20-25", G753&gt;=15,"15-20", G753&gt;=10,"10-15", G753&gt;=5,"5-10", G753&gt;=1,"1-5", G753&lt;1,"Less than 1")</f>
        <v>20-25</v>
      </c>
      <c r="I753">
        <v>0</v>
      </c>
      <c r="J753">
        <v>4</v>
      </c>
      <c r="K753" s="6">
        <v>6</v>
      </c>
      <c r="L753" s="2">
        <v>6.99</v>
      </c>
      <c r="M753" s="6">
        <v>60</v>
      </c>
      <c r="N753" t="str" cm="1">
        <f t="array" ref="N753">_xlfn.IFS(M753&gt;=50,"50-60 Days", M753&gt;=40,"40-50 Days", M753&gt;=30, "30-40 Days", M753&gt;=20, "20-30 Days", M753&gt;=10, "10-20 Days", M753&gt;=0, "0-10 Days")</f>
        <v>50-60 Days</v>
      </c>
    </row>
    <row r="754" spans="1:14">
      <c r="A754">
        <v>753</v>
      </c>
      <c r="B754" t="s">
        <v>28</v>
      </c>
      <c r="C754" s="5">
        <v>45621</v>
      </c>
      <c r="D754" s="8">
        <v>45621</v>
      </c>
      <c r="E754" s="8">
        <f>IF(B754="Inactive", EDATE(D754,K754), "")</f>
        <v>45894</v>
      </c>
      <c r="F754" t="s">
        <v>14</v>
      </c>
      <c r="G754">
        <v>16.600000000000001</v>
      </c>
      <c r="H754" t="str" cm="1">
        <f t="array" ref="H754">_xlfn.IFS(G754&gt;=20,"20-25", G754&gt;=15,"15-20", G754&gt;=10,"10-15", G754&gt;=5,"5-10", G754&gt;=1,"1-5", G754&lt;1,"Less than 1")</f>
        <v>15-20</v>
      </c>
      <c r="I754">
        <v>1</v>
      </c>
      <c r="J754">
        <v>5</v>
      </c>
      <c r="K754" s="6">
        <v>9</v>
      </c>
      <c r="L754" s="2">
        <v>3.99</v>
      </c>
      <c r="M754" s="6">
        <v>24</v>
      </c>
      <c r="N754" t="str" cm="1">
        <f t="array" ref="N754">_xlfn.IFS(M754&gt;=50,"50-60 Days", M754&gt;=40,"40-50 Days", M754&gt;=30, "30-40 Days", M754&gt;=20, "20-30 Days", M754&gt;=10, "10-20 Days", M754&gt;=0, "0-10 Days")</f>
        <v>20-30 Days</v>
      </c>
    </row>
    <row r="755" spans="1:14">
      <c r="A755">
        <v>754</v>
      </c>
      <c r="B755" t="s">
        <v>29</v>
      </c>
      <c r="C755" s="5">
        <v>45264</v>
      </c>
      <c r="D755" s="8">
        <v>45264</v>
      </c>
      <c r="E755" s="8" t="str">
        <f>IF(B755="Inactive", EDATE(D755,K755), "")</f>
        <v/>
      </c>
      <c r="F755" t="s">
        <v>10</v>
      </c>
      <c r="G755">
        <v>10.7</v>
      </c>
      <c r="H755" t="str" cm="1">
        <f t="array" ref="H755">_xlfn.IFS(G755&gt;=20,"20-25", G755&gt;=15,"15-20", G755&gt;=10,"10-15", G755&gt;=5,"5-10", G755&gt;=1,"1-5", G755&lt;1,"Less than 1")</f>
        <v>10-15</v>
      </c>
      <c r="I755">
        <v>2</v>
      </c>
      <c r="J755">
        <v>3</v>
      </c>
      <c r="K755" s="6">
        <v>5</v>
      </c>
      <c r="L755" s="2">
        <v>6.99</v>
      </c>
      <c r="M755" s="6">
        <v>19</v>
      </c>
      <c r="N755" t="str" cm="1">
        <f t="array" ref="N755">_xlfn.IFS(M755&gt;=50,"50-60 Days", M755&gt;=40,"40-50 Days", M755&gt;=30, "30-40 Days", M755&gt;=20, "20-30 Days", M755&gt;=10, "10-20 Days", M755&gt;=0, "0-10 Days")</f>
        <v>10-20 Days</v>
      </c>
    </row>
    <row r="756" spans="1:14">
      <c r="A756">
        <v>755</v>
      </c>
      <c r="B756" t="s">
        <v>28</v>
      </c>
      <c r="C756" s="5">
        <v>45134</v>
      </c>
      <c r="D756" s="8">
        <v>45134</v>
      </c>
      <c r="E756" s="8">
        <f>IF(B756="Inactive", EDATE(D756,K756), "")</f>
        <v>45500</v>
      </c>
      <c r="F756" t="s">
        <v>14</v>
      </c>
      <c r="G756">
        <v>3.7</v>
      </c>
      <c r="H756" t="str" cm="1">
        <f t="array" ref="H756">_xlfn.IFS(G756&gt;=20,"20-25", G756&gt;=15,"15-20", G756&gt;=10,"10-15", G756&gt;=5,"5-10", G756&gt;=1,"1-5", G756&lt;1,"Less than 1")</f>
        <v>1-5</v>
      </c>
      <c r="I756">
        <v>2</v>
      </c>
      <c r="J756">
        <v>4</v>
      </c>
      <c r="K756" s="6">
        <v>12</v>
      </c>
      <c r="L756" s="2">
        <v>3.99</v>
      </c>
      <c r="M756" s="6">
        <v>34</v>
      </c>
      <c r="N756" t="str" cm="1">
        <f t="array" ref="N756">_xlfn.IFS(M756&gt;=50,"50-60 Days", M756&gt;=40,"40-50 Days", M756&gt;=30, "30-40 Days", M756&gt;=20, "20-30 Days", M756&gt;=10, "10-20 Days", M756&gt;=0, "0-10 Days")</f>
        <v>30-40 Days</v>
      </c>
    </row>
    <row r="757" spans="1:14">
      <c r="A757">
        <v>756</v>
      </c>
      <c r="B757" t="s">
        <v>29</v>
      </c>
      <c r="C757" s="5">
        <v>45075</v>
      </c>
      <c r="D757" s="8">
        <v>45075</v>
      </c>
      <c r="E757" s="8" t="str">
        <f>IF(B757="Inactive", EDATE(D757,K757), "")</f>
        <v/>
      </c>
      <c r="F757" t="s">
        <v>12</v>
      </c>
      <c r="G757">
        <v>17.399999999999999</v>
      </c>
      <c r="H757" t="str" cm="1">
        <f t="array" ref="H757">_xlfn.IFS(G757&gt;=20,"20-25", G757&gt;=15,"15-20", G757&gt;=10,"10-15", G757&gt;=5,"5-10", G757&gt;=1,"1-5", G757&lt;1,"Less than 1")</f>
        <v>15-20</v>
      </c>
      <c r="I757">
        <v>8</v>
      </c>
      <c r="J757">
        <v>1</v>
      </c>
      <c r="K757" s="6">
        <v>7</v>
      </c>
      <c r="L757" s="2">
        <v>1.99</v>
      </c>
      <c r="M757" s="6">
        <v>27</v>
      </c>
      <c r="N757" t="str" cm="1">
        <f t="array" ref="N757">_xlfn.IFS(M757&gt;=50,"50-60 Days", M757&gt;=40,"40-50 Days", M757&gt;=30, "30-40 Days", M757&gt;=20, "20-30 Days", M757&gt;=10, "10-20 Days", M757&gt;=0, "0-10 Days")</f>
        <v>20-30 Days</v>
      </c>
    </row>
    <row r="758" spans="1:14">
      <c r="A758">
        <v>757</v>
      </c>
      <c r="B758" t="s">
        <v>28</v>
      </c>
      <c r="C758" s="5">
        <v>45115</v>
      </c>
      <c r="D758" s="8">
        <v>45115</v>
      </c>
      <c r="E758" s="8">
        <f>IF(B758="Inactive", EDATE(D758,K758), "")</f>
        <v>45238</v>
      </c>
      <c r="F758" t="s">
        <v>10</v>
      </c>
      <c r="G758">
        <v>8.3000000000000007</v>
      </c>
      <c r="H758" t="str" cm="1">
        <f t="array" ref="H758">_xlfn.IFS(G758&gt;=20,"20-25", G758&gt;=15,"15-20", G758&gt;=10,"10-15", G758&gt;=5,"5-10", G758&gt;=1,"1-5", G758&lt;1,"Less than 1")</f>
        <v>5-10</v>
      </c>
      <c r="I758">
        <v>8</v>
      </c>
      <c r="J758">
        <v>4</v>
      </c>
      <c r="K758" s="6">
        <v>4</v>
      </c>
      <c r="L758" s="2">
        <v>6.99</v>
      </c>
      <c r="M758" s="6">
        <v>60</v>
      </c>
      <c r="N758" t="str" cm="1">
        <f t="array" ref="N758">_xlfn.IFS(M758&gt;=50,"50-60 Days", M758&gt;=40,"40-50 Days", M758&gt;=30, "30-40 Days", M758&gt;=20, "20-30 Days", M758&gt;=10, "10-20 Days", M758&gt;=0, "0-10 Days")</f>
        <v>50-60 Days</v>
      </c>
    </row>
    <row r="759" spans="1:14">
      <c r="A759">
        <v>758</v>
      </c>
      <c r="B759" t="s">
        <v>28</v>
      </c>
      <c r="C759" s="5">
        <v>45579</v>
      </c>
      <c r="D759" s="8">
        <v>45579</v>
      </c>
      <c r="E759" s="8">
        <f>IF(B759="Inactive", EDATE(D759,K759), "")</f>
        <v>45702</v>
      </c>
      <c r="F759" t="s">
        <v>14</v>
      </c>
      <c r="G759">
        <v>18.3</v>
      </c>
      <c r="H759" t="str" cm="1">
        <f t="array" ref="H759">_xlfn.IFS(G759&gt;=20,"20-25", G759&gt;=15,"15-20", G759&gt;=10,"10-15", G759&gt;=5,"5-10", G759&gt;=1,"1-5", G759&lt;1,"Less than 1")</f>
        <v>15-20</v>
      </c>
      <c r="I759">
        <v>5</v>
      </c>
      <c r="J759">
        <v>3</v>
      </c>
      <c r="K759" s="6">
        <v>4</v>
      </c>
      <c r="L759" s="2">
        <v>3.99</v>
      </c>
      <c r="M759" s="6">
        <v>26</v>
      </c>
      <c r="N759" t="str" cm="1">
        <f t="array" ref="N759">_xlfn.IFS(M759&gt;=50,"50-60 Days", M759&gt;=40,"40-50 Days", M759&gt;=30, "30-40 Days", M759&gt;=20, "20-30 Days", M759&gt;=10, "10-20 Days", M759&gt;=0, "0-10 Days")</f>
        <v>20-30 Days</v>
      </c>
    </row>
    <row r="760" spans="1:14">
      <c r="A760">
        <v>759</v>
      </c>
      <c r="B760" t="s">
        <v>28</v>
      </c>
      <c r="C760" s="5">
        <v>45553</v>
      </c>
      <c r="D760" s="8">
        <v>45553</v>
      </c>
      <c r="E760" s="8">
        <f>IF(B760="Inactive", EDATE(D760,K760), "")</f>
        <v>45734</v>
      </c>
      <c r="F760" t="s">
        <v>10</v>
      </c>
      <c r="G760">
        <v>4.2</v>
      </c>
      <c r="H760" t="str" cm="1">
        <f t="array" ref="H760">_xlfn.IFS(G760&gt;=20,"20-25", G760&gt;=15,"15-20", G760&gt;=10,"10-15", G760&gt;=5,"5-10", G760&gt;=1,"1-5", G760&lt;1,"Less than 1")</f>
        <v>1-5</v>
      </c>
      <c r="I760">
        <v>3</v>
      </c>
      <c r="J760">
        <v>0</v>
      </c>
      <c r="K760" s="6">
        <v>6</v>
      </c>
      <c r="L760" s="2">
        <v>6.99</v>
      </c>
      <c r="M760" s="6">
        <v>8</v>
      </c>
      <c r="N760" t="str" cm="1">
        <f t="array" ref="N760">_xlfn.IFS(M760&gt;=50,"50-60 Days", M760&gt;=40,"40-50 Days", M760&gt;=30, "30-40 Days", M760&gt;=20, "20-30 Days", M760&gt;=10, "10-20 Days", M760&gt;=0, "0-10 Days")</f>
        <v>0-10 Days</v>
      </c>
    </row>
    <row r="761" spans="1:14">
      <c r="A761">
        <v>760</v>
      </c>
      <c r="B761" t="s">
        <v>28</v>
      </c>
      <c r="C761" s="5">
        <v>44953</v>
      </c>
      <c r="D761" s="8">
        <v>44953</v>
      </c>
      <c r="E761" s="8">
        <f>IF(B761="Inactive", EDATE(D761,K761), "")</f>
        <v>45134</v>
      </c>
      <c r="F761" t="s">
        <v>10</v>
      </c>
      <c r="G761">
        <v>15.3</v>
      </c>
      <c r="H761" t="str" cm="1">
        <f t="array" ref="H761">_xlfn.IFS(G761&gt;=20,"20-25", G761&gt;=15,"15-20", G761&gt;=10,"10-15", G761&gt;=5,"5-10", G761&gt;=1,"1-5", G761&lt;1,"Less than 1")</f>
        <v>15-20</v>
      </c>
      <c r="I761">
        <v>3</v>
      </c>
      <c r="J761">
        <v>4</v>
      </c>
      <c r="K761" s="6">
        <v>6</v>
      </c>
      <c r="L761" s="2">
        <v>6.99</v>
      </c>
      <c r="M761" s="6">
        <v>14</v>
      </c>
      <c r="N761" t="str" cm="1">
        <f t="array" ref="N761">_xlfn.IFS(M761&gt;=50,"50-60 Days", M761&gt;=40,"40-50 Days", M761&gt;=30, "30-40 Days", M761&gt;=20, "20-30 Days", M761&gt;=10, "10-20 Days", M761&gt;=0, "0-10 Days")</f>
        <v>10-20 Days</v>
      </c>
    </row>
    <row r="762" spans="1:14">
      <c r="A762">
        <v>761</v>
      </c>
      <c r="B762" t="s">
        <v>29</v>
      </c>
      <c r="C762" s="5">
        <v>45407</v>
      </c>
      <c r="D762" s="8">
        <v>45407</v>
      </c>
      <c r="E762" s="8" t="str">
        <f>IF(B762="Inactive", EDATE(D762,K762), "")</f>
        <v/>
      </c>
      <c r="F762" t="s">
        <v>14</v>
      </c>
      <c r="G762">
        <v>17.399999999999999</v>
      </c>
      <c r="H762" t="str" cm="1">
        <f t="array" ref="H762">_xlfn.IFS(G762&gt;=20,"20-25", G762&gt;=15,"15-20", G762&gt;=10,"10-15", G762&gt;=5,"5-10", G762&gt;=1,"1-5", G762&lt;1,"Less than 1")</f>
        <v>15-20</v>
      </c>
      <c r="I762">
        <v>7</v>
      </c>
      <c r="J762">
        <v>1</v>
      </c>
      <c r="K762" s="6">
        <v>2</v>
      </c>
      <c r="L762" s="2">
        <v>3.99</v>
      </c>
      <c r="M762" s="6">
        <v>32</v>
      </c>
      <c r="N762" t="str" cm="1">
        <f t="array" ref="N762">_xlfn.IFS(M762&gt;=50,"50-60 Days", M762&gt;=40,"40-50 Days", M762&gt;=30, "30-40 Days", M762&gt;=20, "20-30 Days", M762&gt;=10, "10-20 Days", M762&gt;=0, "0-10 Days")</f>
        <v>30-40 Days</v>
      </c>
    </row>
    <row r="763" spans="1:14">
      <c r="A763">
        <v>762</v>
      </c>
      <c r="B763" t="s">
        <v>28</v>
      </c>
      <c r="C763" s="5">
        <v>45124</v>
      </c>
      <c r="D763" s="8">
        <v>45124</v>
      </c>
      <c r="E763" s="8">
        <f>IF(B763="Inactive", EDATE(D763,K763), "")</f>
        <v>45368</v>
      </c>
      <c r="F763" t="s">
        <v>10</v>
      </c>
      <c r="G763">
        <v>5</v>
      </c>
      <c r="H763" t="str" cm="1">
        <f t="array" ref="H763">_xlfn.IFS(G763&gt;=20,"20-25", G763&gt;=15,"15-20", G763&gt;=10,"10-15", G763&gt;=5,"5-10", G763&gt;=1,"1-5", G763&lt;1,"Less than 1")</f>
        <v>5-10</v>
      </c>
      <c r="I763">
        <v>6</v>
      </c>
      <c r="J763">
        <v>3</v>
      </c>
      <c r="K763" s="6">
        <v>8</v>
      </c>
      <c r="L763" s="2">
        <v>6.99</v>
      </c>
      <c r="M763" s="6">
        <v>30</v>
      </c>
      <c r="N763" t="str" cm="1">
        <f t="array" ref="N763">_xlfn.IFS(M763&gt;=50,"50-60 Days", M763&gt;=40,"40-50 Days", M763&gt;=30, "30-40 Days", M763&gt;=20, "20-30 Days", M763&gt;=10, "10-20 Days", M763&gt;=0, "0-10 Days")</f>
        <v>30-40 Days</v>
      </c>
    </row>
    <row r="764" spans="1:14">
      <c r="A764">
        <v>763</v>
      </c>
      <c r="B764" t="s">
        <v>28</v>
      </c>
      <c r="C764" s="5">
        <v>45614</v>
      </c>
      <c r="D764" s="8">
        <v>45614</v>
      </c>
      <c r="E764" s="8">
        <f>IF(B764="Inactive", EDATE(D764,K764), "")</f>
        <v>45644</v>
      </c>
      <c r="F764" t="s">
        <v>12</v>
      </c>
      <c r="G764">
        <v>10.5</v>
      </c>
      <c r="H764" t="str" cm="1">
        <f t="array" ref="H764">_xlfn.IFS(G764&gt;=20,"20-25", G764&gt;=15,"15-20", G764&gt;=10,"10-15", G764&gt;=5,"5-10", G764&gt;=1,"1-5", G764&lt;1,"Less than 1")</f>
        <v>10-15</v>
      </c>
      <c r="I764">
        <v>0</v>
      </c>
      <c r="J764">
        <v>2</v>
      </c>
      <c r="K764" s="6">
        <v>1</v>
      </c>
      <c r="L764" s="2">
        <v>1.99</v>
      </c>
      <c r="M764" s="6">
        <v>60</v>
      </c>
      <c r="N764" t="str" cm="1">
        <f t="array" ref="N764">_xlfn.IFS(M764&gt;=50,"50-60 Days", M764&gt;=40,"40-50 Days", M764&gt;=30, "30-40 Days", M764&gt;=20, "20-30 Days", M764&gt;=10, "10-20 Days", M764&gt;=0, "0-10 Days")</f>
        <v>50-60 Days</v>
      </c>
    </row>
    <row r="765" spans="1:14">
      <c r="A765">
        <v>764</v>
      </c>
      <c r="B765" t="s">
        <v>28</v>
      </c>
      <c r="C765" s="5">
        <v>45395</v>
      </c>
      <c r="D765" s="8">
        <v>45395</v>
      </c>
      <c r="E765" s="8">
        <f>IF(B765="Inactive", EDATE(D765,K765), "")</f>
        <v>45548</v>
      </c>
      <c r="F765" t="s">
        <v>12</v>
      </c>
      <c r="G765">
        <v>2.1</v>
      </c>
      <c r="H765" t="str" cm="1">
        <f t="array" ref="H765">_xlfn.IFS(G765&gt;=20,"20-25", G765&gt;=15,"15-20", G765&gt;=10,"10-15", G765&gt;=5,"5-10", G765&gt;=1,"1-5", G765&lt;1,"Less than 1")</f>
        <v>1-5</v>
      </c>
      <c r="I765">
        <v>7</v>
      </c>
      <c r="J765">
        <v>4</v>
      </c>
      <c r="K765" s="6">
        <v>5</v>
      </c>
      <c r="L765" s="2">
        <v>1.99</v>
      </c>
      <c r="M765" s="6">
        <v>31</v>
      </c>
      <c r="N765" t="str" cm="1">
        <f t="array" ref="N765">_xlfn.IFS(M765&gt;=50,"50-60 Days", M765&gt;=40,"40-50 Days", M765&gt;=30, "30-40 Days", M765&gt;=20, "20-30 Days", M765&gt;=10, "10-20 Days", M765&gt;=0, "0-10 Days")</f>
        <v>30-40 Days</v>
      </c>
    </row>
    <row r="766" spans="1:14">
      <c r="A766">
        <v>765</v>
      </c>
      <c r="B766" t="s">
        <v>29</v>
      </c>
      <c r="C766" s="5">
        <v>45247</v>
      </c>
      <c r="D766" s="8">
        <v>45247</v>
      </c>
      <c r="E766" s="8" t="str">
        <f>IF(B766="Inactive", EDATE(D766,K766), "")</f>
        <v/>
      </c>
      <c r="F766" t="s">
        <v>12</v>
      </c>
      <c r="G766">
        <v>10.4</v>
      </c>
      <c r="H766" t="str" cm="1">
        <f t="array" ref="H766">_xlfn.IFS(G766&gt;=20,"20-25", G766&gt;=15,"15-20", G766&gt;=10,"10-15", G766&gt;=5,"5-10", G766&gt;=1,"1-5", G766&lt;1,"Less than 1")</f>
        <v>10-15</v>
      </c>
      <c r="I766">
        <v>0</v>
      </c>
      <c r="J766">
        <v>4</v>
      </c>
      <c r="K766" s="6">
        <v>10</v>
      </c>
      <c r="L766" s="2">
        <v>1.99</v>
      </c>
      <c r="M766" s="6">
        <v>47</v>
      </c>
      <c r="N766" t="str" cm="1">
        <f t="array" ref="N766">_xlfn.IFS(M766&gt;=50,"50-60 Days", M766&gt;=40,"40-50 Days", M766&gt;=30, "30-40 Days", M766&gt;=20, "20-30 Days", M766&gt;=10, "10-20 Days", M766&gt;=0, "0-10 Days")</f>
        <v>40-50 Days</v>
      </c>
    </row>
    <row r="767" spans="1:14">
      <c r="A767">
        <v>766</v>
      </c>
      <c r="B767" t="s">
        <v>29</v>
      </c>
      <c r="C767" s="5">
        <v>44970</v>
      </c>
      <c r="D767" s="8">
        <v>44970</v>
      </c>
      <c r="E767" s="8" t="str">
        <f>IF(B767="Inactive", EDATE(D767,K767), "")</f>
        <v/>
      </c>
      <c r="F767" t="s">
        <v>14</v>
      </c>
      <c r="G767">
        <v>13.4</v>
      </c>
      <c r="H767" t="str" cm="1">
        <f t="array" ref="H767">_xlfn.IFS(G767&gt;=20,"20-25", G767&gt;=15,"15-20", G767&gt;=10,"10-15", G767&gt;=5,"5-10", G767&gt;=1,"1-5", G767&lt;1,"Less than 1")</f>
        <v>10-15</v>
      </c>
      <c r="I767">
        <v>0</v>
      </c>
      <c r="J767">
        <v>4</v>
      </c>
      <c r="K767" s="6">
        <v>12</v>
      </c>
      <c r="L767" s="2">
        <v>3.99</v>
      </c>
      <c r="M767" s="6">
        <v>6</v>
      </c>
      <c r="N767" t="str" cm="1">
        <f t="array" ref="N767">_xlfn.IFS(M767&gt;=50,"50-60 Days", M767&gt;=40,"40-50 Days", M767&gt;=30, "30-40 Days", M767&gt;=20, "20-30 Days", M767&gt;=10, "10-20 Days", M767&gt;=0, "0-10 Days")</f>
        <v>0-10 Days</v>
      </c>
    </row>
    <row r="768" spans="1:14">
      <c r="A768">
        <v>767</v>
      </c>
      <c r="B768" t="s">
        <v>28</v>
      </c>
      <c r="C768" s="5">
        <v>45572</v>
      </c>
      <c r="D768" s="8">
        <v>45572</v>
      </c>
      <c r="E768" s="8">
        <f>IF(B768="Inactive", EDATE(D768,K768), "")</f>
        <v>45937</v>
      </c>
      <c r="F768" t="s">
        <v>12</v>
      </c>
      <c r="G768">
        <v>13.7</v>
      </c>
      <c r="H768" t="str" cm="1">
        <f t="array" ref="H768">_xlfn.IFS(G768&gt;=20,"20-25", G768&gt;=15,"15-20", G768&gt;=10,"10-15", G768&gt;=5,"5-10", G768&gt;=1,"1-5", G768&lt;1,"Less than 1")</f>
        <v>10-15</v>
      </c>
      <c r="I768">
        <v>0</v>
      </c>
      <c r="J768">
        <v>4</v>
      </c>
      <c r="K768" s="6">
        <v>12</v>
      </c>
      <c r="L768" s="2">
        <v>1.99</v>
      </c>
      <c r="M768" s="6">
        <v>24</v>
      </c>
      <c r="N768" t="str" cm="1">
        <f t="array" ref="N768">_xlfn.IFS(M768&gt;=50,"50-60 Days", M768&gt;=40,"40-50 Days", M768&gt;=30, "30-40 Days", M768&gt;=20, "20-30 Days", M768&gt;=10, "10-20 Days", M768&gt;=0, "0-10 Days")</f>
        <v>20-30 Days</v>
      </c>
    </row>
    <row r="769" spans="1:14">
      <c r="A769">
        <v>768</v>
      </c>
      <c r="B769" t="s">
        <v>29</v>
      </c>
      <c r="C769" s="5">
        <v>45399</v>
      </c>
      <c r="D769" s="8">
        <v>45399</v>
      </c>
      <c r="E769" s="8" t="str">
        <f>IF(B769="Inactive", EDATE(D769,K769), "")</f>
        <v/>
      </c>
      <c r="F769" t="s">
        <v>12</v>
      </c>
      <c r="G769">
        <v>7.6</v>
      </c>
      <c r="H769" t="str" cm="1">
        <f t="array" ref="H769">_xlfn.IFS(G769&gt;=20,"20-25", G769&gt;=15,"15-20", G769&gt;=10,"10-15", G769&gt;=5,"5-10", G769&gt;=1,"1-5", G769&lt;1,"Less than 1")</f>
        <v>5-10</v>
      </c>
      <c r="I769">
        <v>6</v>
      </c>
      <c r="J769">
        <v>2</v>
      </c>
      <c r="K769" s="6">
        <v>5</v>
      </c>
      <c r="L769" s="2">
        <v>1.99</v>
      </c>
      <c r="M769" s="6">
        <v>49</v>
      </c>
      <c r="N769" t="str" cm="1">
        <f t="array" ref="N769">_xlfn.IFS(M769&gt;=50,"50-60 Days", M769&gt;=40,"40-50 Days", M769&gt;=30, "30-40 Days", M769&gt;=20, "20-30 Days", M769&gt;=10, "10-20 Days", M769&gt;=0, "0-10 Days")</f>
        <v>40-50 Days</v>
      </c>
    </row>
    <row r="770" spans="1:14">
      <c r="A770">
        <v>769</v>
      </c>
      <c r="B770" t="s">
        <v>29</v>
      </c>
      <c r="C770" s="5">
        <v>45401</v>
      </c>
      <c r="D770" s="8">
        <v>45401</v>
      </c>
      <c r="E770" s="8" t="str">
        <f>IF(B770="Inactive", EDATE(D770,K770), "")</f>
        <v/>
      </c>
      <c r="F770" t="s">
        <v>12</v>
      </c>
      <c r="G770">
        <v>7.7</v>
      </c>
      <c r="H770" t="str" cm="1">
        <f t="array" ref="H770">_xlfn.IFS(G770&gt;=20,"20-25", G770&gt;=15,"15-20", G770&gt;=10,"10-15", G770&gt;=5,"5-10", G770&gt;=1,"1-5", G770&lt;1,"Less than 1")</f>
        <v>5-10</v>
      </c>
      <c r="I770">
        <v>0</v>
      </c>
      <c r="J770">
        <v>5</v>
      </c>
      <c r="K770" s="6">
        <v>10</v>
      </c>
      <c r="L770" s="2">
        <v>1.99</v>
      </c>
      <c r="M770" s="6">
        <v>33</v>
      </c>
      <c r="N770" t="str" cm="1">
        <f t="array" ref="N770">_xlfn.IFS(M770&gt;=50,"50-60 Days", M770&gt;=40,"40-50 Days", M770&gt;=30, "30-40 Days", M770&gt;=20, "20-30 Days", M770&gt;=10, "10-20 Days", M770&gt;=0, "0-10 Days")</f>
        <v>30-40 Days</v>
      </c>
    </row>
    <row r="771" spans="1:14">
      <c r="A771">
        <v>770</v>
      </c>
      <c r="B771" t="s">
        <v>29</v>
      </c>
      <c r="C771" s="5">
        <v>45639</v>
      </c>
      <c r="D771" s="8">
        <v>45639</v>
      </c>
      <c r="E771" s="8" t="str">
        <f>IF(B771="Inactive", EDATE(D771,K771), "")</f>
        <v/>
      </c>
      <c r="F771" t="s">
        <v>10</v>
      </c>
      <c r="G771">
        <v>2.7</v>
      </c>
      <c r="H771" t="str" cm="1">
        <f t="array" ref="H771">_xlfn.IFS(G771&gt;=20,"20-25", G771&gt;=15,"15-20", G771&gt;=10,"10-15", G771&gt;=5,"5-10", G771&gt;=1,"1-5", G771&lt;1,"Less than 1")</f>
        <v>1-5</v>
      </c>
      <c r="I771">
        <v>8</v>
      </c>
      <c r="J771">
        <v>0</v>
      </c>
      <c r="K771" s="6">
        <v>10</v>
      </c>
      <c r="L771" s="2">
        <v>6.99</v>
      </c>
      <c r="M771" s="6">
        <v>11</v>
      </c>
      <c r="N771" t="str" cm="1">
        <f t="array" ref="N771">_xlfn.IFS(M771&gt;=50,"50-60 Days", M771&gt;=40,"40-50 Days", M771&gt;=30, "30-40 Days", M771&gt;=20, "20-30 Days", M771&gt;=10, "10-20 Days", M771&gt;=0, "0-10 Days")</f>
        <v>10-20 Days</v>
      </c>
    </row>
    <row r="772" spans="1:14">
      <c r="A772">
        <v>771</v>
      </c>
      <c r="B772" t="s">
        <v>28</v>
      </c>
      <c r="C772" s="5">
        <v>45531</v>
      </c>
      <c r="D772" s="8">
        <v>45531</v>
      </c>
      <c r="E772" s="8">
        <f>IF(B772="Inactive", EDATE(D772,K772), "")</f>
        <v>45623</v>
      </c>
      <c r="F772" t="s">
        <v>10</v>
      </c>
      <c r="G772">
        <v>10.1</v>
      </c>
      <c r="H772" t="str" cm="1">
        <f t="array" ref="H772">_xlfn.IFS(G772&gt;=20,"20-25", G772&gt;=15,"15-20", G772&gt;=10,"10-15", G772&gt;=5,"5-10", G772&gt;=1,"1-5", G772&lt;1,"Less than 1")</f>
        <v>10-15</v>
      </c>
      <c r="I772">
        <v>5</v>
      </c>
      <c r="J772">
        <v>3</v>
      </c>
      <c r="K772" s="6">
        <v>3</v>
      </c>
      <c r="L772" s="2">
        <v>6.99</v>
      </c>
      <c r="M772" s="6">
        <v>1</v>
      </c>
      <c r="N772" t="str" cm="1">
        <f t="array" ref="N772">_xlfn.IFS(M772&gt;=50,"50-60 Days", M772&gt;=40,"40-50 Days", M772&gt;=30, "30-40 Days", M772&gt;=20, "20-30 Days", M772&gt;=10, "10-20 Days", M772&gt;=0, "0-10 Days")</f>
        <v>0-10 Days</v>
      </c>
    </row>
    <row r="773" spans="1:14">
      <c r="A773">
        <v>772</v>
      </c>
      <c r="B773" t="s">
        <v>29</v>
      </c>
      <c r="C773" s="5">
        <v>45655</v>
      </c>
      <c r="D773" s="8">
        <v>45655</v>
      </c>
      <c r="E773" s="8" t="str">
        <f>IF(B773="Inactive", EDATE(D773,K773), "")</f>
        <v/>
      </c>
      <c r="F773" t="s">
        <v>10</v>
      </c>
      <c r="G773">
        <v>22.1</v>
      </c>
      <c r="H773" t="str" cm="1">
        <f t="array" ref="H773">_xlfn.IFS(G773&gt;=20,"20-25", G773&gt;=15,"15-20", G773&gt;=10,"10-15", G773&gt;=5,"5-10", G773&gt;=1,"1-5", G773&lt;1,"Less than 1")</f>
        <v>20-25</v>
      </c>
      <c r="I773">
        <v>1</v>
      </c>
      <c r="J773">
        <v>2</v>
      </c>
      <c r="K773" s="6">
        <v>5</v>
      </c>
      <c r="L773" s="2">
        <v>6.99</v>
      </c>
      <c r="M773" s="6">
        <v>20</v>
      </c>
      <c r="N773" t="str" cm="1">
        <f t="array" ref="N773">_xlfn.IFS(M773&gt;=50,"50-60 Days", M773&gt;=40,"40-50 Days", M773&gt;=30, "30-40 Days", M773&gt;=20, "20-30 Days", M773&gt;=10, "10-20 Days", M773&gt;=0, "0-10 Days")</f>
        <v>20-30 Days</v>
      </c>
    </row>
    <row r="774" spans="1:14">
      <c r="A774">
        <v>773</v>
      </c>
      <c r="B774" t="s">
        <v>28</v>
      </c>
      <c r="C774" s="5">
        <v>45651</v>
      </c>
      <c r="D774" s="8">
        <v>45651</v>
      </c>
      <c r="E774" s="8">
        <f>IF(B774="Inactive", EDATE(D774,K774), "")</f>
        <v>45741</v>
      </c>
      <c r="F774" t="s">
        <v>12</v>
      </c>
      <c r="G774">
        <v>2.7</v>
      </c>
      <c r="H774" t="str" cm="1">
        <f t="array" ref="H774">_xlfn.IFS(G774&gt;=20,"20-25", G774&gt;=15,"15-20", G774&gt;=10,"10-15", G774&gt;=5,"5-10", G774&gt;=1,"1-5", G774&lt;1,"Less than 1")</f>
        <v>1-5</v>
      </c>
      <c r="I774">
        <v>7</v>
      </c>
      <c r="J774">
        <v>5</v>
      </c>
      <c r="K774" s="6">
        <v>3</v>
      </c>
      <c r="L774" s="2">
        <v>1.99</v>
      </c>
      <c r="M774" s="6">
        <v>23</v>
      </c>
      <c r="N774" t="str" cm="1">
        <f t="array" ref="N774">_xlfn.IFS(M774&gt;=50,"50-60 Days", M774&gt;=40,"40-50 Days", M774&gt;=30, "30-40 Days", M774&gt;=20, "20-30 Days", M774&gt;=10, "10-20 Days", M774&gt;=0, "0-10 Days")</f>
        <v>20-30 Days</v>
      </c>
    </row>
    <row r="775" spans="1:14">
      <c r="A775">
        <v>774</v>
      </c>
      <c r="B775" t="s">
        <v>28</v>
      </c>
      <c r="C775" s="5">
        <v>45101</v>
      </c>
      <c r="D775" s="8">
        <v>45101</v>
      </c>
      <c r="E775" s="8">
        <f>IF(B775="Inactive", EDATE(D775,K775), "")</f>
        <v>45436</v>
      </c>
      <c r="F775" t="s">
        <v>14</v>
      </c>
      <c r="G775">
        <v>15.5</v>
      </c>
      <c r="H775" t="str" cm="1">
        <f t="array" ref="H775">_xlfn.IFS(G775&gt;=20,"20-25", G775&gt;=15,"15-20", G775&gt;=10,"10-15", G775&gt;=5,"5-10", G775&gt;=1,"1-5", G775&lt;1,"Less than 1")</f>
        <v>15-20</v>
      </c>
      <c r="I775">
        <v>2</v>
      </c>
      <c r="J775">
        <v>3</v>
      </c>
      <c r="K775" s="6">
        <v>11</v>
      </c>
      <c r="L775" s="2">
        <v>3.99</v>
      </c>
      <c r="M775" s="6">
        <v>35</v>
      </c>
      <c r="N775" t="str" cm="1">
        <f t="array" ref="N775">_xlfn.IFS(M775&gt;=50,"50-60 Days", M775&gt;=40,"40-50 Days", M775&gt;=30, "30-40 Days", M775&gt;=20, "20-30 Days", M775&gt;=10, "10-20 Days", M775&gt;=0, "0-10 Days")</f>
        <v>30-40 Days</v>
      </c>
    </row>
    <row r="776" spans="1:14">
      <c r="A776">
        <v>775</v>
      </c>
      <c r="B776" t="s">
        <v>29</v>
      </c>
      <c r="C776" s="5">
        <v>45356</v>
      </c>
      <c r="D776" s="8">
        <v>45356</v>
      </c>
      <c r="E776" s="8" t="str">
        <f>IF(B776="Inactive", EDATE(D776,K776), "")</f>
        <v/>
      </c>
      <c r="F776" t="s">
        <v>14</v>
      </c>
      <c r="G776">
        <v>4.5</v>
      </c>
      <c r="H776" t="str" cm="1">
        <f t="array" ref="H776">_xlfn.IFS(G776&gt;=20,"20-25", G776&gt;=15,"15-20", G776&gt;=10,"10-15", G776&gt;=5,"5-10", G776&gt;=1,"1-5", G776&lt;1,"Less than 1")</f>
        <v>1-5</v>
      </c>
      <c r="I776">
        <v>2</v>
      </c>
      <c r="J776">
        <v>1</v>
      </c>
      <c r="K776" s="6">
        <v>4</v>
      </c>
      <c r="L776" s="2">
        <v>3.99</v>
      </c>
      <c r="M776" s="6">
        <v>49</v>
      </c>
      <c r="N776" t="str" cm="1">
        <f t="array" ref="N776">_xlfn.IFS(M776&gt;=50,"50-60 Days", M776&gt;=40,"40-50 Days", M776&gt;=30, "30-40 Days", M776&gt;=20, "20-30 Days", M776&gt;=10, "10-20 Days", M776&gt;=0, "0-10 Days")</f>
        <v>40-50 Days</v>
      </c>
    </row>
    <row r="777" spans="1:14">
      <c r="A777">
        <v>776</v>
      </c>
      <c r="B777" t="s">
        <v>28</v>
      </c>
      <c r="C777" s="5">
        <v>45061</v>
      </c>
      <c r="D777" s="8">
        <v>45061</v>
      </c>
      <c r="E777" s="8">
        <f>IF(B777="Inactive", EDATE(D777,K777), "")</f>
        <v>45275</v>
      </c>
      <c r="F777" t="s">
        <v>14</v>
      </c>
      <c r="G777">
        <v>18.399999999999999</v>
      </c>
      <c r="H777" t="str" cm="1">
        <f t="array" ref="H777">_xlfn.IFS(G777&gt;=20,"20-25", G777&gt;=15,"15-20", G777&gt;=10,"10-15", G777&gt;=5,"5-10", G777&gt;=1,"1-5", G777&lt;1,"Less than 1")</f>
        <v>15-20</v>
      </c>
      <c r="I777">
        <v>7</v>
      </c>
      <c r="J777">
        <v>2</v>
      </c>
      <c r="K777" s="6">
        <v>7</v>
      </c>
      <c r="L777" s="2">
        <v>3.99</v>
      </c>
      <c r="M777" s="6">
        <v>40</v>
      </c>
      <c r="N777" t="str" cm="1">
        <f t="array" ref="N777">_xlfn.IFS(M777&gt;=50,"50-60 Days", M777&gt;=40,"40-50 Days", M777&gt;=30, "30-40 Days", M777&gt;=20, "20-30 Days", M777&gt;=10, "10-20 Days", M777&gt;=0, "0-10 Days")</f>
        <v>40-50 Days</v>
      </c>
    </row>
    <row r="778" spans="1:14">
      <c r="A778">
        <v>777</v>
      </c>
      <c r="B778" t="s">
        <v>28</v>
      </c>
      <c r="C778" s="5">
        <v>45437</v>
      </c>
      <c r="D778" s="8">
        <v>45437</v>
      </c>
      <c r="E778" s="8">
        <f>IF(B778="Inactive", EDATE(D778,K778), "")</f>
        <v>45468</v>
      </c>
      <c r="F778" t="s">
        <v>12</v>
      </c>
      <c r="G778">
        <v>15.8</v>
      </c>
      <c r="H778" t="str" cm="1">
        <f t="array" ref="H778">_xlfn.IFS(G778&gt;=20,"20-25", G778&gt;=15,"15-20", G778&gt;=10,"10-15", G778&gt;=5,"5-10", G778&gt;=1,"1-5", G778&lt;1,"Less than 1")</f>
        <v>15-20</v>
      </c>
      <c r="I778">
        <v>4</v>
      </c>
      <c r="J778">
        <v>0</v>
      </c>
      <c r="K778" s="6">
        <v>1</v>
      </c>
      <c r="L778" s="2">
        <v>1.99</v>
      </c>
      <c r="M778" s="6">
        <v>29</v>
      </c>
      <c r="N778" t="str" cm="1">
        <f t="array" ref="N778">_xlfn.IFS(M778&gt;=50,"50-60 Days", M778&gt;=40,"40-50 Days", M778&gt;=30, "30-40 Days", M778&gt;=20, "20-30 Days", M778&gt;=10, "10-20 Days", M778&gt;=0, "0-10 Days")</f>
        <v>20-30 Days</v>
      </c>
    </row>
    <row r="779" spans="1:14">
      <c r="A779">
        <v>778</v>
      </c>
      <c r="B779" t="s">
        <v>29</v>
      </c>
      <c r="C779" s="5">
        <v>45414</v>
      </c>
      <c r="D779" s="8">
        <v>45414</v>
      </c>
      <c r="E779" s="8" t="str">
        <f>IF(B779="Inactive", EDATE(D779,K779), "")</f>
        <v/>
      </c>
      <c r="F779" t="s">
        <v>10</v>
      </c>
      <c r="G779">
        <v>15.4</v>
      </c>
      <c r="H779" t="str" cm="1">
        <f t="array" ref="H779">_xlfn.IFS(G779&gt;=20,"20-25", G779&gt;=15,"15-20", G779&gt;=10,"10-15", G779&gt;=5,"5-10", G779&gt;=1,"1-5", G779&lt;1,"Less than 1")</f>
        <v>15-20</v>
      </c>
      <c r="I779">
        <v>7</v>
      </c>
      <c r="J779">
        <v>1</v>
      </c>
      <c r="K779" s="6">
        <v>1</v>
      </c>
      <c r="L779" s="2">
        <v>6.99</v>
      </c>
      <c r="M779" s="6">
        <v>13</v>
      </c>
      <c r="N779" t="str" cm="1">
        <f t="array" ref="N779">_xlfn.IFS(M779&gt;=50,"50-60 Days", M779&gt;=40,"40-50 Days", M779&gt;=30, "30-40 Days", M779&gt;=20, "20-30 Days", M779&gt;=10, "10-20 Days", M779&gt;=0, "0-10 Days")</f>
        <v>10-20 Days</v>
      </c>
    </row>
    <row r="780" spans="1:14">
      <c r="A780">
        <v>779</v>
      </c>
      <c r="B780" t="s">
        <v>29</v>
      </c>
      <c r="C780" s="5">
        <v>45561</v>
      </c>
      <c r="D780" s="8">
        <v>45561</v>
      </c>
      <c r="E780" s="8" t="str">
        <f>IF(B780="Inactive", EDATE(D780,K780), "")</f>
        <v/>
      </c>
      <c r="F780" t="s">
        <v>14</v>
      </c>
      <c r="G780">
        <v>11.3</v>
      </c>
      <c r="H780" t="str" cm="1">
        <f t="array" ref="H780">_xlfn.IFS(G780&gt;=20,"20-25", G780&gt;=15,"15-20", G780&gt;=10,"10-15", G780&gt;=5,"5-10", G780&gt;=1,"1-5", G780&lt;1,"Less than 1")</f>
        <v>10-15</v>
      </c>
      <c r="I780">
        <v>0</v>
      </c>
      <c r="J780">
        <v>1</v>
      </c>
      <c r="K780" s="6">
        <v>9</v>
      </c>
      <c r="L780" s="2">
        <v>3.99</v>
      </c>
      <c r="M780" s="6">
        <v>56</v>
      </c>
      <c r="N780" t="str" cm="1">
        <f t="array" ref="N780">_xlfn.IFS(M780&gt;=50,"50-60 Days", M780&gt;=40,"40-50 Days", M780&gt;=30, "30-40 Days", M780&gt;=20, "20-30 Days", M780&gt;=10, "10-20 Days", M780&gt;=0, "0-10 Days")</f>
        <v>50-60 Days</v>
      </c>
    </row>
    <row r="781" spans="1:14">
      <c r="A781">
        <v>780</v>
      </c>
      <c r="B781" t="s">
        <v>29</v>
      </c>
      <c r="C781" s="5">
        <v>45595</v>
      </c>
      <c r="D781" s="8">
        <v>45595</v>
      </c>
      <c r="E781" s="8" t="str">
        <f>IF(B781="Inactive", EDATE(D781,K781), "")</f>
        <v/>
      </c>
      <c r="F781" t="s">
        <v>10</v>
      </c>
      <c r="G781">
        <v>20.6</v>
      </c>
      <c r="H781" t="str" cm="1">
        <f t="array" ref="H781">_xlfn.IFS(G781&gt;=20,"20-25", G781&gt;=15,"15-20", G781&gt;=10,"10-15", G781&gt;=5,"5-10", G781&gt;=1,"1-5", G781&lt;1,"Less than 1")</f>
        <v>20-25</v>
      </c>
      <c r="I781">
        <v>3</v>
      </c>
      <c r="J781">
        <v>0</v>
      </c>
      <c r="K781" s="6">
        <v>12</v>
      </c>
      <c r="L781" s="2">
        <v>6.99</v>
      </c>
      <c r="M781" s="6">
        <v>11</v>
      </c>
      <c r="N781" t="str" cm="1">
        <f t="array" ref="N781">_xlfn.IFS(M781&gt;=50,"50-60 Days", M781&gt;=40,"40-50 Days", M781&gt;=30, "30-40 Days", M781&gt;=20, "20-30 Days", M781&gt;=10, "10-20 Days", M781&gt;=0, "0-10 Days")</f>
        <v>10-20 Days</v>
      </c>
    </row>
    <row r="782" spans="1:14">
      <c r="A782">
        <v>781</v>
      </c>
      <c r="B782" t="s">
        <v>28</v>
      </c>
      <c r="C782" s="5">
        <v>45232</v>
      </c>
      <c r="D782" s="8">
        <v>45232</v>
      </c>
      <c r="E782" s="8">
        <f>IF(B782="Inactive", EDATE(D782,K782), "")</f>
        <v>45262</v>
      </c>
      <c r="F782" t="s">
        <v>14</v>
      </c>
      <c r="G782">
        <v>4.0999999999999996</v>
      </c>
      <c r="H782" t="str" cm="1">
        <f t="array" ref="H782">_xlfn.IFS(G782&gt;=20,"20-25", G782&gt;=15,"15-20", G782&gt;=10,"10-15", G782&gt;=5,"5-10", G782&gt;=1,"1-5", G782&lt;1,"Less than 1")</f>
        <v>1-5</v>
      </c>
      <c r="I782">
        <v>0</v>
      </c>
      <c r="J782">
        <v>5</v>
      </c>
      <c r="K782" s="6">
        <v>1</v>
      </c>
      <c r="L782" s="2">
        <v>3.99</v>
      </c>
      <c r="M782" s="6">
        <v>36</v>
      </c>
      <c r="N782" t="str" cm="1">
        <f t="array" ref="N782">_xlfn.IFS(M782&gt;=50,"50-60 Days", M782&gt;=40,"40-50 Days", M782&gt;=30, "30-40 Days", M782&gt;=20, "20-30 Days", M782&gt;=10, "10-20 Days", M782&gt;=0, "0-10 Days")</f>
        <v>30-40 Days</v>
      </c>
    </row>
    <row r="783" spans="1:14">
      <c r="A783">
        <v>782</v>
      </c>
      <c r="B783" t="s">
        <v>29</v>
      </c>
      <c r="C783" s="5">
        <v>45552</v>
      </c>
      <c r="D783" s="8">
        <v>45552</v>
      </c>
      <c r="E783" s="8" t="str">
        <f>IF(B783="Inactive", EDATE(D783,K783), "")</f>
        <v/>
      </c>
      <c r="F783" t="s">
        <v>14</v>
      </c>
      <c r="G783">
        <v>1.7</v>
      </c>
      <c r="H783" t="str" cm="1">
        <f t="array" ref="H783">_xlfn.IFS(G783&gt;=20,"20-25", G783&gt;=15,"15-20", G783&gt;=10,"10-15", G783&gt;=5,"5-10", G783&gt;=1,"1-5", G783&lt;1,"Less than 1")</f>
        <v>1-5</v>
      </c>
      <c r="I783">
        <v>6</v>
      </c>
      <c r="J783">
        <v>1</v>
      </c>
      <c r="K783" s="6">
        <v>2</v>
      </c>
      <c r="L783" s="2">
        <v>3.99</v>
      </c>
      <c r="M783" s="6">
        <v>10</v>
      </c>
      <c r="N783" t="str" cm="1">
        <f t="array" ref="N783">_xlfn.IFS(M783&gt;=50,"50-60 Days", M783&gt;=40,"40-50 Days", M783&gt;=30, "30-40 Days", M783&gt;=20, "20-30 Days", M783&gt;=10, "10-20 Days", M783&gt;=0, "0-10 Days")</f>
        <v>10-20 Days</v>
      </c>
    </row>
    <row r="784" spans="1:14">
      <c r="A784">
        <v>783</v>
      </c>
      <c r="B784" t="s">
        <v>28</v>
      </c>
      <c r="C784" s="5">
        <v>44963</v>
      </c>
      <c r="D784" s="8">
        <v>44963</v>
      </c>
      <c r="E784" s="8">
        <f>IF(B784="Inactive", EDATE(D784,K784), "")</f>
        <v>45328</v>
      </c>
      <c r="F784" t="s">
        <v>10</v>
      </c>
      <c r="G784">
        <v>4.8</v>
      </c>
      <c r="H784" t="str" cm="1">
        <f t="array" ref="H784">_xlfn.IFS(G784&gt;=20,"20-25", G784&gt;=15,"15-20", G784&gt;=10,"10-15", G784&gt;=5,"5-10", G784&gt;=1,"1-5", G784&lt;1,"Less than 1")</f>
        <v>1-5</v>
      </c>
      <c r="I784">
        <v>7</v>
      </c>
      <c r="J784">
        <v>5</v>
      </c>
      <c r="K784" s="6">
        <v>12</v>
      </c>
      <c r="L784" s="2">
        <v>6.99</v>
      </c>
      <c r="M784" s="6">
        <v>37</v>
      </c>
      <c r="N784" t="str" cm="1">
        <f t="array" ref="N784">_xlfn.IFS(M784&gt;=50,"50-60 Days", M784&gt;=40,"40-50 Days", M784&gt;=30, "30-40 Days", M784&gt;=20, "20-30 Days", M784&gt;=10, "10-20 Days", M784&gt;=0, "0-10 Days")</f>
        <v>30-40 Days</v>
      </c>
    </row>
    <row r="785" spans="1:14">
      <c r="A785">
        <v>784</v>
      </c>
      <c r="B785" t="s">
        <v>28</v>
      </c>
      <c r="C785" s="5">
        <v>45490</v>
      </c>
      <c r="D785" s="8">
        <v>45490</v>
      </c>
      <c r="E785" s="8">
        <f>IF(B785="Inactive", EDATE(D785,K785), "")</f>
        <v>45705</v>
      </c>
      <c r="F785" t="s">
        <v>12</v>
      </c>
      <c r="G785">
        <v>8.4</v>
      </c>
      <c r="H785" t="str" cm="1">
        <f t="array" ref="H785">_xlfn.IFS(G785&gt;=20,"20-25", G785&gt;=15,"15-20", G785&gt;=10,"10-15", G785&gt;=5,"5-10", G785&gt;=1,"1-5", G785&lt;1,"Less than 1")</f>
        <v>5-10</v>
      </c>
      <c r="I785">
        <v>6</v>
      </c>
      <c r="J785">
        <v>0</v>
      </c>
      <c r="K785" s="6">
        <v>7</v>
      </c>
      <c r="L785" s="2">
        <v>1.99</v>
      </c>
      <c r="M785" s="6">
        <v>48</v>
      </c>
      <c r="N785" t="str" cm="1">
        <f t="array" ref="N785">_xlfn.IFS(M785&gt;=50,"50-60 Days", M785&gt;=40,"40-50 Days", M785&gt;=30, "30-40 Days", M785&gt;=20, "20-30 Days", M785&gt;=10, "10-20 Days", M785&gt;=0, "0-10 Days")</f>
        <v>40-50 Days</v>
      </c>
    </row>
    <row r="786" spans="1:14">
      <c r="A786">
        <v>785</v>
      </c>
      <c r="B786" t="s">
        <v>28</v>
      </c>
      <c r="C786" s="5">
        <v>45466</v>
      </c>
      <c r="D786" s="8">
        <v>45466</v>
      </c>
      <c r="E786" s="8">
        <f>IF(B786="Inactive", EDATE(D786,K786), "")</f>
        <v>45680</v>
      </c>
      <c r="F786" t="s">
        <v>12</v>
      </c>
      <c r="G786">
        <v>12</v>
      </c>
      <c r="H786" t="str" cm="1">
        <f t="array" ref="H786">_xlfn.IFS(G786&gt;=20,"20-25", G786&gt;=15,"15-20", G786&gt;=10,"10-15", G786&gt;=5,"5-10", G786&gt;=1,"1-5", G786&lt;1,"Less than 1")</f>
        <v>10-15</v>
      </c>
      <c r="I786">
        <v>1</v>
      </c>
      <c r="J786">
        <v>5</v>
      </c>
      <c r="K786" s="6">
        <v>7</v>
      </c>
      <c r="L786" s="2">
        <v>1.99</v>
      </c>
      <c r="M786" s="6">
        <v>55</v>
      </c>
      <c r="N786" t="str" cm="1">
        <f t="array" ref="N786">_xlfn.IFS(M786&gt;=50,"50-60 Days", M786&gt;=40,"40-50 Days", M786&gt;=30, "30-40 Days", M786&gt;=20, "20-30 Days", M786&gt;=10, "10-20 Days", M786&gt;=0, "0-10 Days")</f>
        <v>50-60 Days</v>
      </c>
    </row>
    <row r="787" spans="1:14">
      <c r="A787">
        <v>786</v>
      </c>
      <c r="B787" t="s">
        <v>28</v>
      </c>
      <c r="C787" s="5">
        <v>45571</v>
      </c>
      <c r="D787" s="8">
        <v>45571</v>
      </c>
      <c r="E787" s="8">
        <f>IF(B787="Inactive", EDATE(D787,K787), "")</f>
        <v>45936</v>
      </c>
      <c r="F787" t="s">
        <v>14</v>
      </c>
      <c r="G787">
        <v>5.6</v>
      </c>
      <c r="H787" t="str" cm="1">
        <f t="array" ref="H787">_xlfn.IFS(G787&gt;=20,"20-25", G787&gt;=15,"15-20", G787&gt;=10,"10-15", G787&gt;=5,"5-10", G787&gt;=1,"1-5", G787&lt;1,"Less than 1")</f>
        <v>5-10</v>
      </c>
      <c r="I787">
        <v>3</v>
      </c>
      <c r="J787">
        <v>4</v>
      </c>
      <c r="K787" s="6">
        <v>12</v>
      </c>
      <c r="L787" s="2">
        <v>3.99</v>
      </c>
      <c r="M787" s="6">
        <v>3</v>
      </c>
      <c r="N787" t="str" cm="1">
        <f t="array" ref="N787">_xlfn.IFS(M787&gt;=50,"50-60 Days", M787&gt;=40,"40-50 Days", M787&gt;=30, "30-40 Days", M787&gt;=20, "20-30 Days", M787&gt;=10, "10-20 Days", M787&gt;=0, "0-10 Days")</f>
        <v>0-10 Days</v>
      </c>
    </row>
    <row r="788" spans="1:14">
      <c r="A788">
        <v>787</v>
      </c>
      <c r="B788" t="s">
        <v>29</v>
      </c>
      <c r="C788" s="5">
        <v>45192</v>
      </c>
      <c r="D788" s="8">
        <v>45192</v>
      </c>
      <c r="E788" s="8" t="str">
        <f>IF(B788="Inactive", EDATE(D788,K788), "")</f>
        <v/>
      </c>
      <c r="F788" t="s">
        <v>10</v>
      </c>
      <c r="G788">
        <v>12.3</v>
      </c>
      <c r="H788" t="str" cm="1">
        <f t="array" ref="H788">_xlfn.IFS(G788&gt;=20,"20-25", G788&gt;=15,"15-20", G788&gt;=10,"10-15", G788&gt;=5,"5-10", G788&gt;=1,"1-5", G788&lt;1,"Less than 1")</f>
        <v>10-15</v>
      </c>
      <c r="I788">
        <v>4</v>
      </c>
      <c r="J788">
        <v>3</v>
      </c>
      <c r="K788" s="6">
        <v>2</v>
      </c>
      <c r="L788" s="2">
        <v>6.99</v>
      </c>
      <c r="M788" s="6">
        <v>38</v>
      </c>
      <c r="N788" t="str" cm="1">
        <f t="array" ref="N788">_xlfn.IFS(M788&gt;=50,"50-60 Days", M788&gt;=40,"40-50 Days", M788&gt;=30, "30-40 Days", M788&gt;=20, "20-30 Days", M788&gt;=10, "10-20 Days", M788&gt;=0, "0-10 Days")</f>
        <v>30-40 Days</v>
      </c>
    </row>
    <row r="789" spans="1:14">
      <c r="A789">
        <v>788</v>
      </c>
      <c r="B789" t="s">
        <v>28</v>
      </c>
      <c r="C789" s="5">
        <v>45431</v>
      </c>
      <c r="D789" s="8">
        <v>45431</v>
      </c>
      <c r="E789" s="8">
        <f>IF(B789="Inactive", EDATE(D789,K789), "")</f>
        <v>45676</v>
      </c>
      <c r="F789" t="s">
        <v>10</v>
      </c>
      <c r="G789">
        <v>23.2</v>
      </c>
      <c r="H789" t="str" cm="1">
        <f t="array" ref="H789">_xlfn.IFS(G789&gt;=20,"20-25", G789&gt;=15,"15-20", G789&gt;=10,"10-15", G789&gt;=5,"5-10", G789&gt;=1,"1-5", G789&lt;1,"Less than 1")</f>
        <v>20-25</v>
      </c>
      <c r="I789">
        <v>7</v>
      </c>
      <c r="J789">
        <v>4</v>
      </c>
      <c r="K789" s="6">
        <v>8</v>
      </c>
      <c r="L789" s="2">
        <v>6.99</v>
      </c>
      <c r="M789" s="6">
        <v>46</v>
      </c>
      <c r="N789" t="str" cm="1">
        <f t="array" ref="N789">_xlfn.IFS(M789&gt;=50,"50-60 Days", M789&gt;=40,"40-50 Days", M789&gt;=30, "30-40 Days", M789&gt;=20, "20-30 Days", M789&gt;=10, "10-20 Days", M789&gt;=0, "0-10 Days")</f>
        <v>40-50 Days</v>
      </c>
    </row>
    <row r="790" spans="1:14">
      <c r="A790">
        <v>789</v>
      </c>
      <c r="B790" t="s">
        <v>28</v>
      </c>
      <c r="C790" s="5">
        <v>45567</v>
      </c>
      <c r="D790" s="8">
        <v>45567</v>
      </c>
      <c r="E790" s="8">
        <f>IF(B790="Inactive", EDATE(D790,K790), "")</f>
        <v>45718</v>
      </c>
      <c r="F790" t="s">
        <v>12</v>
      </c>
      <c r="G790">
        <v>17.899999999999999</v>
      </c>
      <c r="H790" t="str" cm="1">
        <f t="array" ref="H790">_xlfn.IFS(G790&gt;=20,"20-25", G790&gt;=15,"15-20", G790&gt;=10,"10-15", G790&gt;=5,"5-10", G790&gt;=1,"1-5", G790&lt;1,"Less than 1")</f>
        <v>15-20</v>
      </c>
      <c r="I790">
        <v>3</v>
      </c>
      <c r="J790">
        <v>0</v>
      </c>
      <c r="K790" s="6">
        <v>5</v>
      </c>
      <c r="L790" s="2">
        <v>1.99</v>
      </c>
      <c r="M790" s="6">
        <v>7</v>
      </c>
      <c r="N790" t="str" cm="1">
        <f t="array" ref="N790">_xlfn.IFS(M790&gt;=50,"50-60 Days", M790&gt;=40,"40-50 Days", M790&gt;=30, "30-40 Days", M790&gt;=20, "20-30 Days", M790&gt;=10, "10-20 Days", M790&gt;=0, "0-10 Days")</f>
        <v>0-10 Days</v>
      </c>
    </row>
    <row r="791" spans="1:14">
      <c r="A791">
        <v>790</v>
      </c>
      <c r="B791" t="s">
        <v>28</v>
      </c>
      <c r="C791" s="5">
        <v>45500</v>
      </c>
      <c r="D791" s="8">
        <v>45500</v>
      </c>
      <c r="E791" s="8">
        <f>IF(B791="Inactive", EDATE(D791,K791), "")</f>
        <v>45653</v>
      </c>
      <c r="F791" t="s">
        <v>12</v>
      </c>
      <c r="G791">
        <v>20.100000000000001</v>
      </c>
      <c r="H791" t="str" cm="1">
        <f t="array" ref="H791">_xlfn.IFS(G791&gt;=20,"20-25", G791&gt;=15,"15-20", G791&gt;=10,"10-15", G791&gt;=5,"5-10", G791&gt;=1,"1-5", G791&lt;1,"Less than 1")</f>
        <v>20-25</v>
      </c>
      <c r="I791">
        <v>6</v>
      </c>
      <c r="J791">
        <v>3</v>
      </c>
      <c r="K791" s="6">
        <v>5</v>
      </c>
      <c r="L791" s="2">
        <v>1.99</v>
      </c>
      <c r="M791" s="6">
        <v>2</v>
      </c>
      <c r="N791" t="str" cm="1">
        <f t="array" ref="N791">_xlfn.IFS(M791&gt;=50,"50-60 Days", M791&gt;=40,"40-50 Days", M791&gt;=30, "30-40 Days", M791&gt;=20, "20-30 Days", M791&gt;=10, "10-20 Days", M791&gt;=0, "0-10 Days")</f>
        <v>0-10 Days</v>
      </c>
    </row>
    <row r="792" spans="1:14">
      <c r="A792">
        <v>791</v>
      </c>
      <c r="B792" t="s">
        <v>28</v>
      </c>
      <c r="C792" s="5">
        <v>44996</v>
      </c>
      <c r="D792" s="8">
        <v>44996</v>
      </c>
      <c r="E792" s="8">
        <f>IF(B792="Inactive", EDATE(D792,K792), "")</f>
        <v>45149</v>
      </c>
      <c r="F792" t="s">
        <v>10</v>
      </c>
      <c r="G792">
        <v>0.8</v>
      </c>
      <c r="H792" t="str" cm="1">
        <f t="array" ref="H792">_xlfn.IFS(G792&gt;=20,"20-25", G792&gt;=15,"15-20", G792&gt;=10,"10-15", G792&gt;=5,"5-10", G792&gt;=1,"1-5", G792&lt;1,"Less than 1")</f>
        <v>Less than 1</v>
      </c>
      <c r="I792">
        <v>3</v>
      </c>
      <c r="J792">
        <v>5</v>
      </c>
      <c r="K792" s="6">
        <v>5</v>
      </c>
      <c r="L792" s="2">
        <v>6.99</v>
      </c>
      <c r="M792" s="6">
        <v>18</v>
      </c>
      <c r="N792" t="str" cm="1">
        <f t="array" ref="N792">_xlfn.IFS(M792&gt;=50,"50-60 Days", M792&gt;=40,"40-50 Days", M792&gt;=30, "30-40 Days", M792&gt;=20, "20-30 Days", M792&gt;=10, "10-20 Days", M792&gt;=0, "0-10 Days")</f>
        <v>10-20 Days</v>
      </c>
    </row>
    <row r="793" spans="1:14">
      <c r="A793">
        <v>792</v>
      </c>
      <c r="B793" t="s">
        <v>29</v>
      </c>
      <c r="C793" s="5">
        <v>45276</v>
      </c>
      <c r="D793" s="8">
        <v>45276</v>
      </c>
      <c r="E793" s="8" t="str">
        <f>IF(B793="Inactive", EDATE(D793,K793), "")</f>
        <v/>
      </c>
      <c r="F793" t="s">
        <v>14</v>
      </c>
      <c r="G793">
        <v>12.9</v>
      </c>
      <c r="H793" t="str" cm="1">
        <f t="array" ref="H793">_xlfn.IFS(G793&gt;=20,"20-25", G793&gt;=15,"15-20", G793&gt;=10,"10-15", G793&gt;=5,"5-10", G793&gt;=1,"1-5", G793&lt;1,"Less than 1")</f>
        <v>10-15</v>
      </c>
      <c r="I793">
        <v>5</v>
      </c>
      <c r="J793">
        <v>0</v>
      </c>
      <c r="K793" s="6">
        <v>7</v>
      </c>
      <c r="L793" s="2">
        <v>3.99</v>
      </c>
      <c r="M793" s="6">
        <v>7</v>
      </c>
      <c r="N793" t="str" cm="1">
        <f t="array" ref="N793">_xlfn.IFS(M793&gt;=50,"50-60 Days", M793&gt;=40,"40-50 Days", M793&gt;=30, "30-40 Days", M793&gt;=20, "20-30 Days", M793&gt;=10, "10-20 Days", M793&gt;=0, "0-10 Days")</f>
        <v>0-10 Days</v>
      </c>
    </row>
    <row r="794" spans="1:14">
      <c r="A794">
        <v>793</v>
      </c>
      <c r="B794" t="s">
        <v>28</v>
      </c>
      <c r="C794" s="5">
        <v>45615</v>
      </c>
      <c r="D794" s="8">
        <v>45615</v>
      </c>
      <c r="E794" s="8">
        <f>IF(B794="Inactive", EDATE(D794,K794), "")</f>
        <v>45645</v>
      </c>
      <c r="F794" t="s">
        <v>14</v>
      </c>
      <c r="G794">
        <v>20.9</v>
      </c>
      <c r="H794" t="str" cm="1">
        <f t="array" ref="H794">_xlfn.IFS(G794&gt;=20,"20-25", G794&gt;=15,"15-20", G794&gt;=10,"10-15", G794&gt;=5,"5-10", G794&gt;=1,"1-5", G794&lt;1,"Less than 1")</f>
        <v>20-25</v>
      </c>
      <c r="I794">
        <v>3</v>
      </c>
      <c r="J794">
        <v>2</v>
      </c>
      <c r="K794" s="6">
        <v>1</v>
      </c>
      <c r="L794" s="2">
        <v>3.99</v>
      </c>
      <c r="M794" s="6">
        <v>53</v>
      </c>
      <c r="N794" t="str" cm="1">
        <f t="array" ref="N794">_xlfn.IFS(M794&gt;=50,"50-60 Days", M794&gt;=40,"40-50 Days", M794&gt;=30, "30-40 Days", M794&gt;=20, "20-30 Days", M794&gt;=10, "10-20 Days", M794&gt;=0, "0-10 Days")</f>
        <v>50-60 Days</v>
      </c>
    </row>
    <row r="795" spans="1:14">
      <c r="A795">
        <v>794</v>
      </c>
      <c r="B795" t="s">
        <v>29</v>
      </c>
      <c r="C795" s="5">
        <v>45476</v>
      </c>
      <c r="D795" s="8">
        <v>45476</v>
      </c>
      <c r="E795" s="8" t="str">
        <f>IF(B795="Inactive", EDATE(D795,K795), "")</f>
        <v/>
      </c>
      <c r="F795" t="s">
        <v>14</v>
      </c>
      <c r="G795">
        <v>20</v>
      </c>
      <c r="H795" t="str" cm="1">
        <f t="array" ref="H795">_xlfn.IFS(G795&gt;=20,"20-25", G795&gt;=15,"15-20", G795&gt;=10,"10-15", G795&gt;=5,"5-10", G795&gt;=1,"1-5", G795&lt;1,"Less than 1")</f>
        <v>20-25</v>
      </c>
      <c r="I795">
        <v>2</v>
      </c>
      <c r="J795">
        <v>3</v>
      </c>
      <c r="K795" s="6">
        <v>11</v>
      </c>
      <c r="L795" s="2">
        <v>3.99</v>
      </c>
      <c r="M795" s="6">
        <v>9</v>
      </c>
      <c r="N795" t="str" cm="1">
        <f t="array" ref="N795">_xlfn.IFS(M795&gt;=50,"50-60 Days", M795&gt;=40,"40-50 Days", M795&gt;=30, "30-40 Days", M795&gt;=20, "20-30 Days", M795&gt;=10, "10-20 Days", M795&gt;=0, "0-10 Days")</f>
        <v>0-10 Days</v>
      </c>
    </row>
    <row r="796" spans="1:14">
      <c r="A796">
        <v>795</v>
      </c>
      <c r="B796" t="s">
        <v>29</v>
      </c>
      <c r="C796" s="5">
        <v>45233</v>
      </c>
      <c r="D796" s="8">
        <v>45233</v>
      </c>
      <c r="E796" s="8" t="str">
        <f>IF(B796="Inactive", EDATE(D796,K796), "")</f>
        <v/>
      </c>
      <c r="F796" t="s">
        <v>14</v>
      </c>
      <c r="G796">
        <v>19.7</v>
      </c>
      <c r="H796" t="str" cm="1">
        <f t="array" ref="H796">_xlfn.IFS(G796&gt;=20,"20-25", G796&gt;=15,"15-20", G796&gt;=10,"10-15", G796&gt;=5,"5-10", G796&gt;=1,"1-5", G796&lt;1,"Less than 1")</f>
        <v>15-20</v>
      </c>
      <c r="I796">
        <v>6</v>
      </c>
      <c r="J796">
        <v>5</v>
      </c>
      <c r="K796" s="6">
        <v>10</v>
      </c>
      <c r="L796" s="2">
        <v>3.99</v>
      </c>
      <c r="M796" s="6">
        <v>3</v>
      </c>
      <c r="N796" t="str" cm="1">
        <f t="array" ref="N796">_xlfn.IFS(M796&gt;=50,"50-60 Days", M796&gt;=40,"40-50 Days", M796&gt;=30, "30-40 Days", M796&gt;=20, "20-30 Days", M796&gt;=10, "10-20 Days", M796&gt;=0, "0-10 Days")</f>
        <v>0-10 Days</v>
      </c>
    </row>
    <row r="797" spans="1:14">
      <c r="A797">
        <v>796</v>
      </c>
      <c r="B797" t="s">
        <v>29</v>
      </c>
      <c r="C797" s="5">
        <v>45289</v>
      </c>
      <c r="D797" s="8">
        <v>45289</v>
      </c>
      <c r="E797" s="8" t="str">
        <f>IF(B797="Inactive", EDATE(D797,K797), "")</f>
        <v/>
      </c>
      <c r="F797" t="s">
        <v>10</v>
      </c>
      <c r="G797">
        <v>14.1</v>
      </c>
      <c r="H797" t="str" cm="1">
        <f t="array" ref="H797">_xlfn.IFS(G797&gt;=20,"20-25", G797&gt;=15,"15-20", G797&gt;=10,"10-15", G797&gt;=5,"5-10", G797&gt;=1,"1-5", G797&lt;1,"Less than 1")</f>
        <v>10-15</v>
      </c>
      <c r="I797">
        <v>0</v>
      </c>
      <c r="J797">
        <v>1</v>
      </c>
      <c r="K797" s="6">
        <v>7</v>
      </c>
      <c r="L797" s="2">
        <v>6.99</v>
      </c>
      <c r="M797" s="6">
        <v>36</v>
      </c>
      <c r="N797" t="str" cm="1">
        <f t="array" ref="N797">_xlfn.IFS(M797&gt;=50,"50-60 Days", M797&gt;=40,"40-50 Days", M797&gt;=30, "30-40 Days", M797&gt;=20, "20-30 Days", M797&gt;=10, "10-20 Days", M797&gt;=0, "0-10 Days")</f>
        <v>30-40 Days</v>
      </c>
    </row>
    <row r="798" spans="1:14">
      <c r="A798">
        <v>797</v>
      </c>
      <c r="B798" t="s">
        <v>29</v>
      </c>
      <c r="C798" s="5">
        <v>45096</v>
      </c>
      <c r="D798" s="8">
        <v>45096</v>
      </c>
      <c r="E798" s="8" t="str">
        <f>IF(B798="Inactive", EDATE(D798,K798), "")</f>
        <v/>
      </c>
      <c r="F798" t="s">
        <v>12</v>
      </c>
      <c r="G798">
        <v>7.4</v>
      </c>
      <c r="H798" t="str" cm="1">
        <f t="array" ref="H798">_xlfn.IFS(G798&gt;=20,"20-25", G798&gt;=15,"15-20", G798&gt;=10,"10-15", G798&gt;=5,"5-10", G798&gt;=1,"1-5", G798&lt;1,"Less than 1")</f>
        <v>5-10</v>
      </c>
      <c r="I798">
        <v>0</v>
      </c>
      <c r="J798">
        <v>2</v>
      </c>
      <c r="K798" s="6">
        <v>4</v>
      </c>
      <c r="L798" s="2">
        <v>1.99</v>
      </c>
      <c r="M798" s="6">
        <v>24</v>
      </c>
      <c r="N798" t="str" cm="1">
        <f t="array" ref="N798">_xlfn.IFS(M798&gt;=50,"50-60 Days", M798&gt;=40,"40-50 Days", M798&gt;=30, "30-40 Days", M798&gt;=20, "20-30 Days", M798&gt;=10, "10-20 Days", M798&gt;=0, "0-10 Days")</f>
        <v>20-30 Days</v>
      </c>
    </row>
    <row r="799" spans="1:14">
      <c r="A799">
        <v>798</v>
      </c>
      <c r="B799" t="s">
        <v>29</v>
      </c>
      <c r="C799" s="5">
        <v>45653</v>
      </c>
      <c r="D799" s="8">
        <v>45653</v>
      </c>
      <c r="E799" s="8" t="str">
        <f>IF(B799="Inactive", EDATE(D799,K799), "")</f>
        <v/>
      </c>
      <c r="F799" t="s">
        <v>10</v>
      </c>
      <c r="G799">
        <v>5.0999999999999996</v>
      </c>
      <c r="H799" t="str" cm="1">
        <f t="array" ref="H799">_xlfn.IFS(G799&gt;=20,"20-25", G799&gt;=15,"15-20", G799&gt;=10,"10-15", G799&gt;=5,"5-10", G799&gt;=1,"1-5", G799&lt;1,"Less than 1")</f>
        <v>5-10</v>
      </c>
      <c r="I799">
        <v>1</v>
      </c>
      <c r="J799">
        <v>2</v>
      </c>
      <c r="K799" s="6">
        <v>9</v>
      </c>
      <c r="L799" s="2">
        <v>6.99</v>
      </c>
      <c r="M799" s="6">
        <v>45</v>
      </c>
      <c r="N799" t="str" cm="1">
        <f t="array" ref="N799">_xlfn.IFS(M799&gt;=50,"50-60 Days", M799&gt;=40,"40-50 Days", M799&gt;=30, "30-40 Days", M799&gt;=20, "20-30 Days", M799&gt;=10, "10-20 Days", M799&gt;=0, "0-10 Days")</f>
        <v>40-50 Days</v>
      </c>
    </row>
    <row r="800" spans="1:14">
      <c r="A800">
        <v>799</v>
      </c>
      <c r="B800" t="s">
        <v>28</v>
      </c>
      <c r="C800" s="5">
        <v>45236</v>
      </c>
      <c r="D800" s="8">
        <v>45236</v>
      </c>
      <c r="E800" s="8">
        <f>IF(B800="Inactive", EDATE(D800,K800), "")</f>
        <v>45418</v>
      </c>
      <c r="F800" t="s">
        <v>12</v>
      </c>
      <c r="G800">
        <v>10.6</v>
      </c>
      <c r="H800" t="str" cm="1">
        <f t="array" ref="H800">_xlfn.IFS(G800&gt;=20,"20-25", G800&gt;=15,"15-20", G800&gt;=10,"10-15", G800&gt;=5,"5-10", G800&gt;=1,"1-5", G800&lt;1,"Less than 1")</f>
        <v>10-15</v>
      </c>
      <c r="I800">
        <v>7</v>
      </c>
      <c r="J800">
        <v>1</v>
      </c>
      <c r="K800" s="6">
        <v>6</v>
      </c>
      <c r="L800" s="2">
        <v>1.99</v>
      </c>
      <c r="M800" s="6">
        <v>23</v>
      </c>
      <c r="N800" t="str" cm="1">
        <f t="array" ref="N800">_xlfn.IFS(M800&gt;=50,"50-60 Days", M800&gt;=40,"40-50 Days", M800&gt;=30, "30-40 Days", M800&gt;=20, "20-30 Days", M800&gt;=10, "10-20 Days", M800&gt;=0, "0-10 Days")</f>
        <v>20-30 Days</v>
      </c>
    </row>
    <row r="801" spans="1:14">
      <c r="A801">
        <v>800</v>
      </c>
      <c r="B801" t="s">
        <v>28</v>
      </c>
      <c r="C801" s="5">
        <v>45133</v>
      </c>
      <c r="D801" s="8">
        <v>45133</v>
      </c>
      <c r="E801" s="8">
        <f>IF(B801="Inactive", EDATE(D801,K801), "")</f>
        <v>45499</v>
      </c>
      <c r="F801" t="s">
        <v>12</v>
      </c>
      <c r="G801">
        <v>7.9</v>
      </c>
      <c r="H801" t="str" cm="1">
        <f t="array" ref="H801">_xlfn.IFS(G801&gt;=20,"20-25", G801&gt;=15,"15-20", G801&gt;=10,"10-15", G801&gt;=5,"5-10", G801&gt;=1,"1-5", G801&lt;1,"Less than 1")</f>
        <v>5-10</v>
      </c>
      <c r="I801">
        <v>1</v>
      </c>
      <c r="J801">
        <v>2</v>
      </c>
      <c r="K801" s="6">
        <v>12</v>
      </c>
      <c r="L801" s="2">
        <v>1.99</v>
      </c>
      <c r="M801" s="6">
        <v>50</v>
      </c>
      <c r="N801" t="str" cm="1">
        <f t="array" ref="N801">_xlfn.IFS(M801&gt;=50,"50-60 Days", M801&gt;=40,"40-50 Days", M801&gt;=30, "30-40 Days", M801&gt;=20, "20-30 Days", M801&gt;=10, "10-20 Days", M801&gt;=0, "0-10 Days")</f>
        <v>50-60 Days</v>
      </c>
    </row>
    <row r="802" spans="1:14">
      <c r="A802">
        <v>801</v>
      </c>
      <c r="B802" t="s">
        <v>28</v>
      </c>
      <c r="C802" s="5">
        <v>45422</v>
      </c>
      <c r="D802" s="8">
        <v>45422</v>
      </c>
      <c r="E802" s="8">
        <f>IF(B802="Inactive", EDATE(D802,K802), "")</f>
        <v>45726</v>
      </c>
      <c r="F802" t="s">
        <v>12</v>
      </c>
      <c r="G802">
        <v>12.9</v>
      </c>
      <c r="H802" t="str" cm="1">
        <f t="array" ref="H802">_xlfn.IFS(G802&gt;=20,"20-25", G802&gt;=15,"15-20", G802&gt;=10,"10-15", G802&gt;=5,"5-10", G802&gt;=1,"1-5", G802&lt;1,"Less than 1")</f>
        <v>10-15</v>
      </c>
      <c r="I802">
        <v>7</v>
      </c>
      <c r="J802">
        <v>4</v>
      </c>
      <c r="K802" s="6">
        <v>10</v>
      </c>
      <c r="L802" s="2">
        <v>1.99</v>
      </c>
      <c r="M802" s="6">
        <v>9</v>
      </c>
      <c r="N802" t="str" cm="1">
        <f t="array" ref="N802">_xlfn.IFS(M802&gt;=50,"50-60 Days", M802&gt;=40,"40-50 Days", M802&gt;=30, "30-40 Days", M802&gt;=20, "20-30 Days", M802&gt;=10, "10-20 Days", M802&gt;=0, "0-10 Days")</f>
        <v>0-10 Days</v>
      </c>
    </row>
    <row r="803" spans="1:14">
      <c r="A803">
        <v>802</v>
      </c>
      <c r="B803" t="s">
        <v>29</v>
      </c>
      <c r="C803" s="5">
        <v>45455</v>
      </c>
      <c r="D803" s="8">
        <v>45455</v>
      </c>
      <c r="E803" s="8" t="str">
        <f>IF(B803="Inactive", EDATE(D803,K803), "")</f>
        <v/>
      </c>
      <c r="F803" t="s">
        <v>10</v>
      </c>
      <c r="G803">
        <v>8.1</v>
      </c>
      <c r="H803" t="str" cm="1">
        <f t="array" ref="H803">_xlfn.IFS(G803&gt;=20,"20-25", G803&gt;=15,"15-20", G803&gt;=10,"10-15", G803&gt;=5,"5-10", G803&gt;=1,"1-5", G803&lt;1,"Less than 1")</f>
        <v>5-10</v>
      </c>
      <c r="I803">
        <v>5</v>
      </c>
      <c r="J803">
        <v>1</v>
      </c>
      <c r="K803" s="6">
        <v>12</v>
      </c>
      <c r="L803" s="2">
        <v>6.99</v>
      </c>
      <c r="M803" s="6">
        <v>49</v>
      </c>
      <c r="N803" t="str" cm="1">
        <f t="array" ref="N803">_xlfn.IFS(M803&gt;=50,"50-60 Days", M803&gt;=40,"40-50 Days", M803&gt;=30, "30-40 Days", M803&gt;=20, "20-30 Days", M803&gt;=10, "10-20 Days", M803&gt;=0, "0-10 Days")</f>
        <v>40-50 Days</v>
      </c>
    </row>
    <row r="804" spans="1:14">
      <c r="A804">
        <v>803</v>
      </c>
      <c r="B804" t="s">
        <v>29</v>
      </c>
      <c r="C804" s="5">
        <v>45461</v>
      </c>
      <c r="D804" s="8">
        <v>45461</v>
      </c>
      <c r="E804" s="8" t="str">
        <f>IF(B804="Inactive", EDATE(D804,K804), "")</f>
        <v/>
      </c>
      <c r="F804" t="s">
        <v>10</v>
      </c>
      <c r="G804">
        <v>5.5</v>
      </c>
      <c r="H804" t="str" cm="1">
        <f t="array" ref="H804">_xlfn.IFS(G804&gt;=20,"20-25", G804&gt;=15,"15-20", G804&gt;=10,"10-15", G804&gt;=5,"5-10", G804&gt;=1,"1-5", G804&lt;1,"Less than 1")</f>
        <v>5-10</v>
      </c>
      <c r="I804">
        <v>0</v>
      </c>
      <c r="J804">
        <v>3</v>
      </c>
      <c r="K804" s="6">
        <v>3</v>
      </c>
      <c r="L804" s="2">
        <v>6.99</v>
      </c>
      <c r="M804" s="6">
        <v>24</v>
      </c>
      <c r="N804" t="str" cm="1">
        <f t="array" ref="N804">_xlfn.IFS(M804&gt;=50,"50-60 Days", M804&gt;=40,"40-50 Days", M804&gt;=30, "30-40 Days", M804&gt;=20, "20-30 Days", M804&gt;=10, "10-20 Days", M804&gt;=0, "0-10 Days")</f>
        <v>20-30 Days</v>
      </c>
    </row>
    <row r="805" spans="1:14">
      <c r="A805">
        <v>804</v>
      </c>
      <c r="B805" t="s">
        <v>28</v>
      </c>
      <c r="C805" s="5">
        <v>45016</v>
      </c>
      <c r="D805" s="8">
        <v>45016</v>
      </c>
      <c r="E805" s="8">
        <f>IF(B805="Inactive", EDATE(D805,K805), "")</f>
        <v>45046</v>
      </c>
      <c r="F805" t="s">
        <v>12</v>
      </c>
      <c r="G805">
        <v>8.1</v>
      </c>
      <c r="H805" t="str" cm="1">
        <f t="array" ref="H805">_xlfn.IFS(G805&gt;=20,"20-25", G805&gt;=15,"15-20", G805&gt;=10,"10-15", G805&gt;=5,"5-10", G805&gt;=1,"1-5", G805&lt;1,"Less than 1")</f>
        <v>5-10</v>
      </c>
      <c r="I805">
        <v>0</v>
      </c>
      <c r="J805">
        <v>5</v>
      </c>
      <c r="K805" s="6">
        <v>1</v>
      </c>
      <c r="L805" s="2">
        <v>1.99</v>
      </c>
      <c r="M805" s="6">
        <v>54</v>
      </c>
      <c r="N805" t="str" cm="1">
        <f t="array" ref="N805">_xlfn.IFS(M805&gt;=50,"50-60 Days", M805&gt;=40,"40-50 Days", M805&gt;=30, "30-40 Days", M805&gt;=20, "20-30 Days", M805&gt;=10, "10-20 Days", M805&gt;=0, "0-10 Days")</f>
        <v>50-60 Days</v>
      </c>
    </row>
    <row r="806" spans="1:14">
      <c r="A806">
        <v>805</v>
      </c>
      <c r="B806" t="s">
        <v>29</v>
      </c>
      <c r="C806" s="5">
        <v>45246</v>
      </c>
      <c r="D806" s="8">
        <v>45246</v>
      </c>
      <c r="E806" s="8" t="str">
        <f>IF(B806="Inactive", EDATE(D806,K806), "")</f>
        <v/>
      </c>
      <c r="F806" t="s">
        <v>14</v>
      </c>
      <c r="G806">
        <v>22.3</v>
      </c>
      <c r="H806" t="str" cm="1">
        <f t="array" ref="H806">_xlfn.IFS(G806&gt;=20,"20-25", G806&gt;=15,"15-20", G806&gt;=10,"10-15", G806&gt;=5,"5-10", G806&gt;=1,"1-5", G806&lt;1,"Less than 1")</f>
        <v>20-25</v>
      </c>
      <c r="I806">
        <v>1</v>
      </c>
      <c r="J806">
        <v>4</v>
      </c>
      <c r="K806" s="6">
        <v>10</v>
      </c>
      <c r="L806" s="2">
        <v>3.99</v>
      </c>
      <c r="M806" s="6">
        <v>49</v>
      </c>
      <c r="N806" t="str" cm="1">
        <f t="array" ref="N806">_xlfn.IFS(M806&gt;=50,"50-60 Days", M806&gt;=40,"40-50 Days", M806&gt;=30, "30-40 Days", M806&gt;=20, "20-30 Days", M806&gt;=10, "10-20 Days", M806&gt;=0, "0-10 Days")</f>
        <v>40-50 Days</v>
      </c>
    </row>
    <row r="807" spans="1:14">
      <c r="A807">
        <v>806</v>
      </c>
      <c r="B807" t="s">
        <v>28</v>
      </c>
      <c r="C807" s="5">
        <v>45210</v>
      </c>
      <c r="D807" s="8">
        <v>45210</v>
      </c>
      <c r="E807" s="8">
        <f>IF(B807="Inactive", EDATE(D807,K807), "")</f>
        <v>45423</v>
      </c>
      <c r="F807" t="s">
        <v>12</v>
      </c>
      <c r="G807">
        <v>16.2</v>
      </c>
      <c r="H807" t="str" cm="1">
        <f t="array" ref="H807">_xlfn.IFS(G807&gt;=20,"20-25", G807&gt;=15,"15-20", G807&gt;=10,"10-15", G807&gt;=5,"5-10", G807&gt;=1,"1-5", G807&lt;1,"Less than 1")</f>
        <v>15-20</v>
      </c>
      <c r="I807">
        <v>3</v>
      </c>
      <c r="J807">
        <v>2</v>
      </c>
      <c r="K807" s="6">
        <v>7</v>
      </c>
      <c r="L807" s="2">
        <v>1.99</v>
      </c>
      <c r="M807" s="6">
        <v>12</v>
      </c>
      <c r="N807" t="str" cm="1">
        <f t="array" ref="N807">_xlfn.IFS(M807&gt;=50,"50-60 Days", M807&gt;=40,"40-50 Days", M807&gt;=30, "30-40 Days", M807&gt;=20, "20-30 Days", M807&gt;=10, "10-20 Days", M807&gt;=0, "0-10 Days")</f>
        <v>10-20 Days</v>
      </c>
    </row>
    <row r="808" spans="1:14">
      <c r="A808">
        <v>807</v>
      </c>
      <c r="B808" t="s">
        <v>28</v>
      </c>
      <c r="C808" s="5">
        <v>45044</v>
      </c>
      <c r="D808" s="8">
        <v>45044</v>
      </c>
      <c r="E808" s="8">
        <f>IF(B808="Inactive", EDATE(D808,K808), "")</f>
        <v>45258</v>
      </c>
      <c r="F808" t="s">
        <v>10</v>
      </c>
      <c r="G808">
        <v>19.399999999999999</v>
      </c>
      <c r="H808" t="str" cm="1">
        <f t="array" ref="H808">_xlfn.IFS(G808&gt;=20,"20-25", G808&gt;=15,"15-20", G808&gt;=10,"10-15", G808&gt;=5,"5-10", G808&gt;=1,"1-5", G808&lt;1,"Less than 1")</f>
        <v>15-20</v>
      </c>
      <c r="I808">
        <v>1</v>
      </c>
      <c r="J808">
        <v>2</v>
      </c>
      <c r="K808" s="6">
        <v>7</v>
      </c>
      <c r="L808" s="2">
        <v>6.99</v>
      </c>
      <c r="M808" s="6">
        <v>9</v>
      </c>
      <c r="N808" t="str" cm="1">
        <f t="array" ref="N808">_xlfn.IFS(M808&gt;=50,"50-60 Days", M808&gt;=40,"40-50 Days", M808&gt;=30, "30-40 Days", M808&gt;=20, "20-30 Days", M808&gt;=10, "10-20 Days", M808&gt;=0, "0-10 Days")</f>
        <v>0-10 Days</v>
      </c>
    </row>
    <row r="809" spans="1:14">
      <c r="A809">
        <v>808</v>
      </c>
      <c r="B809" t="s">
        <v>28</v>
      </c>
      <c r="C809" s="5">
        <v>45204</v>
      </c>
      <c r="D809" s="8">
        <v>45204</v>
      </c>
      <c r="E809" s="8">
        <f>IF(B809="Inactive", EDATE(D809,K809), "")</f>
        <v>45570</v>
      </c>
      <c r="F809" t="s">
        <v>12</v>
      </c>
      <c r="G809">
        <v>13.1</v>
      </c>
      <c r="H809" t="str" cm="1">
        <f t="array" ref="H809">_xlfn.IFS(G809&gt;=20,"20-25", G809&gt;=15,"15-20", G809&gt;=10,"10-15", G809&gt;=5,"5-10", G809&gt;=1,"1-5", G809&lt;1,"Less than 1")</f>
        <v>10-15</v>
      </c>
      <c r="I809">
        <v>3</v>
      </c>
      <c r="J809">
        <v>4</v>
      </c>
      <c r="K809" s="6">
        <v>12</v>
      </c>
      <c r="L809" s="2">
        <v>1.99</v>
      </c>
      <c r="M809" s="6">
        <v>22</v>
      </c>
      <c r="N809" t="str" cm="1">
        <f t="array" ref="N809">_xlfn.IFS(M809&gt;=50,"50-60 Days", M809&gt;=40,"40-50 Days", M809&gt;=30, "30-40 Days", M809&gt;=20, "20-30 Days", M809&gt;=10, "10-20 Days", M809&gt;=0, "0-10 Days")</f>
        <v>20-30 Days</v>
      </c>
    </row>
    <row r="810" spans="1:14">
      <c r="A810">
        <v>809</v>
      </c>
      <c r="B810" t="s">
        <v>29</v>
      </c>
      <c r="C810" s="5">
        <v>45273</v>
      </c>
      <c r="D810" s="8">
        <v>45273</v>
      </c>
      <c r="E810" s="8" t="str">
        <f>IF(B810="Inactive", EDATE(D810,K810), "")</f>
        <v/>
      </c>
      <c r="F810" t="s">
        <v>12</v>
      </c>
      <c r="G810">
        <v>14.6</v>
      </c>
      <c r="H810" t="str" cm="1">
        <f t="array" ref="H810">_xlfn.IFS(G810&gt;=20,"20-25", G810&gt;=15,"15-20", G810&gt;=10,"10-15", G810&gt;=5,"5-10", G810&gt;=1,"1-5", G810&lt;1,"Less than 1")</f>
        <v>10-15</v>
      </c>
      <c r="I810">
        <v>2</v>
      </c>
      <c r="J810">
        <v>0</v>
      </c>
      <c r="K810" s="6">
        <v>7</v>
      </c>
      <c r="L810" s="2">
        <v>1.99</v>
      </c>
      <c r="M810" s="6">
        <v>19</v>
      </c>
      <c r="N810" t="str" cm="1">
        <f t="array" ref="N810">_xlfn.IFS(M810&gt;=50,"50-60 Days", M810&gt;=40,"40-50 Days", M810&gt;=30, "30-40 Days", M810&gt;=20, "20-30 Days", M810&gt;=10, "10-20 Days", M810&gt;=0, "0-10 Days")</f>
        <v>10-20 Days</v>
      </c>
    </row>
    <row r="811" spans="1:14">
      <c r="A811">
        <v>810</v>
      </c>
      <c r="B811" t="s">
        <v>28</v>
      </c>
      <c r="C811" s="5">
        <v>45035</v>
      </c>
      <c r="D811" s="8">
        <v>45035</v>
      </c>
      <c r="E811" s="8">
        <f>IF(B811="Inactive", EDATE(D811,K811), "")</f>
        <v>45341</v>
      </c>
      <c r="F811" t="s">
        <v>10</v>
      </c>
      <c r="G811">
        <v>1.7</v>
      </c>
      <c r="H811" t="str" cm="1">
        <f t="array" ref="H811">_xlfn.IFS(G811&gt;=20,"20-25", G811&gt;=15,"15-20", G811&gt;=10,"10-15", G811&gt;=5,"5-10", G811&gt;=1,"1-5", G811&lt;1,"Less than 1")</f>
        <v>1-5</v>
      </c>
      <c r="I811">
        <v>0</v>
      </c>
      <c r="J811">
        <v>3</v>
      </c>
      <c r="K811" s="6">
        <v>10</v>
      </c>
      <c r="L811" s="2">
        <v>6.99</v>
      </c>
      <c r="M811" s="6">
        <v>57</v>
      </c>
      <c r="N811" t="str" cm="1">
        <f t="array" ref="N811">_xlfn.IFS(M811&gt;=50,"50-60 Days", M811&gt;=40,"40-50 Days", M811&gt;=30, "30-40 Days", M811&gt;=20, "20-30 Days", M811&gt;=10, "10-20 Days", M811&gt;=0, "0-10 Days")</f>
        <v>50-60 Days</v>
      </c>
    </row>
    <row r="812" spans="1:14">
      <c r="A812">
        <v>811</v>
      </c>
      <c r="B812" t="s">
        <v>28</v>
      </c>
      <c r="C812" s="5">
        <v>45533</v>
      </c>
      <c r="D812" s="8">
        <v>45533</v>
      </c>
      <c r="E812" s="8">
        <f>IF(B812="Inactive", EDATE(D812,K812), "")</f>
        <v>45594</v>
      </c>
      <c r="F812" t="s">
        <v>14</v>
      </c>
      <c r="G812">
        <v>2.6</v>
      </c>
      <c r="H812" t="str" cm="1">
        <f t="array" ref="H812">_xlfn.IFS(G812&gt;=20,"20-25", G812&gt;=15,"15-20", G812&gt;=10,"10-15", G812&gt;=5,"5-10", G812&gt;=1,"1-5", G812&lt;1,"Less than 1")</f>
        <v>1-5</v>
      </c>
      <c r="I812">
        <v>6</v>
      </c>
      <c r="J812">
        <v>1</v>
      </c>
      <c r="K812" s="6">
        <v>2</v>
      </c>
      <c r="L812" s="2">
        <v>3.99</v>
      </c>
      <c r="M812" s="6">
        <v>45</v>
      </c>
      <c r="N812" t="str" cm="1">
        <f t="array" ref="N812">_xlfn.IFS(M812&gt;=50,"50-60 Days", M812&gt;=40,"40-50 Days", M812&gt;=30, "30-40 Days", M812&gt;=20, "20-30 Days", M812&gt;=10, "10-20 Days", M812&gt;=0, "0-10 Days")</f>
        <v>40-50 Days</v>
      </c>
    </row>
    <row r="813" spans="1:14">
      <c r="A813">
        <v>812</v>
      </c>
      <c r="B813" t="s">
        <v>28</v>
      </c>
      <c r="C813" s="5">
        <v>45613</v>
      </c>
      <c r="D813" s="8">
        <v>45613</v>
      </c>
      <c r="E813" s="8">
        <f>IF(B813="Inactive", EDATE(D813,K813), "")</f>
        <v>45917</v>
      </c>
      <c r="F813" t="s">
        <v>10</v>
      </c>
      <c r="G813">
        <v>15.6</v>
      </c>
      <c r="H813" t="str" cm="1">
        <f t="array" ref="H813">_xlfn.IFS(G813&gt;=20,"20-25", G813&gt;=15,"15-20", G813&gt;=10,"10-15", G813&gt;=5,"5-10", G813&gt;=1,"1-5", G813&lt;1,"Less than 1")</f>
        <v>15-20</v>
      </c>
      <c r="I813">
        <v>4</v>
      </c>
      <c r="J813">
        <v>2</v>
      </c>
      <c r="K813" s="6">
        <v>10</v>
      </c>
      <c r="L813" s="2">
        <v>6.99</v>
      </c>
      <c r="M813" s="6">
        <v>52</v>
      </c>
      <c r="N813" t="str" cm="1">
        <f t="array" ref="N813">_xlfn.IFS(M813&gt;=50,"50-60 Days", M813&gt;=40,"40-50 Days", M813&gt;=30, "30-40 Days", M813&gt;=20, "20-30 Days", M813&gt;=10, "10-20 Days", M813&gt;=0, "0-10 Days")</f>
        <v>50-60 Days</v>
      </c>
    </row>
    <row r="814" spans="1:14">
      <c r="A814">
        <v>813</v>
      </c>
      <c r="B814" t="s">
        <v>28</v>
      </c>
      <c r="C814" s="5">
        <v>45642</v>
      </c>
      <c r="D814" s="8">
        <v>45642</v>
      </c>
      <c r="E814" s="8">
        <f>IF(B814="Inactive", EDATE(D814,K814), "")</f>
        <v>45704</v>
      </c>
      <c r="F814" t="s">
        <v>10</v>
      </c>
      <c r="G814">
        <v>24.4</v>
      </c>
      <c r="H814" t="str" cm="1">
        <f t="array" ref="H814">_xlfn.IFS(G814&gt;=20,"20-25", G814&gt;=15,"15-20", G814&gt;=10,"10-15", G814&gt;=5,"5-10", G814&gt;=1,"1-5", G814&lt;1,"Less than 1")</f>
        <v>20-25</v>
      </c>
      <c r="I814">
        <v>7</v>
      </c>
      <c r="J814">
        <v>4</v>
      </c>
      <c r="K814" s="6">
        <v>2</v>
      </c>
      <c r="L814" s="2">
        <v>6.99</v>
      </c>
      <c r="M814" s="6">
        <v>8</v>
      </c>
      <c r="N814" t="str" cm="1">
        <f t="array" ref="N814">_xlfn.IFS(M814&gt;=50,"50-60 Days", M814&gt;=40,"40-50 Days", M814&gt;=30, "30-40 Days", M814&gt;=20, "20-30 Days", M814&gt;=10, "10-20 Days", M814&gt;=0, "0-10 Days")</f>
        <v>0-10 Days</v>
      </c>
    </row>
    <row r="815" spans="1:14">
      <c r="A815">
        <v>814</v>
      </c>
      <c r="B815" t="s">
        <v>29</v>
      </c>
      <c r="C815" s="5">
        <v>45074</v>
      </c>
      <c r="D815" s="8">
        <v>45074</v>
      </c>
      <c r="E815" s="8" t="str">
        <f>IF(B815="Inactive", EDATE(D815,K815), "")</f>
        <v/>
      </c>
      <c r="F815" t="s">
        <v>14</v>
      </c>
      <c r="G815">
        <v>11.7</v>
      </c>
      <c r="H815" t="str" cm="1">
        <f t="array" ref="H815">_xlfn.IFS(G815&gt;=20,"20-25", G815&gt;=15,"15-20", G815&gt;=10,"10-15", G815&gt;=5,"5-10", G815&gt;=1,"1-5", G815&lt;1,"Less than 1")</f>
        <v>10-15</v>
      </c>
      <c r="I815">
        <v>7</v>
      </c>
      <c r="J815">
        <v>3</v>
      </c>
      <c r="K815" s="6">
        <v>3</v>
      </c>
      <c r="L815" s="2">
        <v>3.99</v>
      </c>
      <c r="M815" s="6">
        <v>14</v>
      </c>
      <c r="N815" t="str" cm="1">
        <f t="array" ref="N815">_xlfn.IFS(M815&gt;=50,"50-60 Days", M815&gt;=40,"40-50 Days", M815&gt;=30, "30-40 Days", M815&gt;=20, "20-30 Days", M815&gt;=10, "10-20 Days", M815&gt;=0, "0-10 Days")</f>
        <v>10-20 Days</v>
      </c>
    </row>
    <row r="816" spans="1:14">
      <c r="A816">
        <v>815</v>
      </c>
      <c r="B816" t="s">
        <v>29</v>
      </c>
      <c r="C816" s="5">
        <v>45265</v>
      </c>
      <c r="D816" s="8">
        <v>45265</v>
      </c>
      <c r="E816" s="8" t="str">
        <f>IF(B816="Inactive", EDATE(D816,K816), "")</f>
        <v/>
      </c>
      <c r="F816" t="s">
        <v>10</v>
      </c>
      <c r="G816">
        <v>22.9</v>
      </c>
      <c r="H816" t="str" cm="1">
        <f t="array" ref="H816">_xlfn.IFS(G816&gt;=20,"20-25", G816&gt;=15,"15-20", G816&gt;=10,"10-15", G816&gt;=5,"5-10", G816&gt;=1,"1-5", G816&lt;1,"Less than 1")</f>
        <v>20-25</v>
      </c>
      <c r="I816">
        <v>6</v>
      </c>
      <c r="J816">
        <v>1</v>
      </c>
      <c r="K816" s="6">
        <v>6</v>
      </c>
      <c r="L816" s="2">
        <v>6.99</v>
      </c>
      <c r="M816" s="6">
        <v>44</v>
      </c>
      <c r="N816" t="str" cm="1">
        <f t="array" ref="N816">_xlfn.IFS(M816&gt;=50,"50-60 Days", M816&gt;=40,"40-50 Days", M816&gt;=30, "30-40 Days", M816&gt;=20, "20-30 Days", M816&gt;=10, "10-20 Days", M816&gt;=0, "0-10 Days")</f>
        <v>40-50 Days</v>
      </c>
    </row>
    <row r="817" spans="1:14">
      <c r="A817">
        <v>816</v>
      </c>
      <c r="B817" t="s">
        <v>29</v>
      </c>
      <c r="C817" s="5">
        <v>45399</v>
      </c>
      <c r="D817" s="8">
        <v>45399</v>
      </c>
      <c r="E817" s="8" t="str">
        <f>IF(B817="Inactive", EDATE(D817,K817), "")</f>
        <v/>
      </c>
      <c r="F817" t="s">
        <v>14</v>
      </c>
      <c r="G817">
        <v>12.4</v>
      </c>
      <c r="H817" t="str" cm="1">
        <f t="array" ref="H817">_xlfn.IFS(G817&gt;=20,"20-25", G817&gt;=15,"15-20", G817&gt;=10,"10-15", G817&gt;=5,"5-10", G817&gt;=1,"1-5", G817&lt;1,"Less than 1")</f>
        <v>10-15</v>
      </c>
      <c r="I817">
        <v>1</v>
      </c>
      <c r="J817">
        <v>3</v>
      </c>
      <c r="K817" s="6">
        <v>10</v>
      </c>
      <c r="L817" s="2">
        <v>3.99</v>
      </c>
      <c r="M817" s="6">
        <v>7</v>
      </c>
      <c r="N817" t="str" cm="1">
        <f t="array" ref="N817">_xlfn.IFS(M817&gt;=50,"50-60 Days", M817&gt;=40,"40-50 Days", M817&gt;=30, "30-40 Days", M817&gt;=20, "20-30 Days", M817&gt;=10, "10-20 Days", M817&gt;=0, "0-10 Days")</f>
        <v>0-10 Days</v>
      </c>
    </row>
    <row r="818" spans="1:14">
      <c r="A818">
        <v>817</v>
      </c>
      <c r="B818" t="s">
        <v>29</v>
      </c>
      <c r="C818" s="5">
        <v>45036</v>
      </c>
      <c r="D818" s="8">
        <v>45036</v>
      </c>
      <c r="E818" s="8" t="str">
        <f>IF(B818="Inactive", EDATE(D818,K818), "")</f>
        <v/>
      </c>
      <c r="F818" t="s">
        <v>12</v>
      </c>
      <c r="G818">
        <v>19.3</v>
      </c>
      <c r="H818" t="str" cm="1">
        <f t="array" ref="H818">_xlfn.IFS(G818&gt;=20,"20-25", G818&gt;=15,"15-20", G818&gt;=10,"10-15", G818&gt;=5,"5-10", G818&gt;=1,"1-5", G818&lt;1,"Less than 1")</f>
        <v>15-20</v>
      </c>
      <c r="I818">
        <v>2</v>
      </c>
      <c r="J818">
        <v>4</v>
      </c>
      <c r="K818" s="6">
        <v>7</v>
      </c>
      <c r="L818" s="2">
        <v>1.99</v>
      </c>
      <c r="M818" s="6">
        <v>6</v>
      </c>
      <c r="N818" t="str" cm="1">
        <f t="array" ref="N818">_xlfn.IFS(M818&gt;=50,"50-60 Days", M818&gt;=40,"40-50 Days", M818&gt;=30, "30-40 Days", M818&gt;=20, "20-30 Days", M818&gt;=10, "10-20 Days", M818&gt;=0, "0-10 Days")</f>
        <v>0-10 Days</v>
      </c>
    </row>
    <row r="819" spans="1:14">
      <c r="A819">
        <v>818</v>
      </c>
      <c r="B819" t="s">
        <v>28</v>
      </c>
      <c r="C819" s="5">
        <v>45350</v>
      </c>
      <c r="D819" s="8">
        <v>45350</v>
      </c>
      <c r="E819" s="8">
        <f>IF(B819="Inactive", EDATE(D819,K819), "")</f>
        <v>45716</v>
      </c>
      <c r="F819" t="s">
        <v>14</v>
      </c>
      <c r="G819">
        <v>16.399999999999999</v>
      </c>
      <c r="H819" t="str" cm="1">
        <f t="array" ref="H819">_xlfn.IFS(G819&gt;=20,"20-25", G819&gt;=15,"15-20", G819&gt;=10,"10-15", G819&gt;=5,"5-10", G819&gt;=1,"1-5", G819&lt;1,"Less than 1")</f>
        <v>15-20</v>
      </c>
      <c r="I819">
        <v>4</v>
      </c>
      <c r="J819">
        <v>4</v>
      </c>
      <c r="K819" s="6">
        <v>12</v>
      </c>
      <c r="L819" s="2">
        <v>3.99</v>
      </c>
      <c r="M819" s="6">
        <v>29</v>
      </c>
      <c r="N819" t="str" cm="1">
        <f t="array" ref="N819">_xlfn.IFS(M819&gt;=50,"50-60 Days", M819&gt;=40,"40-50 Days", M819&gt;=30, "30-40 Days", M819&gt;=20, "20-30 Days", M819&gt;=10, "10-20 Days", M819&gt;=0, "0-10 Days")</f>
        <v>20-30 Days</v>
      </c>
    </row>
    <row r="820" spans="1:14">
      <c r="A820">
        <v>819</v>
      </c>
      <c r="B820" t="s">
        <v>28</v>
      </c>
      <c r="C820" s="5">
        <v>45637</v>
      </c>
      <c r="D820" s="8">
        <v>45637</v>
      </c>
      <c r="E820" s="8">
        <f>IF(B820="Inactive", EDATE(D820,K820), "")</f>
        <v>45819</v>
      </c>
      <c r="F820" t="s">
        <v>12</v>
      </c>
      <c r="G820">
        <v>13.9</v>
      </c>
      <c r="H820" t="str" cm="1">
        <f t="array" ref="H820">_xlfn.IFS(G820&gt;=20,"20-25", G820&gt;=15,"15-20", G820&gt;=10,"10-15", G820&gt;=5,"5-10", G820&gt;=1,"1-5", G820&lt;1,"Less than 1")</f>
        <v>10-15</v>
      </c>
      <c r="I820">
        <v>7</v>
      </c>
      <c r="J820">
        <v>3</v>
      </c>
      <c r="K820" s="6">
        <v>6</v>
      </c>
      <c r="L820" s="2">
        <v>1.99</v>
      </c>
      <c r="M820" s="6">
        <v>4</v>
      </c>
      <c r="N820" t="str" cm="1">
        <f t="array" ref="N820">_xlfn.IFS(M820&gt;=50,"50-60 Days", M820&gt;=40,"40-50 Days", M820&gt;=30, "30-40 Days", M820&gt;=20, "20-30 Days", M820&gt;=10, "10-20 Days", M820&gt;=0, "0-10 Days")</f>
        <v>0-10 Days</v>
      </c>
    </row>
    <row r="821" spans="1:14">
      <c r="A821">
        <v>820</v>
      </c>
      <c r="B821" t="s">
        <v>28</v>
      </c>
      <c r="C821" s="5">
        <v>45637</v>
      </c>
      <c r="D821" s="8">
        <v>45637</v>
      </c>
      <c r="E821" s="8">
        <f>IF(B821="Inactive", EDATE(D821,K821), "")</f>
        <v>45941</v>
      </c>
      <c r="F821" t="s">
        <v>10</v>
      </c>
      <c r="G821">
        <v>19.7</v>
      </c>
      <c r="H821" t="str" cm="1">
        <f t="array" ref="H821">_xlfn.IFS(G821&gt;=20,"20-25", G821&gt;=15,"15-20", G821&gt;=10,"10-15", G821&gt;=5,"5-10", G821&gt;=1,"1-5", G821&lt;1,"Less than 1")</f>
        <v>15-20</v>
      </c>
      <c r="I821">
        <v>6</v>
      </c>
      <c r="J821">
        <v>4</v>
      </c>
      <c r="K821" s="6">
        <v>10</v>
      </c>
      <c r="L821" s="2">
        <v>6.99</v>
      </c>
      <c r="M821" s="6">
        <v>50</v>
      </c>
      <c r="N821" t="str" cm="1">
        <f t="array" ref="N821">_xlfn.IFS(M821&gt;=50,"50-60 Days", M821&gt;=40,"40-50 Days", M821&gt;=30, "30-40 Days", M821&gt;=20, "20-30 Days", M821&gt;=10, "10-20 Days", M821&gt;=0, "0-10 Days")</f>
        <v>50-60 Days</v>
      </c>
    </row>
    <row r="822" spans="1:14">
      <c r="A822">
        <v>821</v>
      </c>
      <c r="B822" t="s">
        <v>29</v>
      </c>
      <c r="C822" s="5">
        <v>45425</v>
      </c>
      <c r="D822" s="8">
        <v>45425</v>
      </c>
      <c r="E822" s="8" t="str">
        <f>IF(B822="Inactive", EDATE(D822,K822), "")</f>
        <v/>
      </c>
      <c r="F822" t="s">
        <v>12</v>
      </c>
      <c r="G822">
        <v>16.7</v>
      </c>
      <c r="H822" t="str" cm="1">
        <f t="array" ref="H822">_xlfn.IFS(G822&gt;=20,"20-25", G822&gt;=15,"15-20", G822&gt;=10,"10-15", G822&gt;=5,"5-10", G822&gt;=1,"1-5", G822&lt;1,"Less than 1")</f>
        <v>15-20</v>
      </c>
      <c r="I822">
        <v>1</v>
      </c>
      <c r="J822">
        <v>5</v>
      </c>
      <c r="K822" s="6">
        <v>4</v>
      </c>
      <c r="L822" s="2">
        <v>1.99</v>
      </c>
      <c r="M822" s="6">
        <v>59</v>
      </c>
      <c r="N822" t="str" cm="1">
        <f t="array" ref="N822">_xlfn.IFS(M822&gt;=50,"50-60 Days", M822&gt;=40,"40-50 Days", M822&gt;=30, "30-40 Days", M822&gt;=20, "20-30 Days", M822&gt;=10, "10-20 Days", M822&gt;=0, "0-10 Days")</f>
        <v>50-60 Days</v>
      </c>
    </row>
    <row r="823" spans="1:14">
      <c r="A823">
        <v>822</v>
      </c>
      <c r="B823" t="s">
        <v>28</v>
      </c>
      <c r="C823" s="5">
        <v>45342</v>
      </c>
      <c r="D823" s="8">
        <v>45342</v>
      </c>
      <c r="E823" s="8">
        <f>IF(B823="Inactive", EDATE(D823,K823), "")</f>
        <v>45646</v>
      </c>
      <c r="F823" t="s">
        <v>12</v>
      </c>
      <c r="G823">
        <v>8.5</v>
      </c>
      <c r="H823" t="str" cm="1">
        <f t="array" ref="H823">_xlfn.IFS(G823&gt;=20,"20-25", G823&gt;=15,"15-20", G823&gt;=10,"10-15", G823&gt;=5,"5-10", G823&gt;=1,"1-5", G823&lt;1,"Less than 1")</f>
        <v>5-10</v>
      </c>
      <c r="I823">
        <v>1</v>
      </c>
      <c r="J823">
        <v>3</v>
      </c>
      <c r="K823" s="6">
        <v>10</v>
      </c>
      <c r="L823" s="2">
        <v>1.99</v>
      </c>
      <c r="M823" s="6">
        <v>11</v>
      </c>
      <c r="N823" t="str" cm="1">
        <f t="array" ref="N823">_xlfn.IFS(M823&gt;=50,"50-60 Days", M823&gt;=40,"40-50 Days", M823&gt;=30, "30-40 Days", M823&gt;=20, "20-30 Days", M823&gt;=10, "10-20 Days", M823&gt;=0, "0-10 Days")</f>
        <v>10-20 Days</v>
      </c>
    </row>
    <row r="824" spans="1:14">
      <c r="A824">
        <v>823</v>
      </c>
      <c r="B824" t="s">
        <v>28</v>
      </c>
      <c r="C824" s="5">
        <v>44989</v>
      </c>
      <c r="D824" s="8">
        <v>44989</v>
      </c>
      <c r="E824" s="8">
        <f>IF(B824="Inactive", EDATE(D824,K824), "")</f>
        <v>45081</v>
      </c>
      <c r="F824" t="s">
        <v>12</v>
      </c>
      <c r="G824">
        <v>17.3</v>
      </c>
      <c r="H824" t="str" cm="1">
        <f t="array" ref="H824">_xlfn.IFS(G824&gt;=20,"20-25", G824&gt;=15,"15-20", G824&gt;=10,"10-15", G824&gt;=5,"5-10", G824&gt;=1,"1-5", G824&lt;1,"Less than 1")</f>
        <v>15-20</v>
      </c>
      <c r="I824">
        <v>6</v>
      </c>
      <c r="J824">
        <v>2</v>
      </c>
      <c r="K824" s="6">
        <v>3</v>
      </c>
      <c r="L824" s="2">
        <v>1.99</v>
      </c>
      <c r="M824" s="6">
        <v>31</v>
      </c>
      <c r="N824" t="str" cm="1">
        <f t="array" ref="N824">_xlfn.IFS(M824&gt;=50,"50-60 Days", M824&gt;=40,"40-50 Days", M824&gt;=30, "30-40 Days", M824&gt;=20, "20-30 Days", M824&gt;=10, "10-20 Days", M824&gt;=0, "0-10 Days")</f>
        <v>30-40 Days</v>
      </c>
    </row>
    <row r="825" spans="1:14">
      <c r="A825">
        <v>824</v>
      </c>
      <c r="B825" t="s">
        <v>28</v>
      </c>
      <c r="C825" s="5">
        <v>45471</v>
      </c>
      <c r="D825" s="8">
        <v>45471</v>
      </c>
      <c r="E825" s="8">
        <f>IF(B825="Inactive", EDATE(D825,K825), "")</f>
        <v>45624</v>
      </c>
      <c r="F825" t="s">
        <v>12</v>
      </c>
      <c r="G825">
        <v>20.5</v>
      </c>
      <c r="H825" t="str" cm="1">
        <f t="array" ref="H825">_xlfn.IFS(G825&gt;=20,"20-25", G825&gt;=15,"15-20", G825&gt;=10,"10-15", G825&gt;=5,"5-10", G825&gt;=1,"1-5", G825&lt;1,"Less than 1")</f>
        <v>20-25</v>
      </c>
      <c r="I825">
        <v>0</v>
      </c>
      <c r="J825">
        <v>1</v>
      </c>
      <c r="K825" s="6">
        <v>5</v>
      </c>
      <c r="L825" s="2">
        <v>1.99</v>
      </c>
      <c r="M825" s="6">
        <v>42</v>
      </c>
      <c r="N825" t="str" cm="1">
        <f t="array" ref="N825">_xlfn.IFS(M825&gt;=50,"50-60 Days", M825&gt;=40,"40-50 Days", M825&gt;=30, "30-40 Days", M825&gt;=20, "20-30 Days", M825&gt;=10, "10-20 Days", M825&gt;=0, "0-10 Days")</f>
        <v>40-50 Days</v>
      </c>
    </row>
    <row r="826" spans="1:14">
      <c r="A826">
        <v>825</v>
      </c>
      <c r="B826" t="s">
        <v>29</v>
      </c>
      <c r="C826" s="5">
        <v>45251</v>
      </c>
      <c r="D826" s="8">
        <v>45251</v>
      </c>
      <c r="E826" s="8" t="str">
        <f>IF(B826="Inactive", EDATE(D826,K826), "")</f>
        <v/>
      </c>
      <c r="F826" t="s">
        <v>14</v>
      </c>
      <c r="G826">
        <v>15.6</v>
      </c>
      <c r="H826" t="str" cm="1">
        <f t="array" ref="H826">_xlfn.IFS(G826&gt;=20,"20-25", G826&gt;=15,"15-20", G826&gt;=10,"10-15", G826&gt;=5,"5-10", G826&gt;=1,"1-5", G826&lt;1,"Less than 1")</f>
        <v>15-20</v>
      </c>
      <c r="I826">
        <v>7</v>
      </c>
      <c r="J826">
        <v>1</v>
      </c>
      <c r="K826" s="6">
        <v>9</v>
      </c>
      <c r="L826" s="2">
        <v>3.99</v>
      </c>
      <c r="M826" s="6">
        <v>13</v>
      </c>
      <c r="N826" t="str" cm="1">
        <f t="array" ref="N826">_xlfn.IFS(M826&gt;=50,"50-60 Days", M826&gt;=40,"40-50 Days", M826&gt;=30, "30-40 Days", M826&gt;=20, "20-30 Days", M826&gt;=10, "10-20 Days", M826&gt;=0, "0-10 Days")</f>
        <v>10-20 Days</v>
      </c>
    </row>
    <row r="827" spans="1:14">
      <c r="A827">
        <v>826</v>
      </c>
      <c r="B827" t="s">
        <v>28</v>
      </c>
      <c r="C827" s="5">
        <v>45018</v>
      </c>
      <c r="D827" s="8">
        <v>45018</v>
      </c>
      <c r="E827" s="8">
        <f>IF(B827="Inactive", EDATE(D827,K827), "")</f>
        <v>45232</v>
      </c>
      <c r="F827" t="s">
        <v>14</v>
      </c>
      <c r="G827">
        <v>23</v>
      </c>
      <c r="H827" t="str" cm="1">
        <f t="array" ref="H827">_xlfn.IFS(G827&gt;=20,"20-25", G827&gt;=15,"15-20", G827&gt;=10,"10-15", G827&gt;=5,"5-10", G827&gt;=1,"1-5", G827&lt;1,"Less than 1")</f>
        <v>20-25</v>
      </c>
      <c r="I827">
        <v>6</v>
      </c>
      <c r="J827">
        <v>5</v>
      </c>
      <c r="K827" s="6">
        <v>7</v>
      </c>
      <c r="L827" s="2">
        <v>3.99</v>
      </c>
      <c r="M827" s="6">
        <v>58</v>
      </c>
      <c r="N827" t="str" cm="1">
        <f t="array" ref="N827">_xlfn.IFS(M827&gt;=50,"50-60 Days", M827&gt;=40,"40-50 Days", M827&gt;=30, "30-40 Days", M827&gt;=20, "20-30 Days", M827&gt;=10, "10-20 Days", M827&gt;=0, "0-10 Days")</f>
        <v>50-60 Days</v>
      </c>
    </row>
    <row r="828" spans="1:14">
      <c r="A828">
        <v>827</v>
      </c>
      <c r="B828" t="s">
        <v>28</v>
      </c>
      <c r="C828" s="5">
        <v>45228</v>
      </c>
      <c r="D828" s="8">
        <v>45228</v>
      </c>
      <c r="E828" s="8">
        <f>IF(B828="Inactive", EDATE(D828,K828), "")</f>
        <v>45259</v>
      </c>
      <c r="F828" t="s">
        <v>10</v>
      </c>
      <c r="G828">
        <v>15.5</v>
      </c>
      <c r="H828" t="str" cm="1">
        <f t="array" ref="H828">_xlfn.IFS(G828&gt;=20,"20-25", G828&gt;=15,"15-20", G828&gt;=10,"10-15", G828&gt;=5,"5-10", G828&gt;=1,"1-5", G828&lt;1,"Less than 1")</f>
        <v>15-20</v>
      </c>
      <c r="I828">
        <v>8</v>
      </c>
      <c r="J828">
        <v>3</v>
      </c>
      <c r="K828" s="6">
        <v>1</v>
      </c>
      <c r="L828" s="2">
        <v>6.99</v>
      </c>
      <c r="M828" s="6">
        <v>54</v>
      </c>
      <c r="N828" t="str" cm="1">
        <f t="array" ref="N828">_xlfn.IFS(M828&gt;=50,"50-60 Days", M828&gt;=40,"40-50 Days", M828&gt;=30, "30-40 Days", M828&gt;=20, "20-30 Days", M828&gt;=10, "10-20 Days", M828&gt;=0, "0-10 Days")</f>
        <v>50-60 Days</v>
      </c>
    </row>
    <row r="829" spans="1:14">
      <c r="A829">
        <v>828</v>
      </c>
      <c r="B829" t="s">
        <v>29</v>
      </c>
      <c r="C829" s="5">
        <v>45294</v>
      </c>
      <c r="D829" s="8">
        <v>45294</v>
      </c>
      <c r="E829" s="8" t="str">
        <f>IF(B829="Inactive", EDATE(D829,K829), "")</f>
        <v/>
      </c>
      <c r="F829" t="s">
        <v>12</v>
      </c>
      <c r="G829">
        <v>22.6</v>
      </c>
      <c r="H829" t="str" cm="1">
        <f t="array" ref="H829">_xlfn.IFS(G829&gt;=20,"20-25", G829&gt;=15,"15-20", G829&gt;=10,"10-15", G829&gt;=5,"5-10", G829&gt;=1,"1-5", G829&lt;1,"Less than 1")</f>
        <v>20-25</v>
      </c>
      <c r="I829">
        <v>0</v>
      </c>
      <c r="J829">
        <v>0</v>
      </c>
      <c r="K829" s="6">
        <v>8</v>
      </c>
      <c r="L829" s="2">
        <v>1.99</v>
      </c>
      <c r="M829" s="6">
        <v>45</v>
      </c>
      <c r="N829" t="str" cm="1">
        <f t="array" ref="N829">_xlfn.IFS(M829&gt;=50,"50-60 Days", M829&gt;=40,"40-50 Days", M829&gt;=30, "30-40 Days", M829&gt;=20, "20-30 Days", M829&gt;=10, "10-20 Days", M829&gt;=0, "0-10 Days")</f>
        <v>40-50 Days</v>
      </c>
    </row>
    <row r="830" spans="1:14">
      <c r="A830">
        <v>829</v>
      </c>
      <c r="B830" t="s">
        <v>28</v>
      </c>
      <c r="C830" s="5">
        <v>45567</v>
      </c>
      <c r="D830" s="8">
        <v>45567</v>
      </c>
      <c r="E830" s="8">
        <f>IF(B830="Inactive", EDATE(D830,K830), "")</f>
        <v>45779</v>
      </c>
      <c r="F830" t="s">
        <v>12</v>
      </c>
      <c r="G830">
        <v>21.7</v>
      </c>
      <c r="H830" t="str" cm="1">
        <f t="array" ref="H830">_xlfn.IFS(G830&gt;=20,"20-25", G830&gt;=15,"15-20", G830&gt;=10,"10-15", G830&gt;=5,"5-10", G830&gt;=1,"1-5", G830&lt;1,"Less than 1")</f>
        <v>20-25</v>
      </c>
      <c r="I830">
        <v>3</v>
      </c>
      <c r="J830">
        <v>3</v>
      </c>
      <c r="K830" s="6">
        <v>7</v>
      </c>
      <c r="L830" s="2">
        <v>1.99</v>
      </c>
      <c r="M830" s="6">
        <v>44</v>
      </c>
      <c r="N830" t="str" cm="1">
        <f t="array" ref="N830">_xlfn.IFS(M830&gt;=50,"50-60 Days", M830&gt;=40,"40-50 Days", M830&gt;=30, "30-40 Days", M830&gt;=20, "20-30 Days", M830&gt;=10, "10-20 Days", M830&gt;=0, "0-10 Days")</f>
        <v>40-50 Days</v>
      </c>
    </row>
    <row r="831" spans="1:14">
      <c r="A831">
        <v>830</v>
      </c>
      <c r="B831" t="s">
        <v>29</v>
      </c>
      <c r="C831" s="5">
        <v>45413</v>
      </c>
      <c r="D831" s="8">
        <v>45413</v>
      </c>
      <c r="E831" s="8" t="str">
        <f>IF(B831="Inactive", EDATE(D831,K831), "")</f>
        <v/>
      </c>
      <c r="F831" t="s">
        <v>14</v>
      </c>
      <c r="G831">
        <v>10.4</v>
      </c>
      <c r="H831" t="str" cm="1">
        <f t="array" ref="H831">_xlfn.IFS(G831&gt;=20,"20-25", G831&gt;=15,"15-20", G831&gt;=10,"10-15", G831&gt;=5,"5-10", G831&gt;=1,"1-5", G831&lt;1,"Less than 1")</f>
        <v>10-15</v>
      </c>
      <c r="I831">
        <v>6</v>
      </c>
      <c r="J831">
        <v>4</v>
      </c>
      <c r="K831" s="6">
        <v>9</v>
      </c>
      <c r="L831" s="2">
        <v>3.99</v>
      </c>
      <c r="M831" s="6">
        <v>13</v>
      </c>
      <c r="N831" t="str" cm="1">
        <f t="array" ref="N831">_xlfn.IFS(M831&gt;=50,"50-60 Days", M831&gt;=40,"40-50 Days", M831&gt;=30, "30-40 Days", M831&gt;=20, "20-30 Days", M831&gt;=10, "10-20 Days", M831&gt;=0, "0-10 Days")</f>
        <v>10-20 Days</v>
      </c>
    </row>
    <row r="832" spans="1:14">
      <c r="A832">
        <v>831</v>
      </c>
      <c r="B832" t="s">
        <v>28</v>
      </c>
      <c r="C832" s="5">
        <v>45613</v>
      </c>
      <c r="D832" s="8">
        <v>45613</v>
      </c>
      <c r="E832" s="8">
        <f>IF(B832="Inactive", EDATE(D832,K832), "")</f>
        <v>45764</v>
      </c>
      <c r="F832" t="s">
        <v>12</v>
      </c>
      <c r="G832">
        <v>14.1</v>
      </c>
      <c r="H832" t="str" cm="1">
        <f t="array" ref="H832">_xlfn.IFS(G832&gt;=20,"20-25", G832&gt;=15,"15-20", G832&gt;=10,"10-15", G832&gt;=5,"5-10", G832&gt;=1,"1-5", G832&lt;1,"Less than 1")</f>
        <v>10-15</v>
      </c>
      <c r="I832">
        <v>5</v>
      </c>
      <c r="J832">
        <v>3</v>
      </c>
      <c r="K832" s="6">
        <v>5</v>
      </c>
      <c r="L832" s="2">
        <v>1.99</v>
      </c>
      <c r="M832" s="6">
        <v>9</v>
      </c>
      <c r="N832" t="str" cm="1">
        <f t="array" ref="N832">_xlfn.IFS(M832&gt;=50,"50-60 Days", M832&gt;=40,"40-50 Days", M832&gt;=30, "30-40 Days", M832&gt;=20, "20-30 Days", M832&gt;=10, "10-20 Days", M832&gt;=0, "0-10 Days")</f>
        <v>0-10 Days</v>
      </c>
    </row>
    <row r="833" spans="1:14">
      <c r="A833">
        <v>832</v>
      </c>
      <c r="B833" t="s">
        <v>29</v>
      </c>
      <c r="C833" s="5">
        <v>45600</v>
      </c>
      <c r="D833" s="8">
        <v>45600</v>
      </c>
      <c r="E833" s="8" t="str">
        <f>IF(B833="Inactive", EDATE(D833,K833), "")</f>
        <v/>
      </c>
      <c r="F833" t="s">
        <v>12</v>
      </c>
      <c r="G833">
        <v>0.8</v>
      </c>
      <c r="H833" t="str" cm="1">
        <f t="array" ref="H833">_xlfn.IFS(G833&gt;=20,"20-25", G833&gt;=15,"15-20", G833&gt;=10,"10-15", G833&gt;=5,"5-10", G833&gt;=1,"1-5", G833&lt;1,"Less than 1")</f>
        <v>Less than 1</v>
      </c>
      <c r="I833">
        <v>0</v>
      </c>
      <c r="J833">
        <v>1</v>
      </c>
      <c r="K833" s="6">
        <v>3</v>
      </c>
      <c r="L833" s="2">
        <v>1.99</v>
      </c>
      <c r="M833" s="6">
        <v>46</v>
      </c>
      <c r="N833" t="str" cm="1">
        <f t="array" ref="N833">_xlfn.IFS(M833&gt;=50,"50-60 Days", M833&gt;=40,"40-50 Days", M833&gt;=30, "30-40 Days", M833&gt;=20, "20-30 Days", M833&gt;=10, "10-20 Days", M833&gt;=0, "0-10 Days")</f>
        <v>40-50 Days</v>
      </c>
    </row>
    <row r="834" spans="1:14">
      <c r="A834">
        <v>833</v>
      </c>
      <c r="B834" t="s">
        <v>28</v>
      </c>
      <c r="C834" s="5">
        <v>45545</v>
      </c>
      <c r="D834" s="8">
        <v>45545</v>
      </c>
      <c r="E834" s="8">
        <f>IF(B834="Inactive", EDATE(D834,K834), "")</f>
        <v>45636</v>
      </c>
      <c r="F834" t="s">
        <v>14</v>
      </c>
      <c r="G834">
        <v>2.6</v>
      </c>
      <c r="H834" t="str" cm="1">
        <f t="array" ref="H834">_xlfn.IFS(G834&gt;=20,"20-25", G834&gt;=15,"15-20", G834&gt;=10,"10-15", G834&gt;=5,"5-10", G834&gt;=1,"1-5", G834&lt;1,"Less than 1")</f>
        <v>1-5</v>
      </c>
      <c r="I834">
        <v>6</v>
      </c>
      <c r="J834">
        <v>3</v>
      </c>
      <c r="K834" s="6">
        <v>3</v>
      </c>
      <c r="L834" s="2">
        <v>3.99</v>
      </c>
      <c r="M834" s="6">
        <v>57</v>
      </c>
      <c r="N834" t="str" cm="1">
        <f t="array" ref="N834">_xlfn.IFS(M834&gt;=50,"50-60 Days", M834&gt;=40,"40-50 Days", M834&gt;=30, "30-40 Days", M834&gt;=20, "20-30 Days", M834&gt;=10, "10-20 Days", M834&gt;=0, "0-10 Days")</f>
        <v>50-60 Days</v>
      </c>
    </row>
    <row r="835" spans="1:14">
      <c r="A835">
        <v>834</v>
      </c>
      <c r="B835" t="s">
        <v>28</v>
      </c>
      <c r="C835" s="5">
        <v>45290</v>
      </c>
      <c r="D835" s="8">
        <v>45290</v>
      </c>
      <c r="E835" s="8">
        <f>IF(B835="Inactive", EDATE(D835,K835), "")</f>
        <v>45412</v>
      </c>
      <c r="F835" t="s">
        <v>14</v>
      </c>
      <c r="G835">
        <v>11.6</v>
      </c>
      <c r="H835" t="str" cm="1">
        <f t="array" ref="H835">_xlfn.IFS(G835&gt;=20,"20-25", G835&gt;=15,"15-20", G835&gt;=10,"10-15", G835&gt;=5,"5-10", G835&gt;=1,"1-5", G835&lt;1,"Less than 1")</f>
        <v>10-15</v>
      </c>
      <c r="I835">
        <v>6</v>
      </c>
      <c r="J835">
        <v>4</v>
      </c>
      <c r="K835" s="6">
        <v>4</v>
      </c>
      <c r="L835" s="2">
        <v>3.99</v>
      </c>
      <c r="M835" s="6">
        <v>52</v>
      </c>
      <c r="N835" t="str" cm="1">
        <f t="array" ref="N835">_xlfn.IFS(M835&gt;=50,"50-60 Days", M835&gt;=40,"40-50 Days", M835&gt;=30, "30-40 Days", M835&gt;=20, "20-30 Days", M835&gt;=10, "10-20 Days", M835&gt;=0, "0-10 Days")</f>
        <v>50-60 Days</v>
      </c>
    </row>
    <row r="836" spans="1:14">
      <c r="A836">
        <v>835</v>
      </c>
      <c r="B836" t="s">
        <v>29</v>
      </c>
      <c r="C836" s="5">
        <v>45169</v>
      </c>
      <c r="D836" s="8">
        <v>45169</v>
      </c>
      <c r="E836" s="8" t="str">
        <f>IF(B836="Inactive", EDATE(D836,K836), "")</f>
        <v/>
      </c>
      <c r="F836" t="s">
        <v>12</v>
      </c>
      <c r="G836">
        <v>10.9</v>
      </c>
      <c r="H836" t="str" cm="1">
        <f t="array" ref="H836">_xlfn.IFS(G836&gt;=20,"20-25", G836&gt;=15,"15-20", G836&gt;=10,"10-15", G836&gt;=5,"5-10", G836&gt;=1,"1-5", G836&lt;1,"Less than 1")</f>
        <v>10-15</v>
      </c>
      <c r="I836">
        <v>0</v>
      </c>
      <c r="J836">
        <v>4</v>
      </c>
      <c r="K836" s="6">
        <v>4</v>
      </c>
      <c r="L836" s="2">
        <v>1.99</v>
      </c>
      <c r="M836" s="6">
        <v>31</v>
      </c>
      <c r="N836" t="str" cm="1">
        <f t="array" ref="N836">_xlfn.IFS(M836&gt;=50,"50-60 Days", M836&gt;=40,"40-50 Days", M836&gt;=30, "30-40 Days", M836&gt;=20, "20-30 Days", M836&gt;=10, "10-20 Days", M836&gt;=0, "0-10 Days")</f>
        <v>30-40 Days</v>
      </c>
    </row>
    <row r="837" spans="1:14">
      <c r="A837">
        <v>836</v>
      </c>
      <c r="B837" t="s">
        <v>28</v>
      </c>
      <c r="C837" s="5">
        <v>44965</v>
      </c>
      <c r="D837" s="8">
        <v>44965</v>
      </c>
      <c r="E837" s="8">
        <f>IF(B837="Inactive", EDATE(D837,K837), "")</f>
        <v>45299</v>
      </c>
      <c r="F837" t="s">
        <v>10</v>
      </c>
      <c r="G837">
        <v>7.1</v>
      </c>
      <c r="H837" t="str" cm="1">
        <f t="array" ref="H837">_xlfn.IFS(G837&gt;=20,"20-25", G837&gt;=15,"15-20", G837&gt;=10,"10-15", G837&gt;=5,"5-10", G837&gt;=1,"1-5", G837&lt;1,"Less than 1")</f>
        <v>5-10</v>
      </c>
      <c r="I837">
        <v>8</v>
      </c>
      <c r="J837">
        <v>4</v>
      </c>
      <c r="K837" s="6">
        <v>11</v>
      </c>
      <c r="L837" s="2">
        <v>6.99</v>
      </c>
      <c r="M837" s="6">
        <v>23</v>
      </c>
      <c r="N837" t="str" cm="1">
        <f t="array" ref="N837">_xlfn.IFS(M837&gt;=50,"50-60 Days", M837&gt;=40,"40-50 Days", M837&gt;=30, "30-40 Days", M837&gt;=20, "20-30 Days", M837&gt;=10, "10-20 Days", M837&gt;=0, "0-10 Days")</f>
        <v>20-30 Days</v>
      </c>
    </row>
    <row r="838" spans="1:14">
      <c r="A838">
        <v>837</v>
      </c>
      <c r="B838" t="s">
        <v>29</v>
      </c>
      <c r="C838" s="5">
        <v>45008</v>
      </c>
      <c r="D838" s="8">
        <v>45008</v>
      </c>
      <c r="E838" s="8" t="str">
        <f>IF(B838="Inactive", EDATE(D838,K838), "")</f>
        <v/>
      </c>
      <c r="F838" t="s">
        <v>10</v>
      </c>
      <c r="G838">
        <v>17.8</v>
      </c>
      <c r="H838" t="str" cm="1">
        <f t="array" ref="H838">_xlfn.IFS(G838&gt;=20,"20-25", G838&gt;=15,"15-20", G838&gt;=10,"10-15", G838&gt;=5,"5-10", G838&gt;=1,"1-5", G838&lt;1,"Less than 1")</f>
        <v>15-20</v>
      </c>
      <c r="I838">
        <v>1</v>
      </c>
      <c r="J838">
        <v>4</v>
      </c>
      <c r="K838" s="6">
        <v>11</v>
      </c>
      <c r="L838" s="2">
        <v>6.99</v>
      </c>
      <c r="M838" s="6">
        <v>30</v>
      </c>
      <c r="N838" t="str" cm="1">
        <f t="array" ref="N838">_xlfn.IFS(M838&gt;=50,"50-60 Days", M838&gt;=40,"40-50 Days", M838&gt;=30, "30-40 Days", M838&gt;=20, "20-30 Days", M838&gt;=10, "10-20 Days", M838&gt;=0, "0-10 Days")</f>
        <v>30-40 Days</v>
      </c>
    </row>
    <row r="839" spans="1:14">
      <c r="A839">
        <v>838</v>
      </c>
      <c r="B839" t="s">
        <v>28</v>
      </c>
      <c r="C839" s="5">
        <v>45551</v>
      </c>
      <c r="D839" s="8">
        <v>45551</v>
      </c>
      <c r="E839" s="8">
        <f>IF(B839="Inactive", EDATE(D839,K839), "")</f>
        <v>45916</v>
      </c>
      <c r="F839" t="s">
        <v>12</v>
      </c>
      <c r="G839">
        <v>24.6</v>
      </c>
      <c r="H839" t="str" cm="1">
        <f t="array" ref="H839">_xlfn.IFS(G839&gt;=20,"20-25", G839&gt;=15,"15-20", G839&gt;=10,"10-15", G839&gt;=5,"5-10", G839&gt;=1,"1-5", G839&lt;1,"Less than 1")</f>
        <v>20-25</v>
      </c>
      <c r="I839">
        <v>4</v>
      </c>
      <c r="J839">
        <v>3</v>
      </c>
      <c r="K839" s="6">
        <v>12</v>
      </c>
      <c r="L839" s="2">
        <v>1.99</v>
      </c>
      <c r="M839" s="6">
        <v>33</v>
      </c>
      <c r="N839" t="str" cm="1">
        <f t="array" ref="N839">_xlfn.IFS(M839&gt;=50,"50-60 Days", M839&gt;=40,"40-50 Days", M839&gt;=30, "30-40 Days", M839&gt;=20, "20-30 Days", M839&gt;=10, "10-20 Days", M839&gt;=0, "0-10 Days")</f>
        <v>30-40 Days</v>
      </c>
    </row>
    <row r="840" spans="1:14">
      <c r="A840">
        <v>839</v>
      </c>
      <c r="B840" t="s">
        <v>28</v>
      </c>
      <c r="C840" s="5">
        <v>45520</v>
      </c>
      <c r="D840" s="8">
        <v>45520</v>
      </c>
      <c r="E840" s="8">
        <f>IF(B840="Inactive", EDATE(D840,K840), "")</f>
        <v>45704</v>
      </c>
      <c r="F840" t="s">
        <v>12</v>
      </c>
      <c r="G840">
        <v>12.1</v>
      </c>
      <c r="H840" t="str" cm="1">
        <f t="array" ref="H840">_xlfn.IFS(G840&gt;=20,"20-25", G840&gt;=15,"15-20", G840&gt;=10,"10-15", G840&gt;=5,"5-10", G840&gt;=1,"1-5", G840&lt;1,"Less than 1")</f>
        <v>10-15</v>
      </c>
      <c r="I840">
        <v>1</v>
      </c>
      <c r="J840">
        <v>5</v>
      </c>
      <c r="K840" s="6">
        <v>6</v>
      </c>
      <c r="L840" s="2">
        <v>1.99</v>
      </c>
      <c r="M840" s="6">
        <v>40</v>
      </c>
      <c r="N840" t="str" cm="1">
        <f t="array" ref="N840">_xlfn.IFS(M840&gt;=50,"50-60 Days", M840&gt;=40,"40-50 Days", M840&gt;=30, "30-40 Days", M840&gt;=20, "20-30 Days", M840&gt;=10, "10-20 Days", M840&gt;=0, "0-10 Days")</f>
        <v>40-50 Days</v>
      </c>
    </row>
    <row r="841" spans="1:14">
      <c r="A841">
        <v>840</v>
      </c>
      <c r="B841" t="s">
        <v>28</v>
      </c>
      <c r="C841" s="5">
        <v>45407</v>
      </c>
      <c r="D841" s="8">
        <v>45407</v>
      </c>
      <c r="E841" s="8">
        <f>IF(B841="Inactive", EDATE(D841,K841), "")</f>
        <v>45468</v>
      </c>
      <c r="F841" t="s">
        <v>14</v>
      </c>
      <c r="G841">
        <v>22.6</v>
      </c>
      <c r="H841" t="str" cm="1">
        <f t="array" ref="H841">_xlfn.IFS(G841&gt;=20,"20-25", G841&gt;=15,"15-20", G841&gt;=10,"10-15", G841&gt;=5,"5-10", G841&gt;=1,"1-5", G841&lt;1,"Less than 1")</f>
        <v>20-25</v>
      </c>
      <c r="I841">
        <v>8</v>
      </c>
      <c r="J841">
        <v>0</v>
      </c>
      <c r="K841" s="6">
        <v>2</v>
      </c>
      <c r="L841" s="2">
        <v>3.99</v>
      </c>
      <c r="M841" s="6">
        <v>30</v>
      </c>
      <c r="N841" t="str" cm="1">
        <f t="array" ref="N841">_xlfn.IFS(M841&gt;=50,"50-60 Days", M841&gt;=40,"40-50 Days", M841&gt;=30, "30-40 Days", M841&gt;=20, "20-30 Days", M841&gt;=10, "10-20 Days", M841&gt;=0, "0-10 Days")</f>
        <v>30-40 Days</v>
      </c>
    </row>
    <row r="842" spans="1:14">
      <c r="A842">
        <v>841</v>
      </c>
      <c r="B842" t="s">
        <v>28</v>
      </c>
      <c r="C842" s="5">
        <v>45538</v>
      </c>
      <c r="D842" s="8">
        <v>45538</v>
      </c>
      <c r="E842" s="8">
        <f>IF(B842="Inactive", EDATE(D842,K842), "")</f>
        <v>45780</v>
      </c>
      <c r="F842" t="s">
        <v>10</v>
      </c>
      <c r="G842">
        <v>10.8</v>
      </c>
      <c r="H842" t="str" cm="1">
        <f t="array" ref="H842">_xlfn.IFS(G842&gt;=20,"20-25", G842&gt;=15,"15-20", G842&gt;=10,"10-15", G842&gt;=5,"5-10", G842&gt;=1,"1-5", G842&lt;1,"Less than 1")</f>
        <v>10-15</v>
      </c>
      <c r="I842">
        <v>4</v>
      </c>
      <c r="J842">
        <v>2</v>
      </c>
      <c r="K842" s="6">
        <v>8</v>
      </c>
      <c r="L842" s="2">
        <v>6.99</v>
      </c>
      <c r="M842" s="6">
        <v>10</v>
      </c>
      <c r="N842" t="str" cm="1">
        <f t="array" ref="N842">_xlfn.IFS(M842&gt;=50,"50-60 Days", M842&gt;=40,"40-50 Days", M842&gt;=30, "30-40 Days", M842&gt;=20, "20-30 Days", M842&gt;=10, "10-20 Days", M842&gt;=0, "0-10 Days")</f>
        <v>10-20 Days</v>
      </c>
    </row>
    <row r="843" spans="1:14">
      <c r="A843">
        <v>842</v>
      </c>
      <c r="B843" t="s">
        <v>28</v>
      </c>
      <c r="C843" s="5">
        <v>45100</v>
      </c>
      <c r="D843" s="8">
        <v>45100</v>
      </c>
      <c r="E843" s="8">
        <f>IF(B843="Inactive", EDATE(D843,K843), "")</f>
        <v>45314</v>
      </c>
      <c r="F843" t="s">
        <v>10</v>
      </c>
      <c r="G843">
        <v>18.3</v>
      </c>
      <c r="H843" t="str" cm="1">
        <f t="array" ref="H843">_xlfn.IFS(G843&gt;=20,"20-25", G843&gt;=15,"15-20", G843&gt;=10,"10-15", G843&gt;=5,"5-10", G843&gt;=1,"1-5", G843&lt;1,"Less than 1")</f>
        <v>15-20</v>
      </c>
      <c r="I843">
        <v>4</v>
      </c>
      <c r="J843">
        <v>0</v>
      </c>
      <c r="K843" s="6">
        <v>7</v>
      </c>
      <c r="L843" s="2">
        <v>6.99</v>
      </c>
      <c r="M843" s="6">
        <v>40</v>
      </c>
      <c r="N843" t="str" cm="1">
        <f t="array" ref="N843">_xlfn.IFS(M843&gt;=50,"50-60 Days", M843&gt;=40,"40-50 Days", M843&gt;=30, "30-40 Days", M843&gt;=20, "20-30 Days", M843&gt;=10, "10-20 Days", M843&gt;=0, "0-10 Days")</f>
        <v>40-50 Days</v>
      </c>
    </row>
    <row r="844" spans="1:14">
      <c r="A844">
        <v>843</v>
      </c>
      <c r="B844" t="s">
        <v>28</v>
      </c>
      <c r="C844" s="5">
        <v>45423</v>
      </c>
      <c r="D844" s="8">
        <v>45423</v>
      </c>
      <c r="E844" s="8">
        <f>IF(B844="Inactive", EDATE(D844,K844), "")</f>
        <v>45484</v>
      </c>
      <c r="F844" t="s">
        <v>10</v>
      </c>
      <c r="G844">
        <v>16.600000000000001</v>
      </c>
      <c r="H844" t="str" cm="1">
        <f t="array" ref="H844">_xlfn.IFS(G844&gt;=20,"20-25", G844&gt;=15,"15-20", G844&gt;=10,"10-15", G844&gt;=5,"5-10", G844&gt;=1,"1-5", G844&lt;1,"Less than 1")</f>
        <v>15-20</v>
      </c>
      <c r="I844">
        <v>4</v>
      </c>
      <c r="J844">
        <v>5</v>
      </c>
      <c r="K844" s="6">
        <v>2</v>
      </c>
      <c r="L844" s="2">
        <v>6.99</v>
      </c>
      <c r="M844" s="6">
        <v>39</v>
      </c>
      <c r="N844" t="str" cm="1">
        <f t="array" ref="N844">_xlfn.IFS(M844&gt;=50,"50-60 Days", M844&gt;=40,"40-50 Days", M844&gt;=30, "30-40 Days", M844&gt;=20, "20-30 Days", M844&gt;=10, "10-20 Days", M844&gt;=0, "0-10 Days")</f>
        <v>30-40 Days</v>
      </c>
    </row>
    <row r="845" spans="1:14">
      <c r="A845">
        <v>844</v>
      </c>
      <c r="B845" t="s">
        <v>29</v>
      </c>
      <c r="C845" s="5">
        <v>45208</v>
      </c>
      <c r="D845" s="8">
        <v>45208</v>
      </c>
      <c r="E845" s="8" t="str">
        <f>IF(B845="Inactive", EDATE(D845,K845), "")</f>
        <v/>
      </c>
      <c r="F845" t="s">
        <v>12</v>
      </c>
      <c r="G845">
        <v>12.9</v>
      </c>
      <c r="H845" t="str" cm="1">
        <f t="array" ref="H845">_xlfn.IFS(G845&gt;=20,"20-25", G845&gt;=15,"15-20", G845&gt;=10,"10-15", G845&gt;=5,"5-10", G845&gt;=1,"1-5", G845&lt;1,"Less than 1")</f>
        <v>10-15</v>
      </c>
      <c r="I845">
        <v>4</v>
      </c>
      <c r="J845">
        <v>2</v>
      </c>
      <c r="K845" s="6">
        <v>3</v>
      </c>
      <c r="L845" s="2">
        <v>1.99</v>
      </c>
      <c r="M845" s="6">
        <v>8</v>
      </c>
      <c r="N845" t="str" cm="1">
        <f t="array" ref="N845">_xlfn.IFS(M845&gt;=50,"50-60 Days", M845&gt;=40,"40-50 Days", M845&gt;=30, "30-40 Days", M845&gt;=20, "20-30 Days", M845&gt;=10, "10-20 Days", M845&gt;=0, "0-10 Days")</f>
        <v>0-10 Days</v>
      </c>
    </row>
    <row r="846" spans="1:14">
      <c r="A846">
        <v>845</v>
      </c>
      <c r="B846" t="s">
        <v>28</v>
      </c>
      <c r="C846" s="5">
        <v>45384</v>
      </c>
      <c r="D846" s="8">
        <v>45384</v>
      </c>
      <c r="E846" s="8">
        <f>IF(B846="Inactive", EDATE(D846,K846), "")</f>
        <v>45414</v>
      </c>
      <c r="F846" t="s">
        <v>14</v>
      </c>
      <c r="G846">
        <v>18.7</v>
      </c>
      <c r="H846" t="str" cm="1">
        <f t="array" ref="H846">_xlfn.IFS(G846&gt;=20,"20-25", G846&gt;=15,"15-20", G846&gt;=10,"10-15", G846&gt;=5,"5-10", G846&gt;=1,"1-5", G846&lt;1,"Less than 1")</f>
        <v>15-20</v>
      </c>
      <c r="I846">
        <v>2</v>
      </c>
      <c r="J846">
        <v>4</v>
      </c>
      <c r="K846" s="6">
        <v>1</v>
      </c>
      <c r="L846" s="2">
        <v>3.99</v>
      </c>
      <c r="M846" s="6">
        <v>47</v>
      </c>
      <c r="N846" t="str" cm="1">
        <f t="array" ref="N846">_xlfn.IFS(M846&gt;=50,"50-60 Days", M846&gt;=40,"40-50 Days", M846&gt;=30, "30-40 Days", M846&gt;=20, "20-30 Days", M846&gt;=10, "10-20 Days", M846&gt;=0, "0-10 Days")</f>
        <v>40-50 Days</v>
      </c>
    </row>
    <row r="847" spans="1:14">
      <c r="A847">
        <v>846</v>
      </c>
      <c r="B847" t="s">
        <v>29</v>
      </c>
      <c r="C847" s="5">
        <v>44960</v>
      </c>
      <c r="D847" s="8">
        <v>44960</v>
      </c>
      <c r="E847" s="8" t="str">
        <f>IF(B847="Inactive", EDATE(D847,K847), "")</f>
        <v/>
      </c>
      <c r="F847" t="s">
        <v>14</v>
      </c>
      <c r="G847">
        <v>6.9</v>
      </c>
      <c r="H847" t="str" cm="1">
        <f t="array" ref="H847">_xlfn.IFS(G847&gt;=20,"20-25", G847&gt;=15,"15-20", G847&gt;=10,"10-15", G847&gt;=5,"5-10", G847&gt;=1,"1-5", G847&lt;1,"Less than 1")</f>
        <v>5-10</v>
      </c>
      <c r="I847">
        <v>3</v>
      </c>
      <c r="J847">
        <v>3</v>
      </c>
      <c r="K847" s="6">
        <v>4</v>
      </c>
      <c r="L847" s="2">
        <v>3.99</v>
      </c>
      <c r="M847" s="6">
        <v>11</v>
      </c>
      <c r="N847" t="str" cm="1">
        <f t="array" ref="N847">_xlfn.IFS(M847&gt;=50,"50-60 Days", M847&gt;=40,"40-50 Days", M847&gt;=30, "30-40 Days", M847&gt;=20, "20-30 Days", M847&gt;=10, "10-20 Days", M847&gt;=0, "0-10 Days")</f>
        <v>10-20 Days</v>
      </c>
    </row>
    <row r="848" spans="1:14">
      <c r="A848">
        <v>847</v>
      </c>
      <c r="B848" t="s">
        <v>29</v>
      </c>
      <c r="C848" s="5">
        <v>45319</v>
      </c>
      <c r="D848" s="8">
        <v>45319</v>
      </c>
      <c r="E848" s="8" t="str">
        <f>IF(B848="Inactive", EDATE(D848,K848), "")</f>
        <v/>
      </c>
      <c r="F848" t="s">
        <v>14</v>
      </c>
      <c r="G848">
        <v>24.2</v>
      </c>
      <c r="H848" t="str" cm="1">
        <f t="array" ref="H848">_xlfn.IFS(G848&gt;=20,"20-25", G848&gt;=15,"15-20", G848&gt;=10,"10-15", G848&gt;=5,"5-10", G848&gt;=1,"1-5", G848&lt;1,"Less than 1")</f>
        <v>20-25</v>
      </c>
      <c r="I848">
        <v>2</v>
      </c>
      <c r="J848">
        <v>3</v>
      </c>
      <c r="K848" s="6">
        <v>2</v>
      </c>
      <c r="L848" s="2">
        <v>3.99</v>
      </c>
      <c r="M848" s="6">
        <v>48</v>
      </c>
      <c r="N848" t="str" cm="1">
        <f t="array" ref="N848">_xlfn.IFS(M848&gt;=50,"50-60 Days", M848&gt;=40,"40-50 Days", M848&gt;=30, "30-40 Days", M848&gt;=20, "20-30 Days", M848&gt;=10, "10-20 Days", M848&gt;=0, "0-10 Days")</f>
        <v>40-50 Days</v>
      </c>
    </row>
    <row r="849" spans="1:14">
      <c r="A849">
        <v>848</v>
      </c>
      <c r="B849" t="s">
        <v>29</v>
      </c>
      <c r="C849" s="5">
        <v>45280</v>
      </c>
      <c r="D849" s="8">
        <v>45280</v>
      </c>
      <c r="E849" s="8" t="str">
        <f>IF(B849="Inactive", EDATE(D849,K849), "")</f>
        <v/>
      </c>
      <c r="F849" t="s">
        <v>12</v>
      </c>
      <c r="G849">
        <v>18.3</v>
      </c>
      <c r="H849" t="str" cm="1">
        <f t="array" ref="H849">_xlfn.IFS(G849&gt;=20,"20-25", G849&gt;=15,"15-20", G849&gt;=10,"10-15", G849&gt;=5,"5-10", G849&gt;=1,"1-5", G849&lt;1,"Less than 1")</f>
        <v>15-20</v>
      </c>
      <c r="I849">
        <v>2</v>
      </c>
      <c r="J849">
        <v>1</v>
      </c>
      <c r="K849" s="6">
        <v>10</v>
      </c>
      <c r="L849" s="2">
        <v>1.99</v>
      </c>
      <c r="M849" s="6">
        <v>36</v>
      </c>
      <c r="N849" t="str" cm="1">
        <f t="array" ref="N849">_xlfn.IFS(M849&gt;=50,"50-60 Days", M849&gt;=40,"40-50 Days", M849&gt;=30, "30-40 Days", M849&gt;=20, "20-30 Days", M849&gt;=10, "10-20 Days", M849&gt;=0, "0-10 Days")</f>
        <v>30-40 Days</v>
      </c>
    </row>
    <row r="850" spans="1:14">
      <c r="A850">
        <v>849</v>
      </c>
      <c r="B850" t="s">
        <v>29</v>
      </c>
      <c r="C850" s="5">
        <v>45414</v>
      </c>
      <c r="D850" s="8">
        <v>45414</v>
      </c>
      <c r="E850" s="8" t="str">
        <f>IF(B850="Inactive", EDATE(D850,K850), "")</f>
        <v/>
      </c>
      <c r="F850" t="s">
        <v>12</v>
      </c>
      <c r="G850">
        <v>19</v>
      </c>
      <c r="H850" t="str" cm="1">
        <f t="array" ref="H850">_xlfn.IFS(G850&gt;=20,"20-25", G850&gt;=15,"15-20", G850&gt;=10,"10-15", G850&gt;=5,"5-10", G850&gt;=1,"1-5", G850&lt;1,"Less than 1")</f>
        <v>15-20</v>
      </c>
      <c r="I850">
        <v>1</v>
      </c>
      <c r="J850">
        <v>0</v>
      </c>
      <c r="K850" s="6">
        <v>6</v>
      </c>
      <c r="L850" s="2">
        <v>1.99</v>
      </c>
      <c r="M850" s="6">
        <v>10</v>
      </c>
      <c r="N850" t="str" cm="1">
        <f t="array" ref="N850">_xlfn.IFS(M850&gt;=50,"50-60 Days", M850&gt;=40,"40-50 Days", M850&gt;=30, "30-40 Days", M850&gt;=20, "20-30 Days", M850&gt;=10, "10-20 Days", M850&gt;=0, "0-10 Days")</f>
        <v>10-20 Days</v>
      </c>
    </row>
    <row r="851" spans="1:14">
      <c r="A851">
        <v>850</v>
      </c>
      <c r="B851" t="s">
        <v>29</v>
      </c>
      <c r="C851" s="5">
        <v>45326</v>
      </c>
      <c r="D851" s="8">
        <v>45326</v>
      </c>
      <c r="E851" s="8" t="str">
        <f>IF(B851="Inactive", EDATE(D851,K851), "")</f>
        <v/>
      </c>
      <c r="F851" t="s">
        <v>14</v>
      </c>
      <c r="G851">
        <v>18.8</v>
      </c>
      <c r="H851" t="str" cm="1">
        <f t="array" ref="H851">_xlfn.IFS(G851&gt;=20,"20-25", G851&gt;=15,"15-20", G851&gt;=10,"10-15", G851&gt;=5,"5-10", G851&gt;=1,"1-5", G851&lt;1,"Less than 1")</f>
        <v>15-20</v>
      </c>
      <c r="I851">
        <v>8</v>
      </c>
      <c r="J851">
        <v>1</v>
      </c>
      <c r="K851" s="6">
        <v>11</v>
      </c>
      <c r="L851" s="2">
        <v>3.99</v>
      </c>
      <c r="M851" s="6">
        <v>24</v>
      </c>
      <c r="N851" t="str" cm="1">
        <f t="array" ref="N851">_xlfn.IFS(M851&gt;=50,"50-60 Days", M851&gt;=40,"40-50 Days", M851&gt;=30, "30-40 Days", M851&gt;=20, "20-30 Days", M851&gt;=10, "10-20 Days", M851&gt;=0, "0-10 Days")</f>
        <v>20-30 Days</v>
      </c>
    </row>
    <row r="852" spans="1:14">
      <c r="A852">
        <v>851</v>
      </c>
      <c r="B852" t="s">
        <v>29</v>
      </c>
      <c r="C852" s="5">
        <v>45386</v>
      </c>
      <c r="D852" s="8">
        <v>45386</v>
      </c>
      <c r="E852" s="8" t="str">
        <f>IF(B852="Inactive", EDATE(D852,K852), "")</f>
        <v/>
      </c>
      <c r="F852" t="s">
        <v>14</v>
      </c>
      <c r="G852">
        <v>4.0999999999999996</v>
      </c>
      <c r="H852" t="str" cm="1">
        <f t="array" ref="H852">_xlfn.IFS(G852&gt;=20,"20-25", G852&gt;=15,"15-20", G852&gt;=10,"10-15", G852&gt;=5,"5-10", G852&gt;=1,"1-5", G852&lt;1,"Less than 1")</f>
        <v>1-5</v>
      </c>
      <c r="I852">
        <v>6</v>
      </c>
      <c r="J852">
        <v>0</v>
      </c>
      <c r="K852" s="6">
        <v>6</v>
      </c>
      <c r="L852" s="2">
        <v>3.99</v>
      </c>
      <c r="M852" s="6">
        <v>18</v>
      </c>
      <c r="N852" t="str" cm="1">
        <f t="array" ref="N852">_xlfn.IFS(M852&gt;=50,"50-60 Days", M852&gt;=40,"40-50 Days", M852&gt;=30, "30-40 Days", M852&gt;=20, "20-30 Days", M852&gt;=10, "10-20 Days", M852&gt;=0, "0-10 Days")</f>
        <v>10-20 Days</v>
      </c>
    </row>
    <row r="853" spans="1:14">
      <c r="A853">
        <v>852</v>
      </c>
      <c r="B853" t="s">
        <v>29</v>
      </c>
      <c r="C853" s="5">
        <v>45289</v>
      </c>
      <c r="D853" s="8">
        <v>45289</v>
      </c>
      <c r="E853" s="8" t="str">
        <f>IF(B853="Inactive", EDATE(D853,K853), "")</f>
        <v/>
      </c>
      <c r="F853" t="s">
        <v>14</v>
      </c>
      <c r="G853">
        <v>24.1</v>
      </c>
      <c r="H853" t="str" cm="1">
        <f t="array" ref="H853">_xlfn.IFS(G853&gt;=20,"20-25", G853&gt;=15,"15-20", G853&gt;=10,"10-15", G853&gt;=5,"5-10", G853&gt;=1,"1-5", G853&lt;1,"Less than 1")</f>
        <v>20-25</v>
      </c>
      <c r="I853">
        <v>0</v>
      </c>
      <c r="J853">
        <v>0</v>
      </c>
      <c r="K853" s="6">
        <v>7</v>
      </c>
      <c r="L853" s="2">
        <v>3.99</v>
      </c>
      <c r="M853" s="6">
        <v>58</v>
      </c>
      <c r="N853" t="str" cm="1">
        <f t="array" ref="N853">_xlfn.IFS(M853&gt;=50,"50-60 Days", M853&gt;=40,"40-50 Days", M853&gt;=30, "30-40 Days", M853&gt;=20, "20-30 Days", M853&gt;=10, "10-20 Days", M853&gt;=0, "0-10 Days")</f>
        <v>50-60 Days</v>
      </c>
    </row>
    <row r="854" spans="1:14">
      <c r="A854">
        <v>853</v>
      </c>
      <c r="B854" t="s">
        <v>29</v>
      </c>
      <c r="C854" s="5">
        <v>45327</v>
      </c>
      <c r="D854" s="8">
        <v>45327</v>
      </c>
      <c r="E854" s="8" t="str">
        <f>IF(B854="Inactive", EDATE(D854,K854), "")</f>
        <v/>
      </c>
      <c r="F854" t="s">
        <v>14</v>
      </c>
      <c r="G854">
        <v>8.6999999999999993</v>
      </c>
      <c r="H854" t="str" cm="1">
        <f t="array" ref="H854">_xlfn.IFS(G854&gt;=20,"20-25", G854&gt;=15,"15-20", G854&gt;=10,"10-15", G854&gt;=5,"5-10", G854&gt;=1,"1-5", G854&lt;1,"Less than 1")</f>
        <v>5-10</v>
      </c>
      <c r="I854">
        <v>4</v>
      </c>
      <c r="J854">
        <v>0</v>
      </c>
      <c r="K854" s="6">
        <v>6</v>
      </c>
      <c r="L854" s="2">
        <v>3.99</v>
      </c>
      <c r="M854" s="6">
        <v>16</v>
      </c>
      <c r="N854" t="str" cm="1">
        <f t="array" ref="N854">_xlfn.IFS(M854&gt;=50,"50-60 Days", M854&gt;=40,"40-50 Days", M854&gt;=30, "30-40 Days", M854&gt;=20, "20-30 Days", M854&gt;=10, "10-20 Days", M854&gt;=0, "0-10 Days")</f>
        <v>10-20 Days</v>
      </c>
    </row>
    <row r="855" spans="1:14">
      <c r="A855">
        <v>854</v>
      </c>
      <c r="B855" t="s">
        <v>29</v>
      </c>
      <c r="C855" s="5">
        <v>45111</v>
      </c>
      <c r="D855" s="8">
        <v>45111</v>
      </c>
      <c r="E855" s="8" t="str">
        <f>IF(B855="Inactive", EDATE(D855,K855), "")</f>
        <v/>
      </c>
      <c r="F855" t="s">
        <v>14</v>
      </c>
      <c r="G855">
        <v>18.5</v>
      </c>
      <c r="H855" t="str" cm="1">
        <f t="array" ref="H855">_xlfn.IFS(G855&gt;=20,"20-25", G855&gt;=15,"15-20", G855&gt;=10,"10-15", G855&gt;=5,"5-10", G855&gt;=1,"1-5", G855&lt;1,"Less than 1")</f>
        <v>15-20</v>
      </c>
      <c r="I855">
        <v>3</v>
      </c>
      <c r="J855">
        <v>4</v>
      </c>
      <c r="K855" s="6">
        <v>6</v>
      </c>
      <c r="L855" s="2">
        <v>3.99</v>
      </c>
      <c r="M855" s="6">
        <v>21</v>
      </c>
      <c r="N855" t="str" cm="1">
        <f t="array" ref="N855">_xlfn.IFS(M855&gt;=50,"50-60 Days", M855&gt;=40,"40-50 Days", M855&gt;=30, "30-40 Days", M855&gt;=20, "20-30 Days", M855&gt;=10, "10-20 Days", M855&gt;=0, "0-10 Days")</f>
        <v>20-30 Days</v>
      </c>
    </row>
    <row r="856" spans="1:14">
      <c r="A856">
        <v>855</v>
      </c>
      <c r="B856" t="s">
        <v>29</v>
      </c>
      <c r="C856" s="5">
        <v>45464</v>
      </c>
      <c r="D856" s="8">
        <v>45464</v>
      </c>
      <c r="E856" s="8" t="str">
        <f>IF(B856="Inactive", EDATE(D856,K856), "")</f>
        <v/>
      </c>
      <c r="F856" t="s">
        <v>14</v>
      </c>
      <c r="G856">
        <v>0.8</v>
      </c>
      <c r="H856" t="str" cm="1">
        <f t="array" ref="H856">_xlfn.IFS(G856&gt;=20,"20-25", G856&gt;=15,"15-20", G856&gt;=10,"10-15", G856&gt;=5,"5-10", G856&gt;=1,"1-5", G856&lt;1,"Less than 1")</f>
        <v>Less than 1</v>
      </c>
      <c r="I856">
        <v>0</v>
      </c>
      <c r="J856">
        <v>0</v>
      </c>
      <c r="K856" s="6">
        <v>12</v>
      </c>
      <c r="L856" s="2">
        <v>3.99</v>
      </c>
      <c r="M856" s="6">
        <v>0</v>
      </c>
      <c r="N856" t="str" cm="1">
        <f t="array" ref="N856">_xlfn.IFS(M856&gt;=50,"50-60 Days", M856&gt;=40,"40-50 Days", M856&gt;=30, "30-40 Days", M856&gt;=20, "20-30 Days", M856&gt;=10, "10-20 Days", M856&gt;=0, "0-10 Days")</f>
        <v>0-10 Days</v>
      </c>
    </row>
    <row r="857" spans="1:14">
      <c r="A857">
        <v>856</v>
      </c>
      <c r="B857" t="s">
        <v>28</v>
      </c>
      <c r="C857" s="5">
        <v>45561</v>
      </c>
      <c r="D857" s="8">
        <v>45561</v>
      </c>
      <c r="E857" s="8">
        <f>IF(B857="Inactive", EDATE(D857,K857), "")</f>
        <v>45864</v>
      </c>
      <c r="F857" t="s">
        <v>12</v>
      </c>
      <c r="G857">
        <v>9.1</v>
      </c>
      <c r="H857" t="str" cm="1">
        <f t="array" ref="H857">_xlfn.IFS(G857&gt;=20,"20-25", G857&gt;=15,"15-20", G857&gt;=10,"10-15", G857&gt;=5,"5-10", G857&gt;=1,"1-5", G857&lt;1,"Less than 1")</f>
        <v>5-10</v>
      </c>
      <c r="I857">
        <v>4</v>
      </c>
      <c r="J857">
        <v>2</v>
      </c>
      <c r="K857" s="6">
        <v>10</v>
      </c>
      <c r="L857" s="2">
        <v>1.99</v>
      </c>
      <c r="M857" s="6">
        <v>12</v>
      </c>
      <c r="N857" t="str" cm="1">
        <f t="array" ref="N857">_xlfn.IFS(M857&gt;=50,"50-60 Days", M857&gt;=40,"40-50 Days", M857&gt;=30, "30-40 Days", M857&gt;=20, "20-30 Days", M857&gt;=10, "10-20 Days", M857&gt;=0, "0-10 Days")</f>
        <v>10-20 Days</v>
      </c>
    </row>
    <row r="858" spans="1:14">
      <c r="A858">
        <v>857</v>
      </c>
      <c r="B858" t="s">
        <v>28</v>
      </c>
      <c r="C858" s="5">
        <v>45049</v>
      </c>
      <c r="D858" s="8">
        <v>45049</v>
      </c>
      <c r="E858" s="8">
        <f>IF(B858="Inactive", EDATE(D858,K858), "")</f>
        <v>45110</v>
      </c>
      <c r="F858" t="s">
        <v>12</v>
      </c>
      <c r="G858">
        <v>23.5</v>
      </c>
      <c r="H858" t="str" cm="1">
        <f t="array" ref="H858">_xlfn.IFS(G858&gt;=20,"20-25", G858&gt;=15,"15-20", G858&gt;=10,"10-15", G858&gt;=5,"5-10", G858&gt;=1,"1-5", G858&lt;1,"Less than 1")</f>
        <v>20-25</v>
      </c>
      <c r="I858">
        <v>3</v>
      </c>
      <c r="J858">
        <v>4</v>
      </c>
      <c r="K858" s="6">
        <v>2</v>
      </c>
      <c r="L858" s="2">
        <v>1.99</v>
      </c>
      <c r="M858" s="6">
        <v>40</v>
      </c>
      <c r="N858" t="str" cm="1">
        <f t="array" ref="N858">_xlfn.IFS(M858&gt;=50,"50-60 Days", M858&gt;=40,"40-50 Days", M858&gt;=30, "30-40 Days", M858&gt;=20, "20-30 Days", M858&gt;=10, "10-20 Days", M858&gt;=0, "0-10 Days")</f>
        <v>40-50 Days</v>
      </c>
    </row>
    <row r="859" spans="1:14">
      <c r="A859">
        <v>858</v>
      </c>
      <c r="B859" t="s">
        <v>28</v>
      </c>
      <c r="C859" s="5">
        <v>45228</v>
      </c>
      <c r="D859" s="8">
        <v>45228</v>
      </c>
      <c r="E859" s="8">
        <f>IF(B859="Inactive", EDATE(D859,K859), "")</f>
        <v>45320</v>
      </c>
      <c r="F859" t="s">
        <v>12</v>
      </c>
      <c r="G859">
        <v>9.6999999999999993</v>
      </c>
      <c r="H859" t="str" cm="1">
        <f t="array" ref="H859">_xlfn.IFS(G859&gt;=20,"20-25", G859&gt;=15,"15-20", G859&gt;=10,"10-15", G859&gt;=5,"5-10", G859&gt;=1,"1-5", G859&lt;1,"Less than 1")</f>
        <v>5-10</v>
      </c>
      <c r="I859">
        <v>2</v>
      </c>
      <c r="J859">
        <v>0</v>
      </c>
      <c r="K859" s="6">
        <v>3</v>
      </c>
      <c r="L859" s="2">
        <v>1.99</v>
      </c>
      <c r="M859" s="6">
        <v>44</v>
      </c>
      <c r="N859" t="str" cm="1">
        <f t="array" ref="N859">_xlfn.IFS(M859&gt;=50,"50-60 Days", M859&gt;=40,"40-50 Days", M859&gt;=30, "30-40 Days", M859&gt;=20, "20-30 Days", M859&gt;=10, "10-20 Days", M859&gt;=0, "0-10 Days")</f>
        <v>40-50 Days</v>
      </c>
    </row>
    <row r="860" spans="1:14">
      <c r="A860">
        <v>859</v>
      </c>
      <c r="B860" t="s">
        <v>29</v>
      </c>
      <c r="C860" s="5">
        <v>45258</v>
      </c>
      <c r="D860" s="8">
        <v>45258</v>
      </c>
      <c r="E860" s="8" t="str">
        <f>IF(B860="Inactive", EDATE(D860,K860), "")</f>
        <v/>
      </c>
      <c r="F860" t="s">
        <v>14</v>
      </c>
      <c r="G860">
        <v>16.2</v>
      </c>
      <c r="H860" t="str" cm="1">
        <f t="array" ref="H860">_xlfn.IFS(G860&gt;=20,"20-25", G860&gt;=15,"15-20", G860&gt;=10,"10-15", G860&gt;=5,"5-10", G860&gt;=1,"1-5", G860&lt;1,"Less than 1")</f>
        <v>15-20</v>
      </c>
      <c r="I860">
        <v>4</v>
      </c>
      <c r="J860">
        <v>3</v>
      </c>
      <c r="K860" s="6">
        <v>2</v>
      </c>
      <c r="L860" s="2">
        <v>3.99</v>
      </c>
      <c r="M860" s="6">
        <v>44</v>
      </c>
      <c r="N860" t="str" cm="1">
        <f t="array" ref="N860">_xlfn.IFS(M860&gt;=50,"50-60 Days", M860&gt;=40,"40-50 Days", M860&gt;=30, "30-40 Days", M860&gt;=20, "20-30 Days", M860&gt;=10, "10-20 Days", M860&gt;=0, "0-10 Days")</f>
        <v>40-50 Days</v>
      </c>
    </row>
    <row r="861" spans="1:14">
      <c r="A861">
        <v>860</v>
      </c>
      <c r="B861" t="s">
        <v>28</v>
      </c>
      <c r="C861" s="5">
        <v>44988</v>
      </c>
      <c r="D861" s="8">
        <v>44988</v>
      </c>
      <c r="E861" s="8">
        <f>IF(B861="Inactive", EDATE(D861,K861), "")</f>
        <v>45110</v>
      </c>
      <c r="F861" t="s">
        <v>14</v>
      </c>
      <c r="G861">
        <v>19.600000000000001</v>
      </c>
      <c r="H861" t="str" cm="1">
        <f t="array" ref="H861">_xlfn.IFS(G861&gt;=20,"20-25", G861&gt;=15,"15-20", G861&gt;=10,"10-15", G861&gt;=5,"5-10", G861&gt;=1,"1-5", G861&lt;1,"Less than 1")</f>
        <v>15-20</v>
      </c>
      <c r="I861">
        <v>4</v>
      </c>
      <c r="J861">
        <v>0</v>
      </c>
      <c r="K861" s="6">
        <v>4</v>
      </c>
      <c r="L861" s="2">
        <v>3.99</v>
      </c>
      <c r="M861" s="6">
        <v>24</v>
      </c>
      <c r="N861" t="str" cm="1">
        <f t="array" ref="N861">_xlfn.IFS(M861&gt;=50,"50-60 Days", M861&gt;=40,"40-50 Days", M861&gt;=30, "30-40 Days", M861&gt;=20, "20-30 Days", M861&gt;=10, "10-20 Days", M861&gt;=0, "0-10 Days")</f>
        <v>20-30 Days</v>
      </c>
    </row>
    <row r="862" spans="1:14">
      <c r="A862">
        <v>861</v>
      </c>
      <c r="B862" t="s">
        <v>28</v>
      </c>
      <c r="C862" s="5">
        <v>45329</v>
      </c>
      <c r="D862" s="8">
        <v>45329</v>
      </c>
      <c r="E862" s="8">
        <f>IF(B862="Inactive", EDATE(D862,K862), "")</f>
        <v>45511</v>
      </c>
      <c r="F862" t="s">
        <v>14</v>
      </c>
      <c r="G862">
        <v>4.9000000000000004</v>
      </c>
      <c r="H862" t="str" cm="1">
        <f t="array" ref="H862">_xlfn.IFS(G862&gt;=20,"20-25", G862&gt;=15,"15-20", G862&gt;=10,"10-15", G862&gt;=5,"5-10", G862&gt;=1,"1-5", G862&lt;1,"Less than 1")</f>
        <v>1-5</v>
      </c>
      <c r="I862">
        <v>1</v>
      </c>
      <c r="J862">
        <v>3</v>
      </c>
      <c r="K862" s="6">
        <v>6</v>
      </c>
      <c r="L862" s="2">
        <v>3.99</v>
      </c>
      <c r="M862" s="6">
        <v>59</v>
      </c>
      <c r="N862" t="str" cm="1">
        <f t="array" ref="N862">_xlfn.IFS(M862&gt;=50,"50-60 Days", M862&gt;=40,"40-50 Days", M862&gt;=30, "30-40 Days", M862&gt;=20, "20-30 Days", M862&gt;=10, "10-20 Days", M862&gt;=0, "0-10 Days")</f>
        <v>50-60 Days</v>
      </c>
    </row>
    <row r="863" spans="1:14">
      <c r="A863">
        <v>862</v>
      </c>
      <c r="B863" t="s">
        <v>28</v>
      </c>
      <c r="C863" s="5">
        <v>45035</v>
      </c>
      <c r="D863" s="8">
        <v>45035</v>
      </c>
      <c r="E863" s="8">
        <f>IF(B863="Inactive", EDATE(D863,K863), "")</f>
        <v>45370</v>
      </c>
      <c r="F863" t="s">
        <v>12</v>
      </c>
      <c r="G863">
        <v>3.2</v>
      </c>
      <c r="H863" t="str" cm="1">
        <f t="array" ref="H863">_xlfn.IFS(G863&gt;=20,"20-25", G863&gt;=15,"15-20", G863&gt;=10,"10-15", G863&gt;=5,"5-10", G863&gt;=1,"1-5", G863&lt;1,"Less than 1")</f>
        <v>1-5</v>
      </c>
      <c r="I863">
        <v>8</v>
      </c>
      <c r="J863">
        <v>3</v>
      </c>
      <c r="K863" s="6">
        <v>11</v>
      </c>
      <c r="L863" s="2">
        <v>1.99</v>
      </c>
      <c r="M863" s="6">
        <v>13</v>
      </c>
      <c r="N863" t="str" cm="1">
        <f t="array" ref="N863">_xlfn.IFS(M863&gt;=50,"50-60 Days", M863&gt;=40,"40-50 Days", M863&gt;=30, "30-40 Days", M863&gt;=20, "20-30 Days", M863&gt;=10, "10-20 Days", M863&gt;=0, "0-10 Days")</f>
        <v>10-20 Days</v>
      </c>
    </row>
    <row r="864" spans="1:14">
      <c r="A864">
        <v>863</v>
      </c>
      <c r="B864" t="s">
        <v>29</v>
      </c>
      <c r="C864" s="5">
        <v>45383</v>
      </c>
      <c r="D864" s="8">
        <v>45383</v>
      </c>
      <c r="E864" s="8" t="str">
        <f>IF(B864="Inactive", EDATE(D864,K864), "")</f>
        <v/>
      </c>
      <c r="F864" t="s">
        <v>14</v>
      </c>
      <c r="G864">
        <v>3</v>
      </c>
      <c r="H864" t="str" cm="1">
        <f t="array" ref="H864">_xlfn.IFS(G864&gt;=20,"20-25", G864&gt;=15,"15-20", G864&gt;=10,"10-15", G864&gt;=5,"5-10", G864&gt;=1,"1-5", G864&lt;1,"Less than 1")</f>
        <v>1-5</v>
      </c>
      <c r="I864">
        <v>1</v>
      </c>
      <c r="J864">
        <v>0</v>
      </c>
      <c r="K864" s="6">
        <v>6</v>
      </c>
      <c r="L864" s="2">
        <v>3.99</v>
      </c>
      <c r="M864" s="6">
        <v>36</v>
      </c>
      <c r="N864" t="str" cm="1">
        <f t="array" ref="N864">_xlfn.IFS(M864&gt;=50,"50-60 Days", M864&gt;=40,"40-50 Days", M864&gt;=30, "30-40 Days", M864&gt;=20, "20-30 Days", M864&gt;=10, "10-20 Days", M864&gt;=0, "0-10 Days")</f>
        <v>30-40 Days</v>
      </c>
    </row>
    <row r="865" spans="1:14">
      <c r="A865">
        <v>864</v>
      </c>
      <c r="B865" t="s">
        <v>28</v>
      </c>
      <c r="C865" s="5">
        <v>45082</v>
      </c>
      <c r="D865" s="8">
        <v>45082</v>
      </c>
      <c r="E865" s="8">
        <f>IF(B865="Inactive", EDATE(D865,K865), "")</f>
        <v>45417</v>
      </c>
      <c r="F865" t="s">
        <v>12</v>
      </c>
      <c r="G865">
        <v>4.0999999999999996</v>
      </c>
      <c r="H865" t="str" cm="1">
        <f t="array" ref="H865">_xlfn.IFS(G865&gt;=20,"20-25", G865&gt;=15,"15-20", G865&gt;=10,"10-15", G865&gt;=5,"5-10", G865&gt;=1,"1-5", G865&lt;1,"Less than 1")</f>
        <v>1-5</v>
      </c>
      <c r="I865">
        <v>0</v>
      </c>
      <c r="J865">
        <v>0</v>
      </c>
      <c r="K865" s="6">
        <v>11</v>
      </c>
      <c r="L865" s="2">
        <v>1.99</v>
      </c>
      <c r="M865" s="6">
        <v>42</v>
      </c>
      <c r="N865" t="str" cm="1">
        <f t="array" ref="N865">_xlfn.IFS(M865&gt;=50,"50-60 Days", M865&gt;=40,"40-50 Days", M865&gt;=30, "30-40 Days", M865&gt;=20, "20-30 Days", M865&gt;=10, "10-20 Days", M865&gt;=0, "0-10 Days")</f>
        <v>40-50 Days</v>
      </c>
    </row>
    <row r="866" spans="1:14">
      <c r="A866">
        <v>865</v>
      </c>
      <c r="B866" t="s">
        <v>29</v>
      </c>
      <c r="C866" s="5">
        <v>45429</v>
      </c>
      <c r="D866" s="8">
        <v>45429</v>
      </c>
      <c r="E866" s="8" t="str">
        <f>IF(B866="Inactive", EDATE(D866,K866), "")</f>
        <v/>
      </c>
      <c r="F866" t="s">
        <v>10</v>
      </c>
      <c r="G866">
        <v>22.7</v>
      </c>
      <c r="H866" t="str" cm="1">
        <f t="array" ref="H866">_xlfn.IFS(G866&gt;=20,"20-25", G866&gt;=15,"15-20", G866&gt;=10,"10-15", G866&gt;=5,"5-10", G866&gt;=1,"1-5", G866&lt;1,"Less than 1")</f>
        <v>20-25</v>
      </c>
      <c r="I866">
        <v>0</v>
      </c>
      <c r="J866">
        <v>4</v>
      </c>
      <c r="K866" s="6">
        <v>8</v>
      </c>
      <c r="L866" s="2">
        <v>6.99</v>
      </c>
      <c r="M866" s="6">
        <v>45</v>
      </c>
      <c r="N866" t="str" cm="1">
        <f t="array" ref="N866">_xlfn.IFS(M866&gt;=50,"50-60 Days", M866&gt;=40,"40-50 Days", M866&gt;=30, "30-40 Days", M866&gt;=20, "20-30 Days", M866&gt;=10, "10-20 Days", M866&gt;=0, "0-10 Days")</f>
        <v>40-50 Days</v>
      </c>
    </row>
    <row r="867" spans="1:14">
      <c r="A867">
        <v>866</v>
      </c>
      <c r="B867" t="s">
        <v>28</v>
      </c>
      <c r="C867" s="5">
        <v>45632</v>
      </c>
      <c r="D867" s="8">
        <v>45632</v>
      </c>
      <c r="E867" s="8">
        <f>IF(B867="Inactive", EDATE(D867,K867), "")</f>
        <v>45936</v>
      </c>
      <c r="F867" t="s">
        <v>14</v>
      </c>
      <c r="G867">
        <v>10.4</v>
      </c>
      <c r="H867" t="str" cm="1">
        <f t="array" ref="H867">_xlfn.IFS(G867&gt;=20,"20-25", G867&gt;=15,"15-20", G867&gt;=10,"10-15", G867&gt;=5,"5-10", G867&gt;=1,"1-5", G867&lt;1,"Less than 1")</f>
        <v>10-15</v>
      </c>
      <c r="I867">
        <v>1</v>
      </c>
      <c r="J867">
        <v>4</v>
      </c>
      <c r="K867" s="6">
        <v>10</v>
      </c>
      <c r="L867" s="2">
        <v>3.99</v>
      </c>
      <c r="M867" s="6">
        <v>14</v>
      </c>
      <c r="N867" t="str" cm="1">
        <f t="array" ref="N867">_xlfn.IFS(M867&gt;=50,"50-60 Days", M867&gt;=40,"40-50 Days", M867&gt;=30, "30-40 Days", M867&gt;=20, "20-30 Days", M867&gt;=10, "10-20 Days", M867&gt;=0, "0-10 Days")</f>
        <v>10-20 Days</v>
      </c>
    </row>
    <row r="868" spans="1:14">
      <c r="A868">
        <v>867</v>
      </c>
      <c r="B868" t="s">
        <v>28</v>
      </c>
      <c r="C868" s="5">
        <v>44983</v>
      </c>
      <c r="D868" s="8">
        <v>44983</v>
      </c>
      <c r="E868" s="8">
        <f>IF(B868="Inactive", EDATE(D868,K868), "")</f>
        <v>45072</v>
      </c>
      <c r="F868" t="s">
        <v>14</v>
      </c>
      <c r="G868">
        <v>14.4</v>
      </c>
      <c r="H868" t="str" cm="1">
        <f t="array" ref="H868">_xlfn.IFS(G868&gt;=20,"20-25", G868&gt;=15,"15-20", G868&gt;=10,"10-15", G868&gt;=5,"5-10", G868&gt;=1,"1-5", G868&lt;1,"Less than 1")</f>
        <v>10-15</v>
      </c>
      <c r="I868">
        <v>5</v>
      </c>
      <c r="J868">
        <v>2</v>
      </c>
      <c r="K868" s="6">
        <v>3</v>
      </c>
      <c r="L868" s="2">
        <v>3.99</v>
      </c>
      <c r="M868" s="6">
        <v>43</v>
      </c>
      <c r="N868" t="str" cm="1">
        <f t="array" ref="N868">_xlfn.IFS(M868&gt;=50,"50-60 Days", M868&gt;=40,"40-50 Days", M868&gt;=30, "30-40 Days", M868&gt;=20, "20-30 Days", M868&gt;=10, "10-20 Days", M868&gt;=0, "0-10 Days")</f>
        <v>40-50 Days</v>
      </c>
    </row>
    <row r="869" spans="1:14">
      <c r="A869">
        <v>868</v>
      </c>
      <c r="B869" t="s">
        <v>28</v>
      </c>
      <c r="C869" s="5">
        <v>45223</v>
      </c>
      <c r="D869" s="8">
        <v>45223</v>
      </c>
      <c r="E869" s="8">
        <f>IF(B869="Inactive", EDATE(D869,K869), "")</f>
        <v>45284</v>
      </c>
      <c r="F869" t="s">
        <v>10</v>
      </c>
      <c r="G869">
        <v>9.5</v>
      </c>
      <c r="H869" t="str" cm="1">
        <f t="array" ref="H869">_xlfn.IFS(G869&gt;=20,"20-25", G869&gt;=15,"15-20", G869&gt;=10,"10-15", G869&gt;=5,"5-10", G869&gt;=1,"1-5", G869&lt;1,"Less than 1")</f>
        <v>5-10</v>
      </c>
      <c r="I869">
        <v>5</v>
      </c>
      <c r="J869">
        <v>0</v>
      </c>
      <c r="K869" s="6">
        <v>2</v>
      </c>
      <c r="L869" s="2">
        <v>6.99</v>
      </c>
      <c r="M869" s="6">
        <v>53</v>
      </c>
      <c r="N869" t="str" cm="1">
        <f t="array" ref="N869">_xlfn.IFS(M869&gt;=50,"50-60 Days", M869&gt;=40,"40-50 Days", M869&gt;=30, "30-40 Days", M869&gt;=20, "20-30 Days", M869&gt;=10, "10-20 Days", M869&gt;=0, "0-10 Days")</f>
        <v>50-60 Days</v>
      </c>
    </row>
    <row r="870" spans="1:14">
      <c r="A870">
        <v>869</v>
      </c>
      <c r="B870" t="s">
        <v>28</v>
      </c>
      <c r="C870" s="5">
        <v>45639</v>
      </c>
      <c r="D870" s="8">
        <v>45639</v>
      </c>
      <c r="E870" s="8">
        <f>IF(B870="Inactive", EDATE(D870,K870), "")</f>
        <v>45790</v>
      </c>
      <c r="F870" t="s">
        <v>10</v>
      </c>
      <c r="G870">
        <v>4.8</v>
      </c>
      <c r="H870" t="str" cm="1">
        <f t="array" ref="H870">_xlfn.IFS(G870&gt;=20,"20-25", G870&gt;=15,"15-20", G870&gt;=10,"10-15", G870&gt;=5,"5-10", G870&gt;=1,"1-5", G870&lt;1,"Less than 1")</f>
        <v>1-5</v>
      </c>
      <c r="I870">
        <v>0</v>
      </c>
      <c r="J870">
        <v>3</v>
      </c>
      <c r="K870" s="6">
        <v>5</v>
      </c>
      <c r="L870" s="2">
        <v>6.99</v>
      </c>
      <c r="M870" s="6">
        <v>42</v>
      </c>
      <c r="N870" t="str" cm="1">
        <f t="array" ref="N870">_xlfn.IFS(M870&gt;=50,"50-60 Days", M870&gt;=40,"40-50 Days", M870&gt;=30, "30-40 Days", M870&gt;=20, "20-30 Days", M870&gt;=10, "10-20 Days", M870&gt;=0, "0-10 Days")</f>
        <v>40-50 Days</v>
      </c>
    </row>
    <row r="871" spans="1:14">
      <c r="A871">
        <v>870</v>
      </c>
      <c r="B871" t="s">
        <v>29</v>
      </c>
      <c r="C871" s="5">
        <v>45375</v>
      </c>
      <c r="D871" s="8">
        <v>45375</v>
      </c>
      <c r="E871" s="8" t="str">
        <f>IF(B871="Inactive", EDATE(D871,K871), "")</f>
        <v/>
      </c>
      <c r="F871" t="s">
        <v>14</v>
      </c>
      <c r="G871">
        <v>16</v>
      </c>
      <c r="H871" t="str" cm="1">
        <f t="array" ref="H871">_xlfn.IFS(G871&gt;=20,"20-25", G871&gt;=15,"15-20", G871&gt;=10,"10-15", G871&gt;=5,"5-10", G871&gt;=1,"1-5", G871&lt;1,"Less than 1")</f>
        <v>15-20</v>
      </c>
      <c r="I871">
        <v>5</v>
      </c>
      <c r="J871">
        <v>3</v>
      </c>
      <c r="K871" s="6">
        <v>3</v>
      </c>
      <c r="L871" s="2">
        <v>3.99</v>
      </c>
      <c r="M871" s="6">
        <v>5</v>
      </c>
      <c r="N871" t="str" cm="1">
        <f t="array" ref="N871">_xlfn.IFS(M871&gt;=50,"50-60 Days", M871&gt;=40,"40-50 Days", M871&gt;=30, "30-40 Days", M871&gt;=20, "20-30 Days", M871&gt;=10, "10-20 Days", M871&gt;=0, "0-10 Days")</f>
        <v>0-10 Days</v>
      </c>
    </row>
    <row r="872" spans="1:14">
      <c r="A872">
        <v>871</v>
      </c>
      <c r="B872" t="s">
        <v>29</v>
      </c>
      <c r="C872" s="5">
        <v>45171</v>
      </c>
      <c r="D872" s="8">
        <v>45171</v>
      </c>
      <c r="E872" s="8" t="str">
        <f>IF(B872="Inactive", EDATE(D872,K872), "")</f>
        <v/>
      </c>
      <c r="F872" t="s">
        <v>10</v>
      </c>
      <c r="G872">
        <v>3.9</v>
      </c>
      <c r="H872" t="str" cm="1">
        <f t="array" ref="H872">_xlfn.IFS(G872&gt;=20,"20-25", G872&gt;=15,"15-20", G872&gt;=10,"10-15", G872&gt;=5,"5-10", G872&gt;=1,"1-5", G872&lt;1,"Less than 1")</f>
        <v>1-5</v>
      </c>
      <c r="I872">
        <v>3</v>
      </c>
      <c r="J872">
        <v>0</v>
      </c>
      <c r="K872" s="6">
        <v>5</v>
      </c>
      <c r="L872" s="2">
        <v>6.99</v>
      </c>
      <c r="M872" s="6">
        <v>46</v>
      </c>
      <c r="N872" t="str" cm="1">
        <f t="array" ref="N872">_xlfn.IFS(M872&gt;=50,"50-60 Days", M872&gt;=40,"40-50 Days", M872&gt;=30, "30-40 Days", M872&gt;=20, "20-30 Days", M872&gt;=10, "10-20 Days", M872&gt;=0, "0-10 Days")</f>
        <v>40-50 Days</v>
      </c>
    </row>
    <row r="873" spans="1:14">
      <c r="A873">
        <v>872</v>
      </c>
      <c r="B873" t="s">
        <v>28</v>
      </c>
      <c r="C873" s="5">
        <v>45387</v>
      </c>
      <c r="D873" s="8">
        <v>45387</v>
      </c>
      <c r="E873" s="8">
        <f>IF(B873="Inactive", EDATE(D873,K873), "")</f>
        <v>45662</v>
      </c>
      <c r="F873" t="s">
        <v>14</v>
      </c>
      <c r="G873">
        <v>2</v>
      </c>
      <c r="H873" t="str" cm="1">
        <f t="array" ref="H873">_xlfn.IFS(G873&gt;=20,"20-25", G873&gt;=15,"15-20", G873&gt;=10,"10-15", G873&gt;=5,"5-10", G873&gt;=1,"1-5", G873&lt;1,"Less than 1")</f>
        <v>1-5</v>
      </c>
      <c r="I873">
        <v>8</v>
      </c>
      <c r="J873">
        <v>5</v>
      </c>
      <c r="K873" s="6">
        <v>9</v>
      </c>
      <c r="L873" s="2">
        <v>3.99</v>
      </c>
      <c r="M873" s="6">
        <v>19</v>
      </c>
      <c r="N873" t="str" cm="1">
        <f t="array" ref="N873">_xlfn.IFS(M873&gt;=50,"50-60 Days", M873&gt;=40,"40-50 Days", M873&gt;=30, "30-40 Days", M873&gt;=20, "20-30 Days", M873&gt;=10, "10-20 Days", M873&gt;=0, "0-10 Days")</f>
        <v>10-20 Days</v>
      </c>
    </row>
    <row r="874" spans="1:14">
      <c r="A874">
        <v>873</v>
      </c>
      <c r="B874" t="s">
        <v>28</v>
      </c>
      <c r="C874" s="5">
        <v>45143</v>
      </c>
      <c r="D874" s="8">
        <v>45143</v>
      </c>
      <c r="E874" s="8">
        <f>IF(B874="Inactive", EDATE(D874,K874), "")</f>
        <v>45174</v>
      </c>
      <c r="F874" t="s">
        <v>12</v>
      </c>
      <c r="G874">
        <v>8.8000000000000007</v>
      </c>
      <c r="H874" t="str" cm="1">
        <f t="array" ref="H874">_xlfn.IFS(G874&gt;=20,"20-25", G874&gt;=15,"15-20", G874&gt;=10,"10-15", G874&gt;=5,"5-10", G874&gt;=1,"1-5", G874&lt;1,"Less than 1")</f>
        <v>5-10</v>
      </c>
      <c r="I874">
        <v>5</v>
      </c>
      <c r="J874">
        <v>5</v>
      </c>
      <c r="K874" s="6">
        <v>1</v>
      </c>
      <c r="L874" s="2">
        <v>1.99</v>
      </c>
      <c r="M874" s="6">
        <v>2</v>
      </c>
      <c r="N874" t="str" cm="1">
        <f t="array" ref="N874">_xlfn.IFS(M874&gt;=50,"50-60 Days", M874&gt;=40,"40-50 Days", M874&gt;=30, "30-40 Days", M874&gt;=20, "20-30 Days", M874&gt;=10, "10-20 Days", M874&gt;=0, "0-10 Days")</f>
        <v>0-10 Days</v>
      </c>
    </row>
    <row r="875" spans="1:14">
      <c r="A875">
        <v>874</v>
      </c>
      <c r="B875" t="s">
        <v>29</v>
      </c>
      <c r="C875" s="5">
        <v>45000</v>
      </c>
      <c r="D875" s="8">
        <v>45000</v>
      </c>
      <c r="E875" s="8" t="str">
        <f>IF(B875="Inactive", EDATE(D875,K875), "")</f>
        <v/>
      </c>
      <c r="F875" t="s">
        <v>10</v>
      </c>
      <c r="G875">
        <v>11.7</v>
      </c>
      <c r="H875" t="str" cm="1">
        <f t="array" ref="H875">_xlfn.IFS(G875&gt;=20,"20-25", G875&gt;=15,"15-20", G875&gt;=10,"10-15", G875&gt;=5,"5-10", G875&gt;=1,"1-5", G875&lt;1,"Less than 1")</f>
        <v>10-15</v>
      </c>
      <c r="I875">
        <v>8</v>
      </c>
      <c r="J875">
        <v>1</v>
      </c>
      <c r="K875" s="6">
        <v>12</v>
      </c>
      <c r="L875" s="2">
        <v>6.99</v>
      </c>
      <c r="M875" s="6">
        <v>47</v>
      </c>
      <c r="N875" t="str" cm="1">
        <f t="array" ref="N875">_xlfn.IFS(M875&gt;=50,"50-60 Days", M875&gt;=40,"40-50 Days", M875&gt;=30, "30-40 Days", M875&gt;=20, "20-30 Days", M875&gt;=10, "10-20 Days", M875&gt;=0, "0-10 Days")</f>
        <v>40-50 Days</v>
      </c>
    </row>
    <row r="876" spans="1:14">
      <c r="A876">
        <v>875</v>
      </c>
      <c r="B876" t="s">
        <v>29</v>
      </c>
      <c r="C876" s="5">
        <v>44973</v>
      </c>
      <c r="D876" s="8">
        <v>44973</v>
      </c>
      <c r="E876" s="8" t="str">
        <f>IF(B876="Inactive", EDATE(D876,K876), "")</f>
        <v/>
      </c>
      <c r="F876" t="s">
        <v>12</v>
      </c>
      <c r="G876">
        <v>12.5</v>
      </c>
      <c r="H876" t="str" cm="1">
        <f t="array" ref="H876">_xlfn.IFS(G876&gt;=20,"20-25", G876&gt;=15,"15-20", G876&gt;=10,"10-15", G876&gt;=5,"5-10", G876&gt;=1,"1-5", G876&lt;1,"Less than 1")</f>
        <v>10-15</v>
      </c>
      <c r="I876">
        <v>0</v>
      </c>
      <c r="J876">
        <v>3</v>
      </c>
      <c r="K876" s="6">
        <v>4</v>
      </c>
      <c r="L876" s="2">
        <v>1.99</v>
      </c>
      <c r="M876" s="6">
        <v>58</v>
      </c>
      <c r="N876" t="str" cm="1">
        <f t="array" ref="N876">_xlfn.IFS(M876&gt;=50,"50-60 Days", M876&gt;=40,"40-50 Days", M876&gt;=30, "30-40 Days", M876&gt;=20, "20-30 Days", M876&gt;=10, "10-20 Days", M876&gt;=0, "0-10 Days")</f>
        <v>50-60 Days</v>
      </c>
    </row>
    <row r="877" spans="1:14">
      <c r="A877">
        <v>876</v>
      </c>
      <c r="B877" t="s">
        <v>28</v>
      </c>
      <c r="C877" s="5">
        <v>45394</v>
      </c>
      <c r="D877" s="8">
        <v>45394</v>
      </c>
      <c r="E877" s="8">
        <f>IF(B877="Inactive", EDATE(D877,K877), "")</f>
        <v>45485</v>
      </c>
      <c r="F877" t="s">
        <v>12</v>
      </c>
      <c r="G877">
        <v>0.9</v>
      </c>
      <c r="H877" t="str" cm="1">
        <f t="array" ref="H877">_xlfn.IFS(G877&gt;=20,"20-25", G877&gt;=15,"15-20", G877&gt;=10,"10-15", G877&gt;=5,"5-10", G877&gt;=1,"1-5", G877&lt;1,"Less than 1")</f>
        <v>Less than 1</v>
      </c>
      <c r="I877">
        <v>0</v>
      </c>
      <c r="J877">
        <v>2</v>
      </c>
      <c r="K877" s="6">
        <v>3</v>
      </c>
      <c r="L877" s="2">
        <v>1.99</v>
      </c>
      <c r="M877" s="6">
        <v>52</v>
      </c>
      <c r="N877" t="str" cm="1">
        <f t="array" ref="N877">_xlfn.IFS(M877&gt;=50,"50-60 Days", M877&gt;=40,"40-50 Days", M877&gt;=30, "30-40 Days", M877&gt;=20, "20-30 Days", M877&gt;=10, "10-20 Days", M877&gt;=0, "0-10 Days")</f>
        <v>50-60 Days</v>
      </c>
    </row>
    <row r="878" spans="1:14">
      <c r="A878">
        <v>877</v>
      </c>
      <c r="B878" t="s">
        <v>29</v>
      </c>
      <c r="C878" s="5">
        <v>45557</v>
      </c>
      <c r="D878" s="8">
        <v>45557</v>
      </c>
      <c r="E878" s="8" t="str">
        <f>IF(B878="Inactive", EDATE(D878,K878), "")</f>
        <v/>
      </c>
      <c r="F878" t="s">
        <v>10</v>
      </c>
      <c r="G878">
        <v>21</v>
      </c>
      <c r="H878" t="str" cm="1">
        <f t="array" ref="H878">_xlfn.IFS(G878&gt;=20,"20-25", G878&gt;=15,"15-20", G878&gt;=10,"10-15", G878&gt;=5,"5-10", G878&gt;=1,"1-5", G878&lt;1,"Less than 1")</f>
        <v>20-25</v>
      </c>
      <c r="I878">
        <v>1</v>
      </c>
      <c r="J878">
        <v>0</v>
      </c>
      <c r="K878" s="6">
        <v>4</v>
      </c>
      <c r="L878" s="2">
        <v>6.99</v>
      </c>
      <c r="M878" s="6">
        <v>7</v>
      </c>
      <c r="N878" t="str" cm="1">
        <f t="array" ref="N878">_xlfn.IFS(M878&gt;=50,"50-60 Days", M878&gt;=40,"40-50 Days", M878&gt;=30, "30-40 Days", M878&gt;=20, "20-30 Days", M878&gt;=10, "10-20 Days", M878&gt;=0, "0-10 Days")</f>
        <v>0-10 Days</v>
      </c>
    </row>
    <row r="879" spans="1:14">
      <c r="A879">
        <v>878</v>
      </c>
      <c r="B879" t="s">
        <v>29</v>
      </c>
      <c r="C879" s="5">
        <v>45621</v>
      </c>
      <c r="D879" s="8">
        <v>45621</v>
      </c>
      <c r="E879" s="8" t="str">
        <f>IF(B879="Inactive", EDATE(D879,K879), "")</f>
        <v/>
      </c>
      <c r="F879" t="s">
        <v>12</v>
      </c>
      <c r="G879">
        <v>20.2</v>
      </c>
      <c r="H879" t="str" cm="1">
        <f t="array" ref="H879">_xlfn.IFS(G879&gt;=20,"20-25", G879&gt;=15,"15-20", G879&gt;=10,"10-15", G879&gt;=5,"5-10", G879&gt;=1,"1-5", G879&lt;1,"Less than 1")</f>
        <v>20-25</v>
      </c>
      <c r="I879">
        <v>6</v>
      </c>
      <c r="J879">
        <v>2</v>
      </c>
      <c r="K879" s="6">
        <v>2</v>
      </c>
      <c r="L879" s="2">
        <v>1.99</v>
      </c>
      <c r="M879" s="6">
        <v>51</v>
      </c>
      <c r="N879" t="str" cm="1">
        <f t="array" ref="N879">_xlfn.IFS(M879&gt;=50,"50-60 Days", M879&gt;=40,"40-50 Days", M879&gt;=30, "30-40 Days", M879&gt;=20, "20-30 Days", M879&gt;=10, "10-20 Days", M879&gt;=0, "0-10 Days")</f>
        <v>50-60 Days</v>
      </c>
    </row>
    <row r="880" spans="1:14">
      <c r="A880">
        <v>879</v>
      </c>
      <c r="B880" t="s">
        <v>29</v>
      </c>
      <c r="C880" s="5">
        <v>45145</v>
      </c>
      <c r="D880" s="8">
        <v>45145</v>
      </c>
      <c r="E880" s="8" t="str">
        <f>IF(B880="Inactive", EDATE(D880,K880), "")</f>
        <v/>
      </c>
      <c r="F880" t="s">
        <v>14</v>
      </c>
      <c r="G880">
        <v>3.5</v>
      </c>
      <c r="H880" t="str" cm="1">
        <f t="array" ref="H880">_xlfn.IFS(G880&gt;=20,"20-25", G880&gt;=15,"15-20", G880&gt;=10,"10-15", G880&gt;=5,"5-10", G880&gt;=1,"1-5", G880&lt;1,"Less than 1")</f>
        <v>1-5</v>
      </c>
      <c r="I880">
        <v>8</v>
      </c>
      <c r="J880">
        <v>1</v>
      </c>
      <c r="K880" s="6">
        <v>7</v>
      </c>
      <c r="L880" s="2">
        <v>3.99</v>
      </c>
      <c r="M880" s="6">
        <v>20</v>
      </c>
      <c r="N880" t="str" cm="1">
        <f t="array" ref="N880">_xlfn.IFS(M880&gt;=50,"50-60 Days", M880&gt;=40,"40-50 Days", M880&gt;=30, "30-40 Days", M880&gt;=20, "20-30 Days", M880&gt;=10, "10-20 Days", M880&gt;=0, "0-10 Days")</f>
        <v>20-30 Days</v>
      </c>
    </row>
    <row r="881" spans="1:14">
      <c r="A881">
        <v>880</v>
      </c>
      <c r="B881" t="s">
        <v>29</v>
      </c>
      <c r="C881" s="5">
        <v>45099</v>
      </c>
      <c r="D881" s="8">
        <v>45099</v>
      </c>
      <c r="E881" s="8" t="str">
        <f>IF(B881="Inactive", EDATE(D881,K881), "")</f>
        <v/>
      </c>
      <c r="F881" t="s">
        <v>12</v>
      </c>
      <c r="G881">
        <v>8.6999999999999993</v>
      </c>
      <c r="H881" t="str" cm="1">
        <f t="array" ref="H881">_xlfn.IFS(G881&gt;=20,"20-25", G881&gt;=15,"15-20", G881&gt;=10,"10-15", G881&gt;=5,"5-10", G881&gt;=1,"1-5", G881&lt;1,"Less than 1")</f>
        <v>5-10</v>
      </c>
      <c r="I881">
        <v>1</v>
      </c>
      <c r="J881">
        <v>2</v>
      </c>
      <c r="K881" s="6">
        <v>4</v>
      </c>
      <c r="L881" s="2">
        <v>1.99</v>
      </c>
      <c r="M881" s="6">
        <v>9</v>
      </c>
      <c r="N881" t="str" cm="1">
        <f t="array" ref="N881">_xlfn.IFS(M881&gt;=50,"50-60 Days", M881&gt;=40,"40-50 Days", M881&gt;=30, "30-40 Days", M881&gt;=20, "20-30 Days", M881&gt;=10, "10-20 Days", M881&gt;=0, "0-10 Days")</f>
        <v>0-10 Days</v>
      </c>
    </row>
    <row r="882" spans="1:14">
      <c r="A882">
        <v>881</v>
      </c>
      <c r="B882" t="s">
        <v>29</v>
      </c>
      <c r="C882" s="5">
        <v>45063</v>
      </c>
      <c r="D882" s="8">
        <v>45063</v>
      </c>
      <c r="E882" s="8" t="str">
        <f>IF(B882="Inactive", EDATE(D882,K882), "")</f>
        <v/>
      </c>
      <c r="F882" t="s">
        <v>10</v>
      </c>
      <c r="G882">
        <v>14.1</v>
      </c>
      <c r="H882" t="str" cm="1">
        <f t="array" ref="H882">_xlfn.IFS(G882&gt;=20,"20-25", G882&gt;=15,"15-20", G882&gt;=10,"10-15", G882&gt;=5,"5-10", G882&gt;=1,"1-5", G882&lt;1,"Less than 1")</f>
        <v>10-15</v>
      </c>
      <c r="I882">
        <v>7</v>
      </c>
      <c r="J882">
        <v>1</v>
      </c>
      <c r="K882" s="6">
        <v>8</v>
      </c>
      <c r="L882" s="2">
        <v>6.99</v>
      </c>
      <c r="M882" s="6">
        <v>59</v>
      </c>
      <c r="N882" t="str" cm="1">
        <f t="array" ref="N882">_xlfn.IFS(M882&gt;=50,"50-60 Days", M882&gt;=40,"40-50 Days", M882&gt;=30, "30-40 Days", M882&gt;=20, "20-30 Days", M882&gt;=10, "10-20 Days", M882&gt;=0, "0-10 Days")</f>
        <v>50-60 Days</v>
      </c>
    </row>
    <row r="883" spans="1:14">
      <c r="A883">
        <v>882</v>
      </c>
      <c r="B883" t="s">
        <v>28</v>
      </c>
      <c r="C883" s="5">
        <v>45110</v>
      </c>
      <c r="D883" s="8">
        <v>45110</v>
      </c>
      <c r="E883" s="8">
        <f>IF(B883="Inactive", EDATE(D883,K883), "")</f>
        <v>45385</v>
      </c>
      <c r="F883" t="s">
        <v>12</v>
      </c>
      <c r="G883">
        <v>19.600000000000001</v>
      </c>
      <c r="H883" t="str" cm="1">
        <f t="array" ref="H883">_xlfn.IFS(G883&gt;=20,"20-25", G883&gt;=15,"15-20", G883&gt;=10,"10-15", G883&gt;=5,"5-10", G883&gt;=1,"1-5", G883&lt;1,"Less than 1")</f>
        <v>15-20</v>
      </c>
      <c r="I883">
        <v>0</v>
      </c>
      <c r="J883">
        <v>3</v>
      </c>
      <c r="K883" s="6">
        <v>9</v>
      </c>
      <c r="L883" s="2">
        <v>1.99</v>
      </c>
      <c r="M883" s="6">
        <v>5</v>
      </c>
      <c r="N883" t="str" cm="1">
        <f t="array" ref="N883">_xlfn.IFS(M883&gt;=50,"50-60 Days", M883&gt;=40,"40-50 Days", M883&gt;=30, "30-40 Days", M883&gt;=20, "20-30 Days", M883&gt;=10, "10-20 Days", M883&gt;=0, "0-10 Days")</f>
        <v>0-10 Days</v>
      </c>
    </row>
    <row r="884" spans="1:14">
      <c r="A884">
        <v>883</v>
      </c>
      <c r="B884" t="s">
        <v>28</v>
      </c>
      <c r="C884" s="5">
        <v>45582</v>
      </c>
      <c r="D884" s="8">
        <v>45582</v>
      </c>
      <c r="E884" s="8">
        <f>IF(B884="Inactive", EDATE(D884,K884), "")</f>
        <v>45794</v>
      </c>
      <c r="F884" t="s">
        <v>12</v>
      </c>
      <c r="G884">
        <v>10.7</v>
      </c>
      <c r="H884" t="str" cm="1">
        <f t="array" ref="H884">_xlfn.IFS(G884&gt;=20,"20-25", G884&gt;=15,"15-20", G884&gt;=10,"10-15", G884&gt;=5,"5-10", G884&gt;=1,"1-5", G884&lt;1,"Less than 1")</f>
        <v>10-15</v>
      </c>
      <c r="I884">
        <v>7</v>
      </c>
      <c r="J884">
        <v>5</v>
      </c>
      <c r="K884" s="6">
        <v>7</v>
      </c>
      <c r="L884" s="2">
        <v>1.99</v>
      </c>
      <c r="M884" s="6">
        <v>8</v>
      </c>
      <c r="N884" t="str" cm="1">
        <f t="array" ref="N884">_xlfn.IFS(M884&gt;=50,"50-60 Days", M884&gt;=40,"40-50 Days", M884&gt;=30, "30-40 Days", M884&gt;=20, "20-30 Days", M884&gt;=10, "10-20 Days", M884&gt;=0, "0-10 Days")</f>
        <v>0-10 Days</v>
      </c>
    </row>
    <row r="885" spans="1:14">
      <c r="A885">
        <v>884</v>
      </c>
      <c r="B885" t="s">
        <v>29</v>
      </c>
      <c r="C885" s="5">
        <v>45537</v>
      </c>
      <c r="D885" s="8">
        <v>45537</v>
      </c>
      <c r="E885" s="8" t="str">
        <f>IF(B885="Inactive", EDATE(D885,K885), "")</f>
        <v/>
      </c>
      <c r="F885" t="s">
        <v>14</v>
      </c>
      <c r="G885">
        <v>11.5</v>
      </c>
      <c r="H885" t="str" cm="1">
        <f t="array" ref="H885">_xlfn.IFS(G885&gt;=20,"20-25", G885&gt;=15,"15-20", G885&gt;=10,"10-15", G885&gt;=5,"5-10", G885&gt;=1,"1-5", G885&lt;1,"Less than 1")</f>
        <v>10-15</v>
      </c>
      <c r="I885">
        <v>3</v>
      </c>
      <c r="J885">
        <v>1</v>
      </c>
      <c r="K885" s="6">
        <v>12</v>
      </c>
      <c r="L885" s="2">
        <v>3.99</v>
      </c>
      <c r="M885" s="6">
        <v>39</v>
      </c>
      <c r="N885" t="str" cm="1">
        <f t="array" ref="N885">_xlfn.IFS(M885&gt;=50,"50-60 Days", M885&gt;=40,"40-50 Days", M885&gt;=30, "30-40 Days", M885&gt;=20, "20-30 Days", M885&gt;=10, "10-20 Days", M885&gt;=0, "0-10 Days")</f>
        <v>30-40 Days</v>
      </c>
    </row>
    <row r="886" spans="1:14">
      <c r="A886">
        <v>885</v>
      </c>
      <c r="B886" t="s">
        <v>29</v>
      </c>
      <c r="C886" s="5">
        <v>45283</v>
      </c>
      <c r="D886" s="8">
        <v>45283</v>
      </c>
      <c r="E886" s="8" t="str">
        <f>IF(B886="Inactive", EDATE(D886,K886), "")</f>
        <v/>
      </c>
      <c r="F886" t="s">
        <v>12</v>
      </c>
      <c r="G886">
        <v>15.5</v>
      </c>
      <c r="H886" t="str" cm="1">
        <f t="array" ref="H886">_xlfn.IFS(G886&gt;=20,"20-25", G886&gt;=15,"15-20", G886&gt;=10,"10-15", G886&gt;=5,"5-10", G886&gt;=1,"1-5", G886&lt;1,"Less than 1")</f>
        <v>15-20</v>
      </c>
      <c r="I886">
        <v>1</v>
      </c>
      <c r="J886">
        <v>5</v>
      </c>
      <c r="K886" s="6">
        <v>11</v>
      </c>
      <c r="L886" s="2">
        <v>1.99</v>
      </c>
      <c r="M886" s="6">
        <v>52</v>
      </c>
      <c r="N886" t="str" cm="1">
        <f t="array" ref="N886">_xlfn.IFS(M886&gt;=50,"50-60 Days", M886&gt;=40,"40-50 Days", M886&gt;=30, "30-40 Days", M886&gt;=20, "20-30 Days", M886&gt;=10, "10-20 Days", M886&gt;=0, "0-10 Days")</f>
        <v>50-60 Days</v>
      </c>
    </row>
    <row r="887" spans="1:14">
      <c r="A887">
        <v>886</v>
      </c>
      <c r="B887" t="s">
        <v>29</v>
      </c>
      <c r="C887" s="5">
        <v>45560</v>
      </c>
      <c r="D887" s="8">
        <v>45560</v>
      </c>
      <c r="E887" s="8" t="str">
        <f>IF(B887="Inactive", EDATE(D887,K887), "")</f>
        <v/>
      </c>
      <c r="F887" t="s">
        <v>14</v>
      </c>
      <c r="G887">
        <v>14.2</v>
      </c>
      <c r="H887" t="str" cm="1">
        <f t="array" ref="H887">_xlfn.IFS(G887&gt;=20,"20-25", G887&gt;=15,"15-20", G887&gt;=10,"10-15", G887&gt;=5,"5-10", G887&gt;=1,"1-5", G887&lt;1,"Less than 1")</f>
        <v>10-15</v>
      </c>
      <c r="I887">
        <v>3</v>
      </c>
      <c r="J887">
        <v>0</v>
      </c>
      <c r="K887" s="6">
        <v>1</v>
      </c>
      <c r="L887" s="2">
        <v>3.99</v>
      </c>
      <c r="M887" s="6">
        <v>33</v>
      </c>
      <c r="N887" t="str" cm="1">
        <f t="array" ref="N887">_xlfn.IFS(M887&gt;=50,"50-60 Days", M887&gt;=40,"40-50 Days", M887&gt;=30, "30-40 Days", M887&gt;=20, "20-30 Days", M887&gt;=10, "10-20 Days", M887&gt;=0, "0-10 Days")</f>
        <v>30-40 Days</v>
      </c>
    </row>
    <row r="888" spans="1:14">
      <c r="A888">
        <v>887</v>
      </c>
      <c r="B888" t="s">
        <v>28</v>
      </c>
      <c r="C888" s="5">
        <v>44981</v>
      </c>
      <c r="D888" s="8">
        <v>44981</v>
      </c>
      <c r="E888" s="8">
        <f>IF(B888="Inactive", EDATE(D888,K888), "")</f>
        <v>45346</v>
      </c>
      <c r="F888" t="s">
        <v>14</v>
      </c>
      <c r="G888">
        <v>12.9</v>
      </c>
      <c r="H888" t="str" cm="1">
        <f t="array" ref="H888">_xlfn.IFS(G888&gt;=20,"20-25", G888&gt;=15,"15-20", G888&gt;=10,"10-15", G888&gt;=5,"5-10", G888&gt;=1,"1-5", G888&lt;1,"Less than 1")</f>
        <v>10-15</v>
      </c>
      <c r="I888">
        <v>7</v>
      </c>
      <c r="J888">
        <v>5</v>
      </c>
      <c r="K888" s="6">
        <v>12</v>
      </c>
      <c r="L888" s="2">
        <v>3.99</v>
      </c>
      <c r="M888" s="6">
        <v>42</v>
      </c>
      <c r="N888" t="str" cm="1">
        <f t="array" ref="N888">_xlfn.IFS(M888&gt;=50,"50-60 Days", M888&gt;=40,"40-50 Days", M888&gt;=30, "30-40 Days", M888&gt;=20, "20-30 Days", M888&gt;=10, "10-20 Days", M888&gt;=0, "0-10 Days")</f>
        <v>40-50 Days</v>
      </c>
    </row>
    <row r="889" spans="1:14">
      <c r="A889">
        <v>888</v>
      </c>
      <c r="B889" t="s">
        <v>28</v>
      </c>
      <c r="C889" s="5">
        <v>44971</v>
      </c>
      <c r="D889" s="8">
        <v>44971</v>
      </c>
      <c r="E889" s="8">
        <f>IF(B889="Inactive", EDATE(D889,K889), "")</f>
        <v>45060</v>
      </c>
      <c r="F889" t="s">
        <v>12</v>
      </c>
      <c r="G889">
        <v>20</v>
      </c>
      <c r="H889" t="str" cm="1">
        <f t="array" ref="H889">_xlfn.IFS(G889&gt;=20,"20-25", G889&gt;=15,"15-20", G889&gt;=10,"10-15", G889&gt;=5,"5-10", G889&gt;=1,"1-5", G889&lt;1,"Less than 1")</f>
        <v>20-25</v>
      </c>
      <c r="I889">
        <v>7</v>
      </c>
      <c r="J889">
        <v>3</v>
      </c>
      <c r="K889" s="6">
        <v>3</v>
      </c>
      <c r="L889" s="2">
        <v>1.99</v>
      </c>
      <c r="M889" s="6">
        <v>11</v>
      </c>
      <c r="N889" t="str" cm="1">
        <f t="array" ref="N889">_xlfn.IFS(M889&gt;=50,"50-60 Days", M889&gt;=40,"40-50 Days", M889&gt;=30, "30-40 Days", M889&gt;=20, "20-30 Days", M889&gt;=10, "10-20 Days", M889&gt;=0, "0-10 Days")</f>
        <v>10-20 Days</v>
      </c>
    </row>
    <row r="890" spans="1:14">
      <c r="A890">
        <v>889</v>
      </c>
      <c r="B890" t="s">
        <v>28</v>
      </c>
      <c r="C890" s="5">
        <v>45391</v>
      </c>
      <c r="D890" s="8">
        <v>45391</v>
      </c>
      <c r="E890" s="8">
        <f>IF(B890="Inactive", EDATE(D890,K890), "")</f>
        <v>45635</v>
      </c>
      <c r="F890" t="s">
        <v>12</v>
      </c>
      <c r="G890">
        <v>7.5</v>
      </c>
      <c r="H890" t="str" cm="1">
        <f t="array" ref="H890">_xlfn.IFS(G890&gt;=20,"20-25", G890&gt;=15,"15-20", G890&gt;=10,"10-15", G890&gt;=5,"5-10", G890&gt;=1,"1-5", G890&lt;1,"Less than 1")</f>
        <v>5-10</v>
      </c>
      <c r="I890">
        <v>6</v>
      </c>
      <c r="J890">
        <v>2</v>
      </c>
      <c r="K890" s="6">
        <v>8</v>
      </c>
      <c r="L890" s="2">
        <v>1.99</v>
      </c>
      <c r="M890" s="6">
        <v>21</v>
      </c>
      <c r="N890" t="str" cm="1">
        <f t="array" ref="N890">_xlfn.IFS(M890&gt;=50,"50-60 Days", M890&gt;=40,"40-50 Days", M890&gt;=30, "30-40 Days", M890&gt;=20, "20-30 Days", M890&gt;=10, "10-20 Days", M890&gt;=0, "0-10 Days")</f>
        <v>20-30 Days</v>
      </c>
    </row>
    <row r="891" spans="1:14">
      <c r="A891">
        <v>890</v>
      </c>
      <c r="B891" t="s">
        <v>29</v>
      </c>
      <c r="C891" s="5">
        <v>45423</v>
      </c>
      <c r="D891" s="8">
        <v>45423</v>
      </c>
      <c r="E891" s="8" t="str">
        <f>IF(B891="Inactive", EDATE(D891,K891), "")</f>
        <v/>
      </c>
      <c r="F891" t="s">
        <v>12</v>
      </c>
      <c r="G891">
        <v>18.600000000000001</v>
      </c>
      <c r="H891" t="str" cm="1">
        <f t="array" ref="H891">_xlfn.IFS(G891&gt;=20,"20-25", G891&gt;=15,"15-20", G891&gt;=10,"10-15", G891&gt;=5,"5-10", G891&gt;=1,"1-5", G891&lt;1,"Less than 1")</f>
        <v>15-20</v>
      </c>
      <c r="I891">
        <v>8</v>
      </c>
      <c r="J891">
        <v>1</v>
      </c>
      <c r="K891" s="6">
        <v>3</v>
      </c>
      <c r="L891" s="2">
        <v>1.99</v>
      </c>
      <c r="M891" s="6">
        <v>10</v>
      </c>
      <c r="N891" t="str" cm="1">
        <f t="array" ref="N891">_xlfn.IFS(M891&gt;=50,"50-60 Days", M891&gt;=40,"40-50 Days", M891&gt;=30, "30-40 Days", M891&gt;=20, "20-30 Days", M891&gt;=10, "10-20 Days", M891&gt;=0, "0-10 Days")</f>
        <v>10-20 Days</v>
      </c>
    </row>
    <row r="892" spans="1:14">
      <c r="A892">
        <v>891</v>
      </c>
      <c r="B892" t="s">
        <v>28</v>
      </c>
      <c r="C892" s="5">
        <v>45260</v>
      </c>
      <c r="D892" s="8">
        <v>45260</v>
      </c>
      <c r="E892" s="8">
        <f>IF(B892="Inactive", EDATE(D892,K892), "")</f>
        <v>45351</v>
      </c>
      <c r="F892" t="s">
        <v>10</v>
      </c>
      <c r="G892">
        <v>2.2000000000000002</v>
      </c>
      <c r="H892" t="str" cm="1">
        <f t="array" ref="H892">_xlfn.IFS(G892&gt;=20,"20-25", G892&gt;=15,"15-20", G892&gt;=10,"10-15", G892&gt;=5,"5-10", G892&gt;=1,"1-5", G892&lt;1,"Less than 1")</f>
        <v>1-5</v>
      </c>
      <c r="I892">
        <v>3</v>
      </c>
      <c r="J892">
        <v>5</v>
      </c>
      <c r="K892" s="6">
        <v>3</v>
      </c>
      <c r="L892" s="2">
        <v>6.99</v>
      </c>
      <c r="M892" s="6">
        <v>28</v>
      </c>
      <c r="N892" t="str" cm="1">
        <f t="array" ref="N892">_xlfn.IFS(M892&gt;=50,"50-60 Days", M892&gt;=40,"40-50 Days", M892&gt;=30, "30-40 Days", M892&gt;=20, "20-30 Days", M892&gt;=10, "10-20 Days", M892&gt;=0, "0-10 Days")</f>
        <v>20-30 Days</v>
      </c>
    </row>
    <row r="893" spans="1:14">
      <c r="A893">
        <v>892</v>
      </c>
      <c r="B893" t="s">
        <v>28</v>
      </c>
      <c r="C893" s="5">
        <v>45160</v>
      </c>
      <c r="D893" s="8">
        <v>45160</v>
      </c>
      <c r="E893" s="8">
        <f>IF(B893="Inactive", EDATE(D893,K893), "")</f>
        <v>45313</v>
      </c>
      <c r="F893" t="s">
        <v>14</v>
      </c>
      <c r="G893">
        <v>18.8</v>
      </c>
      <c r="H893" t="str" cm="1">
        <f t="array" ref="H893">_xlfn.IFS(G893&gt;=20,"20-25", G893&gt;=15,"15-20", G893&gt;=10,"10-15", G893&gt;=5,"5-10", G893&gt;=1,"1-5", G893&lt;1,"Less than 1")</f>
        <v>15-20</v>
      </c>
      <c r="I893">
        <v>5</v>
      </c>
      <c r="J893">
        <v>1</v>
      </c>
      <c r="K893" s="6">
        <v>5</v>
      </c>
      <c r="L893" s="2">
        <v>3.99</v>
      </c>
      <c r="M893" s="6">
        <v>49</v>
      </c>
      <c r="N893" t="str" cm="1">
        <f t="array" ref="N893">_xlfn.IFS(M893&gt;=50,"50-60 Days", M893&gt;=40,"40-50 Days", M893&gt;=30, "30-40 Days", M893&gt;=20, "20-30 Days", M893&gt;=10, "10-20 Days", M893&gt;=0, "0-10 Days")</f>
        <v>40-50 Days</v>
      </c>
    </row>
    <row r="894" spans="1:14">
      <c r="A894">
        <v>893</v>
      </c>
      <c r="B894" t="s">
        <v>28</v>
      </c>
      <c r="C894" s="5">
        <v>45409</v>
      </c>
      <c r="D894" s="8">
        <v>45409</v>
      </c>
      <c r="E894" s="8">
        <f>IF(B894="Inactive", EDATE(D894,K894), "")</f>
        <v>45592</v>
      </c>
      <c r="F894" t="s">
        <v>12</v>
      </c>
      <c r="G894">
        <v>18.600000000000001</v>
      </c>
      <c r="H894" t="str" cm="1">
        <f t="array" ref="H894">_xlfn.IFS(G894&gt;=20,"20-25", G894&gt;=15,"15-20", G894&gt;=10,"10-15", G894&gt;=5,"5-10", G894&gt;=1,"1-5", G894&lt;1,"Less than 1")</f>
        <v>15-20</v>
      </c>
      <c r="I894">
        <v>3</v>
      </c>
      <c r="J894">
        <v>3</v>
      </c>
      <c r="K894" s="6">
        <v>6</v>
      </c>
      <c r="L894" s="2">
        <v>1.99</v>
      </c>
      <c r="M894" s="6">
        <v>57</v>
      </c>
      <c r="N894" t="str" cm="1">
        <f t="array" ref="N894">_xlfn.IFS(M894&gt;=50,"50-60 Days", M894&gt;=40,"40-50 Days", M894&gt;=30, "30-40 Days", M894&gt;=20, "20-30 Days", M894&gt;=10, "10-20 Days", M894&gt;=0, "0-10 Days")</f>
        <v>50-60 Days</v>
      </c>
    </row>
    <row r="895" spans="1:14">
      <c r="A895">
        <v>894</v>
      </c>
      <c r="B895" t="s">
        <v>29</v>
      </c>
      <c r="C895" s="5">
        <v>45392</v>
      </c>
      <c r="D895" s="8">
        <v>45392</v>
      </c>
      <c r="E895" s="8" t="str">
        <f>IF(B895="Inactive", EDATE(D895,K895), "")</f>
        <v/>
      </c>
      <c r="F895" t="s">
        <v>10</v>
      </c>
      <c r="G895">
        <v>1.8</v>
      </c>
      <c r="H895" t="str" cm="1">
        <f t="array" ref="H895">_xlfn.IFS(G895&gt;=20,"20-25", G895&gt;=15,"15-20", G895&gt;=10,"10-15", G895&gt;=5,"5-10", G895&gt;=1,"1-5", G895&lt;1,"Less than 1")</f>
        <v>1-5</v>
      </c>
      <c r="I895">
        <v>6</v>
      </c>
      <c r="J895">
        <v>1</v>
      </c>
      <c r="K895" s="6">
        <v>11</v>
      </c>
      <c r="L895" s="2">
        <v>6.99</v>
      </c>
      <c r="M895" s="6">
        <v>13</v>
      </c>
      <c r="N895" t="str" cm="1">
        <f t="array" ref="N895">_xlfn.IFS(M895&gt;=50,"50-60 Days", M895&gt;=40,"40-50 Days", M895&gt;=30, "30-40 Days", M895&gt;=20, "20-30 Days", M895&gt;=10, "10-20 Days", M895&gt;=0, "0-10 Days")</f>
        <v>10-20 Days</v>
      </c>
    </row>
    <row r="896" spans="1:14">
      <c r="A896">
        <v>895</v>
      </c>
      <c r="B896" t="s">
        <v>29</v>
      </c>
      <c r="C896" s="5">
        <v>45203</v>
      </c>
      <c r="D896" s="8">
        <v>45203</v>
      </c>
      <c r="E896" s="8" t="str">
        <f>IF(B896="Inactive", EDATE(D896,K896), "")</f>
        <v/>
      </c>
      <c r="F896" t="s">
        <v>12</v>
      </c>
      <c r="G896">
        <v>9.6999999999999993</v>
      </c>
      <c r="H896" t="str" cm="1">
        <f t="array" ref="H896">_xlfn.IFS(G896&gt;=20,"20-25", G896&gt;=15,"15-20", G896&gt;=10,"10-15", G896&gt;=5,"5-10", G896&gt;=1,"1-5", G896&lt;1,"Less than 1")</f>
        <v>5-10</v>
      </c>
      <c r="I896">
        <v>7</v>
      </c>
      <c r="J896">
        <v>5</v>
      </c>
      <c r="K896" s="6">
        <v>9</v>
      </c>
      <c r="L896" s="2">
        <v>1.99</v>
      </c>
      <c r="M896" s="6">
        <v>12</v>
      </c>
      <c r="N896" t="str" cm="1">
        <f t="array" ref="N896">_xlfn.IFS(M896&gt;=50,"50-60 Days", M896&gt;=40,"40-50 Days", M896&gt;=30, "30-40 Days", M896&gt;=20, "20-30 Days", M896&gt;=10, "10-20 Days", M896&gt;=0, "0-10 Days")</f>
        <v>10-20 Days</v>
      </c>
    </row>
    <row r="897" spans="1:14">
      <c r="A897">
        <v>896</v>
      </c>
      <c r="B897" t="s">
        <v>28</v>
      </c>
      <c r="C897" s="5">
        <v>45403</v>
      </c>
      <c r="D897" s="8">
        <v>45403</v>
      </c>
      <c r="E897" s="8">
        <f>IF(B897="Inactive", EDATE(D897,K897), "")</f>
        <v>45647</v>
      </c>
      <c r="F897" t="s">
        <v>12</v>
      </c>
      <c r="G897">
        <v>3.6</v>
      </c>
      <c r="H897" t="str" cm="1">
        <f t="array" ref="H897">_xlfn.IFS(G897&gt;=20,"20-25", G897&gt;=15,"15-20", G897&gt;=10,"10-15", G897&gt;=5,"5-10", G897&gt;=1,"1-5", G897&lt;1,"Less than 1")</f>
        <v>1-5</v>
      </c>
      <c r="I897">
        <v>0</v>
      </c>
      <c r="J897">
        <v>2</v>
      </c>
      <c r="K897" s="6">
        <v>8</v>
      </c>
      <c r="L897" s="2">
        <v>1.99</v>
      </c>
      <c r="M897" s="6">
        <v>8</v>
      </c>
      <c r="N897" t="str" cm="1">
        <f t="array" ref="N897">_xlfn.IFS(M897&gt;=50,"50-60 Days", M897&gt;=40,"40-50 Days", M897&gt;=30, "30-40 Days", M897&gt;=20, "20-30 Days", M897&gt;=10, "10-20 Days", M897&gt;=0, "0-10 Days")</f>
        <v>0-10 Days</v>
      </c>
    </row>
    <row r="898" spans="1:14">
      <c r="A898">
        <v>897</v>
      </c>
      <c r="B898" t="s">
        <v>28</v>
      </c>
      <c r="C898" s="5">
        <v>45087</v>
      </c>
      <c r="D898" s="8">
        <v>45087</v>
      </c>
      <c r="E898" s="8">
        <f>IF(B898="Inactive", EDATE(D898,K898), "")</f>
        <v>45361</v>
      </c>
      <c r="F898" t="s">
        <v>14</v>
      </c>
      <c r="G898">
        <v>4.7</v>
      </c>
      <c r="H898" t="str" cm="1">
        <f t="array" ref="H898">_xlfn.IFS(G898&gt;=20,"20-25", G898&gt;=15,"15-20", G898&gt;=10,"10-15", G898&gt;=5,"5-10", G898&gt;=1,"1-5", G898&lt;1,"Less than 1")</f>
        <v>1-5</v>
      </c>
      <c r="I898">
        <v>5</v>
      </c>
      <c r="J898">
        <v>1</v>
      </c>
      <c r="K898" s="6">
        <v>9</v>
      </c>
      <c r="L898" s="2">
        <v>3.99</v>
      </c>
      <c r="M898" s="6">
        <v>56</v>
      </c>
      <c r="N898" t="str" cm="1">
        <f t="array" ref="N898">_xlfn.IFS(M898&gt;=50,"50-60 Days", M898&gt;=40,"40-50 Days", M898&gt;=30, "30-40 Days", M898&gt;=20, "20-30 Days", M898&gt;=10, "10-20 Days", M898&gt;=0, "0-10 Days")</f>
        <v>50-60 Days</v>
      </c>
    </row>
    <row r="899" spans="1:14">
      <c r="A899">
        <v>898</v>
      </c>
      <c r="B899" t="s">
        <v>29</v>
      </c>
      <c r="C899" s="5">
        <v>45461</v>
      </c>
      <c r="D899" s="8">
        <v>45461</v>
      </c>
      <c r="E899" s="8" t="str">
        <f>IF(B899="Inactive", EDATE(D899,K899), "")</f>
        <v/>
      </c>
      <c r="F899" t="s">
        <v>10</v>
      </c>
      <c r="G899">
        <v>14.7</v>
      </c>
      <c r="H899" t="str" cm="1">
        <f t="array" ref="H899">_xlfn.IFS(G899&gt;=20,"20-25", G899&gt;=15,"15-20", G899&gt;=10,"10-15", G899&gt;=5,"5-10", G899&gt;=1,"1-5", G899&lt;1,"Less than 1")</f>
        <v>10-15</v>
      </c>
      <c r="I899">
        <v>8</v>
      </c>
      <c r="J899">
        <v>1</v>
      </c>
      <c r="K899" s="6">
        <v>4</v>
      </c>
      <c r="L899" s="2">
        <v>6.99</v>
      </c>
      <c r="M899" s="6">
        <v>5</v>
      </c>
      <c r="N899" t="str" cm="1">
        <f t="array" ref="N899">_xlfn.IFS(M899&gt;=50,"50-60 Days", M899&gt;=40,"40-50 Days", M899&gt;=30, "30-40 Days", M899&gt;=20, "20-30 Days", M899&gt;=10, "10-20 Days", M899&gt;=0, "0-10 Days")</f>
        <v>0-10 Days</v>
      </c>
    </row>
    <row r="900" spans="1:14">
      <c r="A900">
        <v>899</v>
      </c>
      <c r="B900" t="s">
        <v>29</v>
      </c>
      <c r="C900" s="5">
        <v>45179</v>
      </c>
      <c r="D900" s="8">
        <v>45179</v>
      </c>
      <c r="E900" s="8" t="str">
        <f>IF(B900="Inactive", EDATE(D900,K900), "")</f>
        <v/>
      </c>
      <c r="F900" t="s">
        <v>14</v>
      </c>
      <c r="G900">
        <v>15</v>
      </c>
      <c r="H900" t="str" cm="1">
        <f t="array" ref="H900">_xlfn.IFS(G900&gt;=20,"20-25", G900&gt;=15,"15-20", G900&gt;=10,"10-15", G900&gt;=5,"5-10", G900&gt;=1,"1-5", G900&lt;1,"Less than 1")</f>
        <v>15-20</v>
      </c>
      <c r="I900">
        <v>7</v>
      </c>
      <c r="J900">
        <v>2</v>
      </c>
      <c r="K900" s="6">
        <v>5</v>
      </c>
      <c r="L900" s="2">
        <v>3.99</v>
      </c>
      <c r="M900" s="6">
        <v>0</v>
      </c>
      <c r="N900" t="str" cm="1">
        <f t="array" ref="N900">_xlfn.IFS(M900&gt;=50,"50-60 Days", M900&gt;=40,"40-50 Days", M900&gt;=30, "30-40 Days", M900&gt;=20, "20-30 Days", M900&gt;=10, "10-20 Days", M900&gt;=0, "0-10 Days")</f>
        <v>0-10 Days</v>
      </c>
    </row>
    <row r="901" spans="1:14">
      <c r="A901">
        <v>900</v>
      </c>
      <c r="B901" t="s">
        <v>28</v>
      </c>
      <c r="C901" s="5">
        <v>45514</v>
      </c>
      <c r="D901" s="8">
        <v>45514</v>
      </c>
      <c r="E901" s="8">
        <f>IF(B901="Inactive", EDATE(D901,K901), "")</f>
        <v>45726</v>
      </c>
      <c r="F901" t="s">
        <v>12</v>
      </c>
      <c r="G901">
        <v>11.1</v>
      </c>
      <c r="H901" t="str" cm="1">
        <f t="array" ref="H901">_xlfn.IFS(G901&gt;=20,"20-25", G901&gt;=15,"15-20", G901&gt;=10,"10-15", G901&gt;=5,"5-10", G901&gt;=1,"1-5", G901&lt;1,"Less than 1")</f>
        <v>10-15</v>
      </c>
      <c r="I901">
        <v>3</v>
      </c>
      <c r="J901">
        <v>4</v>
      </c>
      <c r="K901" s="6">
        <v>7</v>
      </c>
      <c r="L901" s="2">
        <v>1.99</v>
      </c>
      <c r="M901" s="6">
        <v>60</v>
      </c>
      <c r="N901" t="str" cm="1">
        <f t="array" ref="N901">_xlfn.IFS(M901&gt;=50,"50-60 Days", M901&gt;=40,"40-50 Days", M901&gt;=30, "30-40 Days", M901&gt;=20, "20-30 Days", M901&gt;=10, "10-20 Days", M901&gt;=0, "0-10 Days")</f>
        <v>50-60 Days</v>
      </c>
    </row>
    <row r="902" spans="1:14">
      <c r="A902">
        <v>901</v>
      </c>
      <c r="B902" t="s">
        <v>29</v>
      </c>
      <c r="C902" s="5">
        <v>44961</v>
      </c>
      <c r="D902" s="8">
        <v>44961</v>
      </c>
      <c r="E902" s="8" t="str">
        <f>IF(B902="Inactive", EDATE(D902,K902), "")</f>
        <v/>
      </c>
      <c r="F902" t="s">
        <v>12</v>
      </c>
      <c r="G902">
        <v>24.5</v>
      </c>
      <c r="H902" t="str" cm="1">
        <f t="array" ref="H902">_xlfn.IFS(G902&gt;=20,"20-25", G902&gt;=15,"15-20", G902&gt;=10,"10-15", G902&gt;=5,"5-10", G902&gt;=1,"1-5", G902&lt;1,"Less than 1")</f>
        <v>20-25</v>
      </c>
      <c r="I902">
        <v>0</v>
      </c>
      <c r="J902">
        <v>3</v>
      </c>
      <c r="K902" s="6">
        <v>9</v>
      </c>
      <c r="L902" s="2">
        <v>1.99</v>
      </c>
      <c r="M902" s="6">
        <v>46</v>
      </c>
      <c r="N902" t="str" cm="1">
        <f t="array" ref="N902">_xlfn.IFS(M902&gt;=50,"50-60 Days", M902&gt;=40,"40-50 Days", M902&gt;=30, "30-40 Days", M902&gt;=20, "20-30 Days", M902&gt;=10, "10-20 Days", M902&gt;=0, "0-10 Days")</f>
        <v>40-50 Days</v>
      </c>
    </row>
    <row r="903" spans="1:14">
      <c r="A903">
        <v>902</v>
      </c>
      <c r="B903" t="s">
        <v>28</v>
      </c>
      <c r="C903" s="5">
        <v>45498</v>
      </c>
      <c r="D903" s="8">
        <v>45498</v>
      </c>
      <c r="E903" s="8">
        <f>IF(B903="Inactive", EDATE(D903,K903), "")</f>
        <v>45863</v>
      </c>
      <c r="F903" t="s">
        <v>14</v>
      </c>
      <c r="G903">
        <v>10.199999999999999</v>
      </c>
      <c r="H903" t="str" cm="1">
        <f t="array" ref="H903">_xlfn.IFS(G903&gt;=20,"20-25", G903&gt;=15,"15-20", G903&gt;=10,"10-15", G903&gt;=5,"5-10", G903&gt;=1,"1-5", G903&lt;1,"Less than 1")</f>
        <v>10-15</v>
      </c>
      <c r="I903">
        <v>1</v>
      </c>
      <c r="J903">
        <v>3</v>
      </c>
      <c r="K903" s="6">
        <v>12</v>
      </c>
      <c r="L903" s="2">
        <v>3.99</v>
      </c>
      <c r="M903" s="6">
        <v>31</v>
      </c>
      <c r="N903" t="str" cm="1">
        <f t="array" ref="N903">_xlfn.IFS(M903&gt;=50,"50-60 Days", M903&gt;=40,"40-50 Days", M903&gt;=30, "30-40 Days", M903&gt;=20, "20-30 Days", M903&gt;=10, "10-20 Days", M903&gt;=0, "0-10 Days")</f>
        <v>30-40 Days</v>
      </c>
    </row>
    <row r="904" spans="1:14">
      <c r="A904">
        <v>903</v>
      </c>
      <c r="B904" t="s">
        <v>28</v>
      </c>
      <c r="C904" s="5">
        <v>45019</v>
      </c>
      <c r="D904" s="8">
        <v>45019</v>
      </c>
      <c r="E904" s="8">
        <f>IF(B904="Inactive", EDATE(D904,K904), "")</f>
        <v>45294</v>
      </c>
      <c r="F904" t="s">
        <v>12</v>
      </c>
      <c r="G904">
        <v>23.8</v>
      </c>
      <c r="H904" t="str" cm="1">
        <f t="array" ref="H904">_xlfn.IFS(G904&gt;=20,"20-25", G904&gt;=15,"15-20", G904&gt;=10,"10-15", G904&gt;=5,"5-10", G904&gt;=1,"1-5", G904&lt;1,"Less than 1")</f>
        <v>20-25</v>
      </c>
      <c r="I904">
        <v>2</v>
      </c>
      <c r="J904">
        <v>2</v>
      </c>
      <c r="K904" s="6">
        <v>9</v>
      </c>
      <c r="L904" s="2">
        <v>1.99</v>
      </c>
      <c r="M904" s="6">
        <v>18</v>
      </c>
      <c r="N904" t="str" cm="1">
        <f t="array" ref="N904">_xlfn.IFS(M904&gt;=50,"50-60 Days", M904&gt;=40,"40-50 Days", M904&gt;=30, "30-40 Days", M904&gt;=20, "20-30 Days", M904&gt;=10, "10-20 Days", M904&gt;=0, "0-10 Days")</f>
        <v>10-20 Days</v>
      </c>
    </row>
    <row r="905" spans="1:14">
      <c r="A905">
        <v>904</v>
      </c>
      <c r="B905" t="s">
        <v>29</v>
      </c>
      <c r="C905" s="5">
        <v>45524</v>
      </c>
      <c r="D905" s="8">
        <v>45524</v>
      </c>
      <c r="E905" s="8" t="str">
        <f>IF(B905="Inactive", EDATE(D905,K905), "")</f>
        <v/>
      </c>
      <c r="F905" t="s">
        <v>12</v>
      </c>
      <c r="G905">
        <v>16.899999999999999</v>
      </c>
      <c r="H905" t="str" cm="1">
        <f t="array" ref="H905">_xlfn.IFS(G905&gt;=20,"20-25", G905&gt;=15,"15-20", G905&gt;=10,"10-15", G905&gt;=5,"5-10", G905&gt;=1,"1-5", G905&lt;1,"Less than 1")</f>
        <v>15-20</v>
      </c>
      <c r="I905">
        <v>2</v>
      </c>
      <c r="J905">
        <v>5</v>
      </c>
      <c r="K905" s="6">
        <v>11</v>
      </c>
      <c r="L905" s="2">
        <v>1.99</v>
      </c>
      <c r="M905" s="6">
        <v>29</v>
      </c>
      <c r="N905" t="str" cm="1">
        <f t="array" ref="N905">_xlfn.IFS(M905&gt;=50,"50-60 Days", M905&gt;=40,"40-50 Days", M905&gt;=30, "30-40 Days", M905&gt;=20, "20-30 Days", M905&gt;=10, "10-20 Days", M905&gt;=0, "0-10 Days")</f>
        <v>20-30 Days</v>
      </c>
    </row>
    <row r="906" spans="1:14">
      <c r="A906">
        <v>905</v>
      </c>
      <c r="B906" t="s">
        <v>28</v>
      </c>
      <c r="C906" s="5">
        <v>45306</v>
      </c>
      <c r="D906" s="8">
        <v>45306</v>
      </c>
      <c r="E906" s="8">
        <f>IF(B906="Inactive", EDATE(D906,K906), "")</f>
        <v>45611</v>
      </c>
      <c r="F906" t="s">
        <v>12</v>
      </c>
      <c r="G906">
        <v>11.9</v>
      </c>
      <c r="H906" t="str" cm="1">
        <f t="array" ref="H906">_xlfn.IFS(G906&gt;=20,"20-25", G906&gt;=15,"15-20", G906&gt;=10,"10-15", G906&gt;=5,"5-10", G906&gt;=1,"1-5", G906&lt;1,"Less than 1")</f>
        <v>10-15</v>
      </c>
      <c r="I906">
        <v>2</v>
      </c>
      <c r="J906">
        <v>5</v>
      </c>
      <c r="K906" s="6">
        <v>10</v>
      </c>
      <c r="L906" s="2">
        <v>1.99</v>
      </c>
      <c r="M906" s="6">
        <v>25</v>
      </c>
      <c r="N906" t="str" cm="1">
        <f t="array" ref="N906">_xlfn.IFS(M906&gt;=50,"50-60 Days", M906&gt;=40,"40-50 Days", M906&gt;=30, "30-40 Days", M906&gt;=20, "20-30 Days", M906&gt;=10, "10-20 Days", M906&gt;=0, "0-10 Days")</f>
        <v>20-30 Days</v>
      </c>
    </row>
    <row r="907" spans="1:14">
      <c r="A907">
        <v>906</v>
      </c>
      <c r="B907" t="s">
        <v>29</v>
      </c>
      <c r="C907" s="5">
        <v>45634</v>
      </c>
      <c r="D907" s="8">
        <v>45634</v>
      </c>
      <c r="E907" s="8" t="str">
        <f>IF(B907="Inactive", EDATE(D907,K907), "")</f>
        <v/>
      </c>
      <c r="F907" t="s">
        <v>10</v>
      </c>
      <c r="G907">
        <v>17.7</v>
      </c>
      <c r="H907" t="str" cm="1">
        <f t="array" ref="H907">_xlfn.IFS(G907&gt;=20,"20-25", G907&gt;=15,"15-20", G907&gt;=10,"10-15", G907&gt;=5,"5-10", G907&gt;=1,"1-5", G907&lt;1,"Less than 1")</f>
        <v>15-20</v>
      </c>
      <c r="I907">
        <v>0</v>
      </c>
      <c r="J907">
        <v>5</v>
      </c>
      <c r="K907" s="6">
        <v>10</v>
      </c>
      <c r="L907" s="2">
        <v>6.99</v>
      </c>
      <c r="M907" s="6">
        <v>4</v>
      </c>
      <c r="N907" t="str" cm="1">
        <f t="array" ref="N907">_xlfn.IFS(M907&gt;=50,"50-60 Days", M907&gt;=40,"40-50 Days", M907&gt;=30, "30-40 Days", M907&gt;=20, "20-30 Days", M907&gt;=10, "10-20 Days", M907&gt;=0, "0-10 Days")</f>
        <v>0-10 Days</v>
      </c>
    </row>
    <row r="908" spans="1:14">
      <c r="A908">
        <v>907</v>
      </c>
      <c r="B908" t="s">
        <v>28</v>
      </c>
      <c r="C908" s="5">
        <v>45482</v>
      </c>
      <c r="D908" s="8">
        <v>45482</v>
      </c>
      <c r="E908" s="8">
        <f>IF(B908="Inactive", EDATE(D908,K908), "")</f>
        <v>45847</v>
      </c>
      <c r="F908" t="s">
        <v>14</v>
      </c>
      <c r="G908">
        <v>1.3</v>
      </c>
      <c r="H908" t="str" cm="1">
        <f t="array" ref="H908">_xlfn.IFS(G908&gt;=20,"20-25", G908&gt;=15,"15-20", G908&gt;=10,"10-15", G908&gt;=5,"5-10", G908&gt;=1,"1-5", G908&lt;1,"Less than 1")</f>
        <v>1-5</v>
      </c>
      <c r="I908">
        <v>6</v>
      </c>
      <c r="J908">
        <v>2</v>
      </c>
      <c r="K908" s="6">
        <v>12</v>
      </c>
      <c r="L908" s="2">
        <v>3.99</v>
      </c>
      <c r="M908" s="6">
        <v>44</v>
      </c>
      <c r="N908" t="str" cm="1">
        <f t="array" ref="N908">_xlfn.IFS(M908&gt;=50,"50-60 Days", M908&gt;=40,"40-50 Days", M908&gt;=30, "30-40 Days", M908&gt;=20, "20-30 Days", M908&gt;=10, "10-20 Days", M908&gt;=0, "0-10 Days")</f>
        <v>40-50 Days</v>
      </c>
    </row>
    <row r="909" spans="1:14">
      <c r="A909">
        <v>908</v>
      </c>
      <c r="B909" t="s">
        <v>28</v>
      </c>
      <c r="C909" s="5">
        <v>44983</v>
      </c>
      <c r="D909" s="8">
        <v>44983</v>
      </c>
      <c r="E909" s="8">
        <f>IF(B909="Inactive", EDATE(D909,K909), "")</f>
        <v>45133</v>
      </c>
      <c r="F909" t="s">
        <v>10</v>
      </c>
      <c r="G909">
        <v>19.8</v>
      </c>
      <c r="H909" t="str" cm="1">
        <f t="array" ref="H909">_xlfn.IFS(G909&gt;=20,"20-25", G909&gt;=15,"15-20", G909&gt;=10,"10-15", G909&gt;=5,"5-10", G909&gt;=1,"1-5", G909&lt;1,"Less than 1")</f>
        <v>15-20</v>
      </c>
      <c r="I909">
        <v>1</v>
      </c>
      <c r="J909">
        <v>4</v>
      </c>
      <c r="K909" s="6">
        <v>5</v>
      </c>
      <c r="L909" s="2">
        <v>6.99</v>
      </c>
      <c r="M909" s="6">
        <v>56</v>
      </c>
      <c r="N909" t="str" cm="1">
        <f t="array" ref="N909">_xlfn.IFS(M909&gt;=50,"50-60 Days", M909&gt;=40,"40-50 Days", M909&gt;=30, "30-40 Days", M909&gt;=20, "20-30 Days", M909&gt;=10, "10-20 Days", M909&gt;=0, "0-10 Days")</f>
        <v>50-60 Days</v>
      </c>
    </row>
    <row r="910" spans="1:14">
      <c r="A910">
        <v>909</v>
      </c>
      <c r="B910" t="s">
        <v>28</v>
      </c>
      <c r="C910" s="5">
        <v>44968</v>
      </c>
      <c r="D910" s="8">
        <v>44968</v>
      </c>
      <c r="E910" s="8">
        <f>IF(B910="Inactive", EDATE(D910,K910), "")</f>
        <v>45210</v>
      </c>
      <c r="F910" t="s">
        <v>10</v>
      </c>
      <c r="G910">
        <v>22.3</v>
      </c>
      <c r="H910" t="str" cm="1">
        <f t="array" ref="H910">_xlfn.IFS(G910&gt;=20,"20-25", G910&gt;=15,"15-20", G910&gt;=10,"10-15", G910&gt;=5,"5-10", G910&gt;=1,"1-5", G910&lt;1,"Less than 1")</f>
        <v>20-25</v>
      </c>
      <c r="I910">
        <v>1</v>
      </c>
      <c r="J910">
        <v>3</v>
      </c>
      <c r="K910" s="6">
        <v>8</v>
      </c>
      <c r="L910" s="2">
        <v>6.99</v>
      </c>
      <c r="M910" s="6">
        <v>23</v>
      </c>
      <c r="N910" t="str" cm="1">
        <f t="array" ref="N910">_xlfn.IFS(M910&gt;=50,"50-60 Days", M910&gt;=40,"40-50 Days", M910&gt;=30, "30-40 Days", M910&gt;=20, "20-30 Days", M910&gt;=10, "10-20 Days", M910&gt;=0, "0-10 Days")</f>
        <v>20-30 Days</v>
      </c>
    </row>
    <row r="911" spans="1:14">
      <c r="A911">
        <v>910</v>
      </c>
      <c r="B911" t="s">
        <v>28</v>
      </c>
      <c r="C911" s="5">
        <v>45136</v>
      </c>
      <c r="D911" s="8">
        <v>45136</v>
      </c>
      <c r="E911" s="8">
        <f>IF(B911="Inactive", EDATE(D911,K911), "")</f>
        <v>45380</v>
      </c>
      <c r="F911" t="s">
        <v>14</v>
      </c>
      <c r="G911">
        <v>4.8</v>
      </c>
      <c r="H911" t="str" cm="1">
        <f t="array" ref="H911">_xlfn.IFS(G911&gt;=20,"20-25", G911&gt;=15,"15-20", G911&gt;=10,"10-15", G911&gt;=5,"5-10", G911&gt;=1,"1-5", G911&lt;1,"Less than 1")</f>
        <v>1-5</v>
      </c>
      <c r="I911">
        <v>8</v>
      </c>
      <c r="J911">
        <v>5</v>
      </c>
      <c r="K911" s="6">
        <v>8</v>
      </c>
      <c r="L911" s="2">
        <v>3.99</v>
      </c>
      <c r="M911" s="6">
        <v>4</v>
      </c>
      <c r="N911" t="str" cm="1">
        <f t="array" ref="N911">_xlfn.IFS(M911&gt;=50,"50-60 Days", M911&gt;=40,"40-50 Days", M911&gt;=30, "30-40 Days", M911&gt;=20, "20-30 Days", M911&gt;=10, "10-20 Days", M911&gt;=0, "0-10 Days")</f>
        <v>0-10 Days</v>
      </c>
    </row>
    <row r="912" spans="1:14">
      <c r="A912">
        <v>911</v>
      </c>
      <c r="B912" t="s">
        <v>29</v>
      </c>
      <c r="C912" s="5">
        <v>45521</v>
      </c>
      <c r="D912" s="8">
        <v>45521</v>
      </c>
      <c r="E912" s="8" t="str">
        <f>IF(B912="Inactive", EDATE(D912,K912), "")</f>
        <v/>
      </c>
      <c r="F912" t="s">
        <v>12</v>
      </c>
      <c r="G912">
        <v>6.3</v>
      </c>
      <c r="H912" t="str" cm="1">
        <f t="array" ref="H912">_xlfn.IFS(G912&gt;=20,"20-25", G912&gt;=15,"15-20", G912&gt;=10,"10-15", G912&gt;=5,"5-10", G912&gt;=1,"1-5", G912&lt;1,"Less than 1")</f>
        <v>5-10</v>
      </c>
      <c r="I912">
        <v>1</v>
      </c>
      <c r="J912">
        <v>5</v>
      </c>
      <c r="K912" s="6">
        <v>8</v>
      </c>
      <c r="L912" s="2">
        <v>1.99</v>
      </c>
      <c r="M912" s="6">
        <v>30</v>
      </c>
      <c r="N912" t="str" cm="1">
        <f t="array" ref="N912">_xlfn.IFS(M912&gt;=50,"50-60 Days", M912&gt;=40,"40-50 Days", M912&gt;=30, "30-40 Days", M912&gt;=20, "20-30 Days", M912&gt;=10, "10-20 Days", M912&gt;=0, "0-10 Days")</f>
        <v>30-40 Days</v>
      </c>
    </row>
    <row r="913" spans="1:14">
      <c r="A913">
        <v>912</v>
      </c>
      <c r="B913" t="s">
        <v>29</v>
      </c>
      <c r="C913" s="5">
        <v>45442</v>
      </c>
      <c r="D913" s="8">
        <v>45442</v>
      </c>
      <c r="E913" s="8" t="str">
        <f>IF(B913="Inactive", EDATE(D913,K913), "")</f>
        <v/>
      </c>
      <c r="F913" t="s">
        <v>10</v>
      </c>
      <c r="G913">
        <v>19</v>
      </c>
      <c r="H913" t="str" cm="1">
        <f t="array" ref="H913">_xlfn.IFS(G913&gt;=20,"20-25", G913&gt;=15,"15-20", G913&gt;=10,"10-15", G913&gt;=5,"5-10", G913&gt;=1,"1-5", G913&lt;1,"Less than 1")</f>
        <v>15-20</v>
      </c>
      <c r="I913">
        <v>3</v>
      </c>
      <c r="J913">
        <v>2</v>
      </c>
      <c r="K913" s="6">
        <v>5</v>
      </c>
      <c r="L913" s="2">
        <v>6.99</v>
      </c>
      <c r="M913" s="6">
        <v>22</v>
      </c>
      <c r="N913" t="str" cm="1">
        <f t="array" ref="N913">_xlfn.IFS(M913&gt;=50,"50-60 Days", M913&gt;=40,"40-50 Days", M913&gt;=30, "30-40 Days", M913&gt;=20, "20-30 Days", M913&gt;=10, "10-20 Days", M913&gt;=0, "0-10 Days")</f>
        <v>20-30 Days</v>
      </c>
    </row>
    <row r="914" spans="1:14">
      <c r="A914">
        <v>913</v>
      </c>
      <c r="B914" t="s">
        <v>28</v>
      </c>
      <c r="C914" s="5">
        <v>45440</v>
      </c>
      <c r="D914" s="8">
        <v>45440</v>
      </c>
      <c r="E914" s="8">
        <f>IF(B914="Inactive", EDATE(D914,K914), "")</f>
        <v>45744</v>
      </c>
      <c r="F914" t="s">
        <v>10</v>
      </c>
      <c r="G914">
        <v>7.3</v>
      </c>
      <c r="H914" t="str" cm="1">
        <f t="array" ref="H914">_xlfn.IFS(G914&gt;=20,"20-25", G914&gt;=15,"15-20", G914&gt;=10,"10-15", G914&gt;=5,"5-10", G914&gt;=1,"1-5", G914&lt;1,"Less than 1")</f>
        <v>5-10</v>
      </c>
      <c r="I914">
        <v>1</v>
      </c>
      <c r="J914">
        <v>2</v>
      </c>
      <c r="K914" s="6">
        <v>10</v>
      </c>
      <c r="L914" s="2">
        <v>6.99</v>
      </c>
      <c r="M914" s="6">
        <v>22</v>
      </c>
      <c r="N914" t="str" cm="1">
        <f t="array" ref="N914">_xlfn.IFS(M914&gt;=50,"50-60 Days", M914&gt;=40,"40-50 Days", M914&gt;=30, "30-40 Days", M914&gt;=20, "20-30 Days", M914&gt;=10, "10-20 Days", M914&gt;=0, "0-10 Days")</f>
        <v>20-30 Days</v>
      </c>
    </row>
    <row r="915" spans="1:14">
      <c r="A915">
        <v>914</v>
      </c>
      <c r="B915" t="s">
        <v>28</v>
      </c>
      <c r="C915" s="5">
        <v>45226</v>
      </c>
      <c r="D915" s="8">
        <v>45226</v>
      </c>
      <c r="E915" s="8">
        <f>IF(B915="Inactive", EDATE(D915,K915), "")</f>
        <v>45318</v>
      </c>
      <c r="F915" t="s">
        <v>10</v>
      </c>
      <c r="G915">
        <v>12</v>
      </c>
      <c r="H915" t="str" cm="1">
        <f t="array" ref="H915">_xlfn.IFS(G915&gt;=20,"20-25", G915&gt;=15,"15-20", G915&gt;=10,"10-15", G915&gt;=5,"5-10", G915&gt;=1,"1-5", G915&lt;1,"Less than 1")</f>
        <v>10-15</v>
      </c>
      <c r="I915">
        <v>8</v>
      </c>
      <c r="J915">
        <v>5</v>
      </c>
      <c r="K915" s="6">
        <v>3</v>
      </c>
      <c r="L915" s="2">
        <v>6.99</v>
      </c>
      <c r="M915" s="6">
        <v>52</v>
      </c>
      <c r="N915" t="str" cm="1">
        <f t="array" ref="N915">_xlfn.IFS(M915&gt;=50,"50-60 Days", M915&gt;=40,"40-50 Days", M915&gt;=30, "30-40 Days", M915&gt;=20, "20-30 Days", M915&gt;=10, "10-20 Days", M915&gt;=0, "0-10 Days")</f>
        <v>50-60 Days</v>
      </c>
    </row>
    <row r="916" spans="1:14">
      <c r="A916">
        <v>915</v>
      </c>
      <c r="B916" t="s">
        <v>29</v>
      </c>
      <c r="C916" s="5">
        <v>45016</v>
      </c>
      <c r="D916" s="8">
        <v>45016</v>
      </c>
      <c r="E916" s="8" t="str">
        <f>IF(B916="Inactive", EDATE(D916,K916), "")</f>
        <v/>
      </c>
      <c r="F916" t="s">
        <v>14</v>
      </c>
      <c r="G916">
        <v>20.100000000000001</v>
      </c>
      <c r="H916" t="str" cm="1">
        <f t="array" ref="H916">_xlfn.IFS(G916&gt;=20,"20-25", G916&gt;=15,"15-20", G916&gt;=10,"10-15", G916&gt;=5,"5-10", G916&gt;=1,"1-5", G916&lt;1,"Less than 1")</f>
        <v>20-25</v>
      </c>
      <c r="I916">
        <v>1</v>
      </c>
      <c r="J916">
        <v>1</v>
      </c>
      <c r="K916" s="6">
        <v>8</v>
      </c>
      <c r="L916" s="2">
        <v>3.99</v>
      </c>
      <c r="M916" s="6">
        <v>57</v>
      </c>
      <c r="N916" t="str" cm="1">
        <f t="array" ref="N916">_xlfn.IFS(M916&gt;=50,"50-60 Days", M916&gt;=40,"40-50 Days", M916&gt;=30, "30-40 Days", M916&gt;=20, "20-30 Days", M916&gt;=10, "10-20 Days", M916&gt;=0, "0-10 Days")</f>
        <v>50-60 Days</v>
      </c>
    </row>
    <row r="917" spans="1:14">
      <c r="A917">
        <v>916</v>
      </c>
      <c r="B917" t="s">
        <v>28</v>
      </c>
      <c r="C917" s="5">
        <v>45041</v>
      </c>
      <c r="D917" s="8">
        <v>45041</v>
      </c>
      <c r="E917" s="8">
        <f>IF(B917="Inactive", EDATE(D917,K917), "")</f>
        <v>45316</v>
      </c>
      <c r="F917" t="s">
        <v>12</v>
      </c>
      <c r="G917">
        <v>22.5</v>
      </c>
      <c r="H917" t="str" cm="1">
        <f t="array" ref="H917">_xlfn.IFS(G917&gt;=20,"20-25", G917&gt;=15,"15-20", G917&gt;=10,"10-15", G917&gt;=5,"5-10", G917&gt;=1,"1-5", G917&lt;1,"Less than 1")</f>
        <v>20-25</v>
      </c>
      <c r="I917">
        <v>4</v>
      </c>
      <c r="J917">
        <v>0</v>
      </c>
      <c r="K917" s="6">
        <v>9</v>
      </c>
      <c r="L917" s="2">
        <v>1.99</v>
      </c>
      <c r="M917" s="6">
        <v>6</v>
      </c>
      <c r="N917" t="str" cm="1">
        <f t="array" ref="N917">_xlfn.IFS(M917&gt;=50,"50-60 Days", M917&gt;=40,"40-50 Days", M917&gt;=30, "30-40 Days", M917&gt;=20, "20-30 Days", M917&gt;=10, "10-20 Days", M917&gt;=0, "0-10 Days")</f>
        <v>0-10 Days</v>
      </c>
    </row>
    <row r="918" spans="1:14">
      <c r="A918">
        <v>917</v>
      </c>
      <c r="B918" t="s">
        <v>29</v>
      </c>
      <c r="C918" s="5">
        <v>45227</v>
      </c>
      <c r="D918" s="8">
        <v>45227</v>
      </c>
      <c r="E918" s="8" t="str">
        <f>IF(B918="Inactive", EDATE(D918,K918), "")</f>
        <v/>
      </c>
      <c r="F918" t="s">
        <v>10</v>
      </c>
      <c r="G918">
        <v>12.7</v>
      </c>
      <c r="H918" t="str" cm="1">
        <f t="array" ref="H918">_xlfn.IFS(G918&gt;=20,"20-25", G918&gt;=15,"15-20", G918&gt;=10,"10-15", G918&gt;=5,"5-10", G918&gt;=1,"1-5", G918&lt;1,"Less than 1")</f>
        <v>10-15</v>
      </c>
      <c r="I918">
        <v>3</v>
      </c>
      <c r="J918">
        <v>4</v>
      </c>
      <c r="K918" s="6">
        <v>4</v>
      </c>
      <c r="L918" s="2">
        <v>6.99</v>
      </c>
      <c r="M918" s="6">
        <v>60</v>
      </c>
      <c r="N918" t="str" cm="1">
        <f t="array" ref="N918">_xlfn.IFS(M918&gt;=50,"50-60 Days", M918&gt;=40,"40-50 Days", M918&gt;=30, "30-40 Days", M918&gt;=20, "20-30 Days", M918&gt;=10, "10-20 Days", M918&gt;=0, "0-10 Days")</f>
        <v>50-60 Days</v>
      </c>
    </row>
    <row r="919" spans="1:14">
      <c r="A919">
        <v>918</v>
      </c>
      <c r="B919" t="s">
        <v>28</v>
      </c>
      <c r="C919" s="5">
        <v>45587</v>
      </c>
      <c r="D919" s="8">
        <v>45587</v>
      </c>
      <c r="E919" s="8">
        <f>IF(B919="Inactive", EDATE(D919,K919), "")</f>
        <v>45952</v>
      </c>
      <c r="F919" t="s">
        <v>14</v>
      </c>
      <c r="G919">
        <v>23.3</v>
      </c>
      <c r="H919" t="str" cm="1">
        <f t="array" ref="H919">_xlfn.IFS(G919&gt;=20,"20-25", G919&gt;=15,"15-20", G919&gt;=10,"10-15", G919&gt;=5,"5-10", G919&gt;=1,"1-5", G919&lt;1,"Less than 1")</f>
        <v>20-25</v>
      </c>
      <c r="I919">
        <v>7</v>
      </c>
      <c r="J919">
        <v>2</v>
      </c>
      <c r="K919" s="6">
        <v>12</v>
      </c>
      <c r="L919" s="2">
        <v>3.99</v>
      </c>
      <c r="M919" s="6">
        <v>26</v>
      </c>
      <c r="N919" t="str" cm="1">
        <f t="array" ref="N919">_xlfn.IFS(M919&gt;=50,"50-60 Days", M919&gt;=40,"40-50 Days", M919&gt;=30, "30-40 Days", M919&gt;=20, "20-30 Days", M919&gt;=10, "10-20 Days", M919&gt;=0, "0-10 Days")</f>
        <v>20-30 Days</v>
      </c>
    </row>
    <row r="920" spans="1:14">
      <c r="A920">
        <v>919</v>
      </c>
      <c r="B920" t="s">
        <v>29</v>
      </c>
      <c r="C920" s="5">
        <v>45587</v>
      </c>
      <c r="D920" s="8">
        <v>45587</v>
      </c>
      <c r="E920" s="8" t="str">
        <f>IF(B920="Inactive", EDATE(D920,K920), "")</f>
        <v/>
      </c>
      <c r="F920" t="s">
        <v>12</v>
      </c>
      <c r="G920">
        <v>5.0999999999999996</v>
      </c>
      <c r="H920" t="str" cm="1">
        <f t="array" ref="H920">_xlfn.IFS(G920&gt;=20,"20-25", G920&gt;=15,"15-20", G920&gt;=10,"10-15", G920&gt;=5,"5-10", G920&gt;=1,"1-5", G920&lt;1,"Less than 1")</f>
        <v>5-10</v>
      </c>
      <c r="I920">
        <v>0</v>
      </c>
      <c r="J920">
        <v>1</v>
      </c>
      <c r="K920" s="6">
        <v>7</v>
      </c>
      <c r="L920" s="2">
        <v>1.99</v>
      </c>
      <c r="M920" s="6">
        <v>53</v>
      </c>
      <c r="N920" t="str" cm="1">
        <f t="array" ref="N920">_xlfn.IFS(M920&gt;=50,"50-60 Days", M920&gt;=40,"40-50 Days", M920&gt;=30, "30-40 Days", M920&gt;=20, "20-30 Days", M920&gt;=10, "10-20 Days", M920&gt;=0, "0-10 Days")</f>
        <v>50-60 Days</v>
      </c>
    </row>
    <row r="921" spans="1:14">
      <c r="A921">
        <v>920</v>
      </c>
      <c r="B921" t="s">
        <v>28</v>
      </c>
      <c r="C921" s="5">
        <v>45469</v>
      </c>
      <c r="D921" s="8">
        <v>45469</v>
      </c>
      <c r="E921" s="8">
        <f>IF(B921="Inactive", EDATE(D921,K921), "")</f>
        <v>45742</v>
      </c>
      <c r="F921" t="s">
        <v>14</v>
      </c>
      <c r="G921">
        <v>14.7</v>
      </c>
      <c r="H921" t="str" cm="1">
        <f t="array" ref="H921">_xlfn.IFS(G921&gt;=20,"20-25", G921&gt;=15,"15-20", G921&gt;=10,"10-15", G921&gt;=5,"5-10", G921&gt;=1,"1-5", G921&lt;1,"Less than 1")</f>
        <v>10-15</v>
      </c>
      <c r="I921">
        <v>5</v>
      </c>
      <c r="J921">
        <v>3</v>
      </c>
      <c r="K921" s="6">
        <v>9</v>
      </c>
      <c r="L921" s="2">
        <v>3.99</v>
      </c>
      <c r="M921" s="6">
        <v>37</v>
      </c>
      <c r="N921" t="str" cm="1">
        <f t="array" ref="N921">_xlfn.IFS(M921&gt;=50,"50-60 Days", M921&gt;=40,"40-50 Days", M921&gt;=30, "30-40 Days", M921&gt;=20, "20-30 Days", M921&gt;=10, "10-20 Days", M921&gt;=0, "0-10 Days")</f>
        <v>30-40 Days</v>
      </c>
    </row>
    <row r="922" spans="1:14">
      <c r="A922">
        <v>921</v>
      </c>
      <c r="B922" t="s">
        <v>29</v>
      </c>
      <c r="C922" s="5">
        <v>45159</v>
      </c>
      <c r="D922" s="8">
        <v>45159</v>
      </c>
      <c r="E922" s="8" t="str">
        <f>IF(B922="Inactive", EDATE(D922,K922), "")</f>
        <v/>
      </c>
      <c r="F922" t="s">
        <v>10</v>
      </c>
      <c r="G922">
        <v>11.7</v>
      </c>
      <c r="H922" t="str" cm="1">
        <f t="array" ref="H922">_xlfn.IFS(G922&gt;=20,"20-25", G922&gt;=15,"15-20", G922&gt;=10,"10-15", G922&gt;=5,"5-10", G922&gt;=1,"1-5", G922&lt;1,"Less than 1")</f>
        <v>10-15</v>
      </c>
      <c r="I922">
        <v>2</v>
      </c>
      <c r="J922">
        <v>2</v>
      </c>
      <c r="K922" s="6">
        <v>10</v>
      </c>
      <c r="L922" s="2">
        <v>6.99</v>
      </c>
      <c r="M922" s="6">
        <v>10</v>
      </c>
      <c r="N922" t="str" cm="1">
        <f t="array" ref="N922">_xlfn.IFS(M922&gt;=50,"50-60 Days", M922&gt;=40,"40-50 Days", M922&gt;=30, "30-40 Days", M922&gt;=20, "20-30 Days", M922&gt;=10, "10-20 Days", M922&gt;=0, "0-10 Days")</f>
        <v>10-20 Days</v>
      </c>
    </row>
    <row r="923" spans="1:14">
      <c r="A923">
        <v>922</v>
      </c>
      <c r="B923" t="s">
        <v>28</v>
      </c>
      <c r="C923" s="5">
        <v>45097</v>
      </c>
      <c r="D923" s="8">
        <v>45097</v>
      </c>
      <c r="E923" s="8">
        <f>IF(B923="Inactive", EDATE(D923,K923), "")</f>
        <v>45342</v>
      </c>
      <c r="F923" t="s">
        <v>14</v>
      </c>
      <c r="G923">
        <v>24.3</v>
      </c>
      <c r="H923" t="str" cm="1">
        <f t="array" ref="H923">_xlfn.IFS(G923&gt;=20,"20-25", G923&gt;=15,"15-20", G923&gt;=10,"10-15", G923&gt;=5,"5-10", G923&gt;=1,"1-5", G923&lt;1,"Less than 1")</f>
        <v>20-25</v>
      </c>
      <c r="I923">
        <v>0</v>
      </c>
      <c r="J923">
        <v>1</v>
      </c>
      <c r="K923" s="6">
        <v>8</v>
      </c>
      <c r="L923" s="2">
        <v>3.99</v>
      </c>
      <c r="M923" s="6">
        <v>22</v>
      </c>
      <c r="N923" t="str" cm="1">
        <f t="array" ref="N923">_xlfn.IFS(M923&gt;=50,"50-60 Days", M923&gt;=40,"40-50 Days", M923&gt;=30, "30-40 Days", M923&gt;=20, "20-30 Days", M923&gt;=10, "10-20 Days", M923&gt;=0, "0-10 Days")</f>
        <v>20-30 Days</v>
      </c>
    </row>
    <row r="924" spans="1:14">
      <c r="A924">
        <v>923</v>
      </c>
      <c r="B924" t="s">
        <v>29</v>
      </c>
      <c r="C924" s="5">
        <v>45636</v>
      </c>
      <c r="D924" s="8">
        <v>45636</v>
      </c>
      <c r="E924" s="8" t="str">
        <f>IF(B924="Inactive", EDATE(D924,K924), "")</f>
        <v/>
      </c>
      <c r="F924" t="s">
        <v>10</v>
      </c>
      <c r="G924">
        <v>17.899999999999999</v>
      </c>
      <c r="H924" t="str" cm="1">
        <f t="array" ref="H924">_xlfn.IFS(G924&gt;=20,"20-25", G924&gt;=15,"15-20", G924&gt;=10,"10-15", G924&gt;=5,"5-10", G924&gt;=1,"1-5", G924&lt;1,"Less than 1")</f>
        <v>15-20</v>
      </c>
      <c r="I924">
        <v>4</v>
      </c>
      <c r="J924">
        <v>1</v>
      </c>
      <c r="K924" s="6">
        <v>4</v>
      </c>
      <c r="L924" s="2">
        <v>6.99</v>
      </c>
      <c r="M924" s="6">
        <v>11</v>
      </c>
      <c r="N924" t="str" cm="1">
        <f t="array" ref="N924">_xlfn.IFS(M924&gt;=50,"50-60 Days", M924&gt;=40,"40-50 Days", M924&gt;=30, "30-40 Days", M924&gt;=20, "20-30 Days", M924&gt;=10, "10-20 Days", M924&gt;=0, "0-10 Days")</f>
        <v>10-20 Days</v>
      </c>
    </row>
    <row r="925" spans="1:14">
      <c r="A925">
        <v>924</v>
      </c>
      <c r="B925" t="s">
        <v>29</v>
      </c>
      <c r="C925" s="5">
        <v>45378</v>
      </c>
      <c r="D925" s="8">
        <v>45378</v>
      </c>
      <c r="E925" s="8" t="str">
        <f>IF(B925="Inactive", EDATE(D925,K925), "")</f>
        <v/>
      </c>
      <c r="F925" t="s">
        <v>10</v>
      </c>
      <c r="G925">
        <v>4.5</v>
      </c>
      <c r="H925" t="str" cm="1">
        <f t="array" ref="H925">_xlfn.IFS(G925&gt;=20,"20-25", G925&gt;=15,"15-20", G925&gt;=10,"10-15", G925&gt;=5,"5-10", G925&gt;=1,"1-5", G925&lt;1,"Less than 1")</f>
        <v>1-5</v>
      </c>
      <c r="I925">
        <v>1</v>
      </c>
      <c r="J925">
        <v>0</v>
      </c>
      <c r="K925" s="6">
        <v>4</v>
      </c>
      <c r="L925" s="2">
        <v>6.99</v>
      </c>
      <c r="M925" s="6">
        <v>20</v>
      </c>
      <c r="N925" t="str" cm="1">
        <f t="array" ref="N925">_xlfn.IFS(M925&gt;=50,"50-60 Days", M925&gt;=40,"40-50 Days", M925&gt;=30, "30-40 Days", M925&gt;=20, "20-30 Days", M925&gt;=10, "10-20 Days", M925&gt;=0, "0-10 Days")</f>
        <v>20-30 Days</v>
      </c>
    </row>
    <row r="926" spans="1:14">
      <c r="A926">
        <v>925</v>
      </c>
      <c r="B926" t="s">
        <v>29</v>
      </c>
      <c r="C926" s="5">
        <v>45279</v>
      </c>
      <c r="D926" s="8">
        <v>45279</v>
      </c>
      <c r="E926" s="8" t="str">
        <f>IF(B926="Inactive", EDATE(D926,K926), "")</f>
        <v/>
      </c>
      <c r="F926" t="s">
        <v>14</v>
      </c>
      <c r="G926">
        <v>5</v>
      </c>
      <c r="H926" t="str" cm="1">
        <f t="array" ref="H926">_xlfn.IFS(G926&gt;=20,"20-25", G926&gt;=15,"15-20", G926&gt;=10,"10-15", G926&gt;=5,"5-10", G926&gt;=1,"1-5", G926&lt;1,"Less than 1")</f>
        <v>5-10</v>
      </c>
      <c r="I926">
        <v>8</v>
      </c>
      <c r="J926">
        <v>5</v>
      </c>
      <c r="K926" s="6">
        <v>8</v>
      </c>
      <c r="L926" s="2">
        <v>3.99</v>
      </c>
      <c r="M926" s="6">
        <v>2</v>
      </c>
      <c r="N926" t="str" cm="1">
        <f t="array" ref="N926">_xlfn.IFS(M926&gt;=50,"50-60 Days", M926&gt;=40,"40-50 Days", M926&gt;=30, "30-40 Days", M926&gt;=20, "20-30 Days", M926&gt;=10, "10-20 Days", M926&gt;=0, "0-10 Days")</f>
        <v>0-10 Days</v>
      </c>
    </row>
    <row r="927" spans="1:14">
      <c r="A927">
        <v>926</v>
      </c>
      <c r="B927" t="s">
        <v>28</v>
      </c>
      <c r="C927" s="5">
        <v>44952</v>
      </c>
      <c r="D927" s="8">
        <v>44952</v>
      </c>
      <c r="E927" s="8">
        <f>IF(B927="Inactive", EDATE(D927,K927), "")</f>
        <v>45195</v>
      </c>
      <c r="F927" t="s">
        <v>12</v>
      </c>
      <c r="G927">
        <v>11.5</v>
      </c>
      <c r="H927" t="str" cm="1">
        <f t="array" ref="H927">_xlfn.IFS(G927&gt;=20,"20-25", G927&gt;=15,"15-20", G927&gt;=10,"10-15", G927&gt;=5,"5-10", G927&gt;=1,"1-5", G927&lt;1,"Less than 1")</f>
        <v>10-15</v>
      </c>
      <c r="I927">
        <v>2</v>
      </c>
      <c r="J927">
        <v>4</v>
      </c>
      <c r="K927" s="6">
        <v>8</v>
      </c>
      <c r="L927" s="2">
        <v>1.99</v>
      </c>
      <c r="M927" s="6">
        <v>19</v>
      </c>
      <c r="N927" t="str" cm="1">
        <f t="array" ref="N927">_xlfn.IFS(M927&gt;=50,"50-60 Days", M927&gt;=40,"40-50 Days", M927&gt;=30, "30-40 Days", M927&gt;=20, "20-30 Days", M927&gt;=10, "10-20 Days", M927&gt;=0, "0-10 Days")</f>
        <v>10-20 Days</v>
      </c>
    </row>
    <row r="928" spans="1:14">
      <c r="A928">
        <v>927</v>
      </c>
      <c r="B928" t="s">
        <v>28</v>
      </c>
      <c r="C928" s="5">
        <v>45486</v>
      </c>
      <c r="D928" s="8">
        <v>45486</v>
      </c>
      <c r="E928" s="8">
        <f>IF(B928="Inactive", EDATE(D928,K928), "")</f>
        <v>45821</v>
      </c>
      <c r="F928" t="s">
        <v>14</v>
      </c>
      <c r="G928">
        <v>19.3</v>
      </c>
      <c r="H928" t="str" cm="1">
        <f t="array" ref="H928">_xlfn.IFS(G928&gt;=20,"20-25", G928&gt;=15,"15-20", G928&gt;=10,"10-15", G928&gt;=5,"5-10", G928&gt;=1,"1-5", G928&lt;1,"Less than 1")</f>
        <v>15-20</v>
      </c>
      <c r="I928">
        <v>7</v>
      </c>
      <c r="J928">
        <v>2</v>
      </c>
      <c r="K928" s="6">
        <v>11</v>
      </c>
      <c r="L928" s="2">
        <v>3.99</v>
      </c>
      <c r="M928" s="6">
        <v>9</v>
      </c>
      <c r="N928" t="str" cm="1">
        <f t="array" ref="N928">_xlfn.IFS(M928&gt;=50,"50-60 Days", M928&gt;=40,"40-50 Days", M928&gt;=30, "30-40 Days", M928&gt;=20, "20-30 Days", M928&gt;=10, "10-20 Days", M928&gt;=0, "0-10 Days")</f>
        <v>0-10 Days</v>
      </c>
    </row>
    <row r="929" spans="1:14">
      <c r="A929">
        <v>928</v>
      </c>
      <c r="B929" t="s">
        <v>28</v>
      </c>
      <c r="C929" s="5">
        <v>45514</v>
      </c>
      <c r="D929" s="8">
        <v>45514</v>
      </c>
      <c r="E929" s="8">
        <f>IF(B929="Inactive", EDATE(D929,K929), "")</f>
        <v>45757</v>
      </c>
      <c r="F929" t="s">
        <v>10</v>
      </c>
      <c r="G929">
        <v>16.399999999999999</v>
      </c>
      <c r="H929" t="str" cm="1">
        <f t="array" ref="H929">_xlfn.IFS(G929&gt;=20,"20-25", G929&gt;=15,"15-20", G929&gt;=10,"10-15", G929&gt;=5,"5-10", G929&gt;=1,"1-5", G929&lt;1,"Less than 1")</f>
        <v>15-20</v>
      </c>
      <c r="I929">
        <v>4</v>
      </c>
      <c r="J929">
        <v>3</v>
      </c>
      <c r="K929" s="6">
        <v>8</v>
      </c>
      <c r="L929" s="2">
        <v>6.99</v>
      </c>
      <c r="M929" s="6">
        <v>57</v>
      </c>
      <c r="N929" t="str" cm="1">
        <f t="array" ref="N929">_xlfn.IFS(M929&gt;=50,"50-60 Days", M929&gt;=40,"40-50 Days", M929&gt;=30, "30-40 Days", M929&gt;=20, "20-30 Days", M929&gt;=10, "10-20 Days", M929&gt;=0, "0-10 Days")</f>
        <v>50-60 Days</v>
      </c>
    </row>
    <row r="930" spans="1:14">
      <c r="A930">
        <v>929</v>
      </c>
      <c r="B930" t="s">
        <v>28</v>
      </c>
      <c r="C930" s="5">
        <v>45417</v>
      </c>
      <c r="D930" s="8">
        <v>45417</v>
      </c>
      <c r="E930" s="8">
        <f>IF(B930="Inactive", EDATE(D930,K930), "")</f>
        <v>45540</v>
      </c>
      <c r="F930" t="s">
        <v>10</v>
      </c>
      <c r="G930">
        <v>20.100000000000001</v>
      </c>
      <c r="H930" t="str" cm="1">
        <f t="array" ref="H930">_xlfn.IFS(G930&gt;=20,"20-25", G930&gt;=15,"15-20", G930&gt;=10,"10-15", G930&gt;=5,"5-10", G930&gt;=1,"1-5", G930&lt;1,"Less than 1")</f>
        <v>20-25</v>
      </c>
      <c r="I930">
        <v>7</v>
      </c>
      <c r="J930">
        <v>2</v>
      </c>
      <c r="K930" s="6">
        <v>4</v>
      </c>
      <c r="L930" s="2">
        <v>6.99</v>
      </c>
      <c r="M930" s="6">
        <v>44</v>
      </c>
      <c r="N930" t="str" cm="1">
        <f t="array" ref="N930">_xlfn.IFS(M930&gt;=50,"50-60 Days", M930&gt;=40,"40-50 Days", M930&gt;=30, "30-40 Days", M930&gt;=20, "20-30 Days", M930&gt;=10, "10-20 Days", M930&gt;=0, "0-10 Days")</f>
        <v>40-50 Days</v>
      </c>
    </row>
    <row r="931" spans="1:14">
      <c r="A931">
        <v>930</v>
      </c>
      <c r="B931" t="s">
        <v>29</v>
      </c>
      <c r="C931" s="5">
        <v>45152</v>
      </c>
      <c r="D931" s="8">
        <v>45152</v>
      </c>
      <c r="E931" s="8" t="str">
        <f>IF(B931="Inactive", EDATE(D931,K931), "")</f>
        <v/>
      </c>
      <c r="F931" t="s">
        <v>12</v>
      </c>
      <c r="G931">
        <v>17.100000000000001</v>
      </c>
      <c r="H931" t="str" cm="1">
        <f t="array" ref="H931">_xlfn.IFS(G931&gt;=20,"20-25", G931&gt;=15,"15-20", G931&gt;=10,"10-15", G931&gt;=5,"5-10", G931&gt;=1,"1-5", G931&lt;1,"Less than 1")</f>
        <v>15-20</v>
      </c>
      <c r="I931">
        <v>1</v>
      </c>
      <c r="J931">
        <v>2</v>
      </c>
      <c r="K931" s="6">
        <v>3</v>
      </c>
      <c r="L931" s="2">
        <v>1.99</v>
      </c>
      <c r="M931" s="6">
        <v>1</v>
      </c>
      <c r="N931" t="str" cm="1">
        <f t="array" ref="N931">_xlfn.IFS(M931&gt;=50,"50-60 Days", M931&gt;=40,"40-50 Days", M931&gt;=30, "30-40 Days", M931&gt;=20, "20-30 Days", M931&gt;=10, "10-20 Days", M931&gt;=0, "0-10 Days")</f>
        <v>0-10 Days</v>
      </c>
    </row>
    <row r="932" spans="1:14">
      <c r="A932">
        <v>931</v>
      </c>
      <c r="B932" t="s">
        <v>28</v>
      </c>
      <c r="C932" s="5">
        <v>45466</v>
      </c>
      <c r="D932" s="8">
        <v>45466</v>
      </c>
      <c r="E932" s="8">
        <f>IF(B932="Inactive", EDATE(D932,K932), "")</f>
        <v>45711</v>
      </c>
      <c r="F932" t="s">
        <v>14</v>
      </c>
      <c r="G932">
        <v>2.8</v>
      </c>
      <c r="H932" t="str" cm="1">
        <f t="array" ref="H932">_xlfn.IFS(G932&gt;=20,"20-25", G932&gt;=15,"15-20", G932&gt;=10,"10-15", G932&gt;=5,"5-10", G932&gt;=1,"1-5", G932&lt;1,"Less than 1")</f>
        <v>1-5</v>
      </c>
      <c r="I932">
        <v>0</v>
      </c>
      <c r="J932">
        <v>4</v>
      </c>
      <c r="K932" s="6">
        <v>8</v>
      </c>
      <c r="L932" s="2">
        <v>3.99</v>
      </c>
      <c r="M932" s="6">
        <v>41</v>
      </c>
      <c r="N932" t="str" cm="1">
        <f t="array" ref="N932">_xlfn.IFS(M932&gt;=50,"50-60 Days", M932&gt;=40,"40-50 Days", M932&gt;=30, "30-40 Days", M932&gt;=20, "20-30 Days", M932&gt;=10, "10-20 Days", M932&gt;=0, "0-10 Days")</f>
        <v>40-50 Days</v>
      </c>
    </row>
    <row r="933" spans="1:14">
      <c r="A933">
        <v>932</v>
      </c>
      <c r="B933" t="s">
        <v>28</v>
      </c>
      <c r="C933" s="5">
        <v>45614</v>
      </c>
      <c r="D933" s="8">
        <v>45614</v>
      </c>
      <c r="E933" s="8">
        <f>IF(B933="Inactive", EDATE(D933,K933), "")</f>
        <v>45795</v>
      </c>
      <c r="F933" t="s">
        <v>12</v>
      </c>
      <c r="G933">
        <v>5.3</v>
      </c>
      <c r="H933" t="str" cm="1">
        <f t="array" ref="H933">_xlfn.IFS(G933&gt;=20,"20-25", G933&gt;=15,"15-20", G933&gt;=10,"10-15", G933&gt;=5,"5-10", G933&gt;=1,"1-5", G933&lt;1,"Less than 1")</f>
        <v>5-10</v>
      </c>
      <c r="I933">
        <v>1</v>
      </c>
      <c r="J933">
        <v>4</v>
      </c>
      <c r="K933" s="6">
        <v>6</v>
      </c>
      <c r="L933" s="2">
        <v>1.99</v>
      </c>
      <c r="M933" s="6">
        <v>54</v>
      </c>
      <c r="N933" t="str" cm="1">
        <f t="array" ref="N933">_xlfn.IFS(M933&gt;=50,"50-60 Days", M933&gt;=40,"40-50 Days", M933&gt;=30, "30-40 Days", M933&gt;=20, "20-30 Days", M933&gt;=10, "10-20 Days", M933&gt;=0, "0-10 Days")</f>
        <v>50-60 Days</v>
      </c>
    </row>
    <row r="934" spans="1:14">
      <c r="A934">
        <v>933</v>
      </c>
      <c r="B934" t="s">
        <v>28</v>
      </c>
      <c r="C934" s="5">
        <v>44984</v>
      </c>
      <c r="D934" s="8">
        <v>44984</v>
      </c>
      <c r="E934" s="8">
        <f>IF(B934="Inactive", EDATE(D934,K934), "")</f>
        <v>45318</v>
      </c>
      <c r="F934" t="s">
        <v>12</v>
      </c>
      <c r="G934">
        <v>10.199999999999999</v>
      </c>
      <c r="H934" t="str" cm="1">
        <f t="array" ref="H934">_xlfn.IFS(G934&gt;=20,"20-25", G934&gt;=15,"15-20", G934&gt;=10,"10-15", G934&gt;=5,"5-10", G934&gt;=1,"1-5", G934&lt;1,"Less than 1")</f>
        <v>10-15</v>
      </c>
      <c r="I934">
        <v>7</v>
      </c>
      <c r="J934">
        <v>2</v>
      </c>
      <c r="K934" s="6">
        <v>11</v>
      </c>
      <c r="L934" s="2">
        <v>1.99</v>
      </c>
      <c r="M934" s="6">
        <v>38</v>
      </c>
      <c r="N934" t="str" cm="1">
        <f t="array" ref="N934">_xlfn.IFS(M934&gt;=50,"50-60 Days", M934&gt;=40,"40-50 Days", M934&gt;=30, "30-40 Days", M934&gt;=20, "20-30 Days", M934&gt;=10, "10-20 Days", M934&gt;=0, "0-10 Days")</f>
        <v>30-40 Days</v>
      </c>
    </row>
    <row r="935" spans="1:14">
      <c r="A935">
        <v>934</v>
      </c>
      <c r="B935" t="s">
        <v>28</v>
      </c>
      <c r="C935" s="5">
        <v>45218</v>
      </c>
      <c r="D935" s="8">
        <v>45218</v>
      </c>
      <c r="E935" s="8">
        <f>IF(B935="Inactive", EDATE(D935,K935), "")</f>
        <v>45462</v>
      </c>
      <c r="F935" t="s">
        <v>10</v>
      </c>
      <c r="G935">
        <v>10.199999999999999</v>
      </c>
      <c r="H935" t="str" cm="1">
        <f t="array" ref="H935">_xlfn.IFS(G935&gt;=20,"20-25", G935&gt;=15,"15-20", G935&gt;=10,"10-15", G935&gt;=5,"5-10", G935&gt;=1,"1-5", G935&lt;1,"Less than 1")</f>
        <v>10-15</v>
      </c>
      <c r="I935">
        <v>6</v>
      </c>
      <c r="J935">
        <v>2</v>
      </c>
      <c r="K935" s="6">
        <v>8</v>
      </c>
      <c r="L935" s="2">
        <v>6.99</v>
      </c>
      <c r="M935" s="6">
        <v>24</v>
      </c>
      <c r="N935" t="str" cm="1">
        <f t="array" ref="N935">_xlfn.IFS(M935&gt;=50,"50-60 Days", M935&gt;=40,"40-50 Days", M935&gt;=30, "30-40 Days", M935&gt;=20, "20-30 Days", M935&gt;=10, "10-20 Days", M935&gt;=0, "0-10 Days")</f>
        <v>20-30 Days</v>
      </c>
    </row>
    <row r="936" spans="1:14">
      <c r="A936">
        <v>935</v>
      </c>
      <c r="B936" t="s">
        <v>28</v>
      </c>
      <c r="C936" s="5">
        <v>45381</v>
      </c>
      <c r="D936" s="8">
        <v>45381</v>
      </c>
      <c r="E936" s="8">
        <f>IF(B936="Inactive", EDATE(D936,K936), "")</f>
        <v>45626</v>
      </c>
      <c r="F936" t="s">
        <v>14</v>
      </c>
      <c r="G936">
        <v>8</v>
      </c>
      <c r="H936" t="str" cm="1">
        <f t="array" ref="H936">_xlfn.IFS(G936&gt;=20,"20-25", G936&gt;=15,"15-20", G936&gt;=10,"10-15", G936&gt;=5,"5-10", G936&gt;=1,"1-5", G936&lt;1,"Less than 1")</f>
        <v>5-10</v>
      </c>
      <c r="I936">
        <v>7</v>
      </c>
      <c r="J936">
        <v>4</v>
      </c>
      <c r="K936" s="6">
        <v>8</v>
      </c>
      <c r="L936" s="2">
        <v>3.99</v>
      </c>
      <c r="M936" s="6">
        <v>5</v>
      </c>
      <c r="N936" t="str" cm="1">
        <f t="array" ref="N936">_xlfn.IFS(M936&gt;=50,"50-60 Days", M936&gt;=40,"40-50 Days", M936&gt;=30, "30-40 Days", M936&gt;=20, "20-30 Days", M936&gt;=10, "10-20 Days", M936&gt;=0, "0-10 Days")</f>
        <v>0-10 Days</v>
      </c>
    </row>
    <row r="937" spans="1:14">
      <c r="A937">
        <v>936</v>
      </c>
      <c r="B937" t="s">
        <v>29</v>
      </c>
      <c r="C937" s="5">
        <v>45361</v>
      </c>
      <c r="D937" s="8">
        <v>45361</v>
      </c>
      <c r="E937" s="8" t="str">
        <f>IF(B937="Inactive", EDATE(D937,K937), "")</f>
        <v/>
      </c>
      <c r="F937" t="s">
        <v>10</v>
      </c>
      <c r="G937">
        <v>20.2</v>
      </c>
      <c r="H937" t="str" cm="1">
        <f t="array" ref="H937">_xlfn.IFS(G937&gt;=20,"20-25", G937&gt;=15,"15-20", G937&gt;=10,"10-15", G937&gt;=5,"5-10", G937&gt;=1,"1-5", G937&lt;1,"Less than 1")</f>
        <v>20-25</v>
      </c>
      <c r="I937">
        <v>4</v>
      </c>
      <c r="J937">
        <v>1</v>
      </c>
      <c r="K937" s="6">
        <v>9</v>
      </c>
      <c r="L937" s="2">
        <v>6.99</v>
      </c>
      <c r="M937" s="6">
        <v>51</v>
      </c>
      <c r="N937" t="str" cm="1">
        <f t="array" ref="N937">_xlfn.IFS(M937&gt;=50,"50-60 Days", M937&gt;=40,"40-50 Days", M937&gt;=30, "30-40 Days", M937&gt;=20, "20-30 Days", M937&gt;=10, "10-20 Days", M937&gt;=0, "0-10 Days")</f>
        <v>50-60 Days</v>
      </c>
    </row>
    <row r="938" spans="1:14">
      <c r="A938">
        <v>937</v>
      </c>
      <c r="B938" t="s">
        <v>28</v>
      </c>
      <c r="C938" s="5">
        <v>45464</v>
      </c>
      <c r="D938" s="8">
        <v>45464</v>
      </c>
      <c r="E938" s="8">
        <f>IF(B938="Inactive", EDATE(D938,K938), "")</f>
        <v>45737</v>
      </c>
      <c r="F938" t="s">
        <v>10</v>
      </c>
      <c r="G938">
        <v>3.9</v>
      </c>
      <c r="H938" t="str" cm="1">
        <f t="array" ref="H938">_xlfn.IFS(G938&gt;=20,"20-25", G938&gt;=15,"15-20", G938&gt;=10,"10-15", G938&gt;=5,"5-10", G938&gt;=1,"1-5", G938&lt;1,"Less than 1")</f>
        <v>1-5</v>
      </c>
      <c r="I938">
        <v>1</v>
      </c>
      <c r="J938">
        <v>1</v>
      </c>
      <c r="K938" s="6">
        <v>9</v>
      </c>
      <c r="L938" s="2">
        <v>6.99</v>
      </c>
      <c r="M938" s="6">
        <v>13</v>
      </c>
      <c r="N938" t="str" cm="1">
        <f t="array" ref="N938">_xlfn.IFS(M938&gt;=50,"50-60 Days", M938&gt;=40,"40-50 Days", M938&gt;=30, "30-40 Days", M938&gt;=20, "20-30 Days", M938&gt;=10, "10-20 Days", M938&gt;=0, "0-10 Days")</f>
        <v>10-20 Days</v>
      </c>
    </row>
    <row r="939" spans="1:14">
      <c r="A939">
        <v>938</v>
      </c>
      <c r="B939" t="s">
        <v>29</v>
      </c>
      <c r="C939" s="5">
        <v>45206</v>
      </c>
      <c r="D939" s="8">
        <v>45206</v>
      </c>
      <c r="E939" s="8" t="str">
        <f>IF(B939="Inactive", EDATE(D939,K939), "")</f>
        <v/>
      </c>
      <c r="F939" t="s">
        <v>14</v>
      </c>
      <c r="G939">
        <v>23.4</v>
      </c>
      <c r="H939" t="str" cm="1">
        <f t="array" ref="H939">_xlfn.IFS(G939&gt;=20,"20-25", G939&gt;=15,"15-20", G939&gt;=10,"10-15", G939&gt;=5,"5-10", G939&gt;=1,"1-5", G939&lt;1,"Less than 1")</f>
        <v>20-25</v>
      </c>
      <c r="I939">
        <v>6</v>
      </c>
      <c r="J939">
        <v>0</v>
      </c>
      <c r="K939" s="6">
        <v>2</v>
      </c>
      <c r="L939" s="2">
        <v>3.99</v>
      </c>
      <c r="M939" s="6">
        <v>0</v>
      </c>
      <c r="N939" t="str" cm="1">
        <f t="array" ref="N939">_xlfn.IFS(M939&gt;=50,"50-60 Days", M939&gt;=40,"40-50 Days", M939&gt;=30, "30-40 Days", M939&gt;=20, "20-30 Days", M939&gt;=10, "10-20 Days", M939&gt;=0, "0-10 Days")</f>
        <v>0-10 Days</v>
      </c>
    </row>
    <row r="940" spans="1:14">
      <c r="A940">
        <v>939</v>
      </c>
      <c r="B940" t="s">
        <v>29</v>
      </c>
      <c r="C940" s="5">
        <v>45223</v>
      </c>
      <c r="D940" s="8">
        <v>45223</v>
      </c>
      <c r="E940" s="8" t="str">
        <f>IF(B940="Inactive", EDATE(D940,K940), "")</f>
        <v/>
      </c>
      <c r="F940" t="s">
        <v>14</v>
      </c>
      <c r="G940">
        <v>14.1</v>
      </c>
      <c r="H940" t="str" cm="1">
        <f t="array" ref="H940">_xlfn.IFS(G940&gt;=20,"20-25", G940&gt;=15,"15-20", G940&gt;=10,"10-15", G940&gt;=5,"5-10", G940&gt;=1,"1-5", G940&lt;1,"Less than 1")</f>
        <v>10-15</v>
      </c>
      <c r="I940">
        <v>2</v>
      </c>
      <c r="J940">
        <v>1</v>
      </c>
      <c r="K940" s="6">
        <v>4</v>
      </c>
      <c r="L940" s="2">
        <v>3.99</v>
      </c>
      <c r="M940" s="6">
        <v>11</v>
      </c>
      <c r="N940" t="str" cm="1">
        <f t="array" ref="N940">_xlfn.IFS(M940&gt;=50,"50-60 Days", M940&gt;=40,"40-50 Days", M940&gt;=30, "30-40 Days", M940&gt;=20, "20-30 Days", M940&gt;=10, "10-20 Days", M940&gt;=0, "0-10 Days")</f>
        <v>10-20 Days</v>
      </c>
    </row>
    <row r="941" spans="1:14">
      <c r="A941">
        <v>940</v>
      </c>
      <c r="B941" t="s">
        <v>28</v>
      </c>
      <c r="C941" s="5">
        <v>45401</v>
      </c>
      <c r="D941" s="8">
        <v>45401</v>
      </c>
      <c r="E941" s="8">
        <f>IF(B941="Inactive", EDATE(D941,K941), "")</f>
        <v>45735</v>
      </c>
      <c r="F941" t="s">
        <v>10</v>
      </c>
      <c r="G941">
        <v>1.5</v>
      </c>
      <c r="H941" t="str" cm="1">
        <f t="array" ref="H941">_xlfn.IFS(G941&gt;=20,"20-25", G941&gt;=15,"15-20", G941&gt;=10,"10-15", G941&gt;=5,"5-10", G941&gt;=1,"1-5", G941&lt;1,"Less than 1")</f>
        <v>1-5</v>
      </c>
      <c r="I941">
        <v>4</v>
      </c>
      <c r="J941">
        <v>4</v>
      </c>
      <c r="K941" s="6">
        <v>11</v>
      </c>
      <c r="L941" s="2">
        <v>6.99</v>
      </c>
      <c r="M941" s="6">
        <v>19</v>
      </c>
      <c r="N941" t="str" cm="1">
        <f t="array" ref="N941">_xlfn.IFS(M941&gt;=50,"50-60 Days", M941&gt;=40,"40-50 Days", M941&gt;=30, "30-40 Days", M941&gt;=20, "20-30 Days", M941&gt;=10, "10-20 Days", M941&gt;=0, "0-10 Days")</f>
        <v>10-20 Days</v>
      </c>
    </row>
    <row r="942" spans="1:14">
      <c r="A942">
        <v>941</v>
      </c>
      <c r="B942" t="s">
        <v>29</v>
      </c>
      <c r="C942" s="5">
        <v>45578</v>
      </c>
      <c r="D942" s="8">
        <v>45578</v>
      </c>
      <c r="E942" s="8" t="str">
        <f>IF(B942="Inactive", EDATE(D942,K942), "")</f>
        <v/>
      </c>
      <c r="F942" t="s">
        <v>12</v>
      </c>
      <c r="G942">
        <v>19.899999999999999</v>
      </c>
      <c r="H942" t="str" cm="1">
        <f t="array" ref="H942">_xlfn.IFS(G942&gt;=20,"20-25", G942&gt;=15,"15-20", G942&gt;=10,"10-15", G942&gt;=5,"5-10", G942&gt;=1,"1-5", G942&lt;1,"Less than 1")</f>
        <v>15-20</v>
      </c>
      <c r="I942">
        <v>2</v>
      </c>
      <c r="J942">
        <v>2</v>
      </c>
      <c r="K942" s="6">
        <v>1</v>
      </c>
      <c r="L942" s="2">
        <v>1.99</v>
      </c>
      <c r="M942" s="6">
        <v>19</v>
      </c>
      <c r="N942" t="str" cm="1">
        <f t="array" ref="N942">_xlfn.IFS(M942&gt;=50,"50-60 Days", M942&gt;=40,"40-50 Days", M942&gt;=30, "30-40 Days", M942&gt;=20, "20-30 Days", M942&gt;=10, "10-20 Days", M942&gt;=0, "0-10 Days")</f>
        <v>10-20 Days</v>
      </c>
    </row>
    <row r="943" spans="1:14">
      <c r="A943">
        <v>942</v>
      </c>
      <c r="B943" t="s">
        <v>28</v>
      </c>
      <c r="C943" s="5">
        <v>45631</v>
      </c>
      <c r="D943" s="8">
        <v>45631</v>
      </c>
      <c r="E943" s="8">
        <f>IF(B943="Inactive", EDATE(D943,K943), "")</f>
        <v>45721</v>
      </c>
      <c r="F943" t="s">
        <v>14</v>
      </c>
      <c r="G943">
        <v>16.5</v>
      </c>
      <c r="H943" t="str" cm="1">
        <f t="array" ref="H943">_xlfn.IFS(G943&gt;=20,"20-25", G943&gt;=15,"15-20", G943&gt;=10,"10-15", G943&gt;=5,"5-10", G943&gt;=1,"1-5", G943&lt;1,"Less than 1")</f>
        <v>15-20</v>
      </c>
      <c r="I943">
        <v>4</v>
      </c>
      <c r="J943">
        <v>3</v>
      </c>
      <c r="K943" s="6">
        <v>3</v>
      </c>
      <c r="L943" s="2">
        <v>3.99</v>
      </c>
      <c r="M943" s="6">
        <v>11</v>
      </c>
      <c r="N943" t="str" cm="1">
        <f t="array" ref="N943">_xlfn.IFS(M943&gt;=50,"50-60 Days", M943&gt;=40,"40-50 Days", M943&gt;=30, "30-40 Days", M943&gt;=20, "20-30 Days", M943&gt;=10, "10-20 Days", M943&gt;=0, "0-10 Days")</f>
        <v>10-20 Days</v>
      </c>
    </row>
    <row r="944" spans="1:14">
      <c r="A944">
        <v>943</v>
      </c>
      <c r="B944" t="s">
        <v>28</v>
      </c>
      <c r="C944" s="5">
        <v>45297</v>
      </c>
      <c r="D944" s="8">
        <v>45297</v>
      </c>
      <c r="E944" s="8">
        <f>IF(B944="Inactive", EDATE(D944,K944), "")</f>
        <v>45479</v>
      </c>
      <c r="F944" t="s">
        <v>10</v>
      </c>
      <c r="G944">
        <v>1.2</v>
      </c>
      <c r="H944" t="str" cm="1">
        <f t="array" ref="H944">_xlfn.IFS(G944&gt;=20,"20-25", G944&gt;=15,"15-20", G944&gt;=10,"10-15", G944&gt;=5,"5-10", G944&gt;=1,"1-5", G944&lt;1,"Less than 1")</f>
        <v>1-5</v>
      </c>
      <c r="I944">
        <v>4</v>
      </c>
      <c r="J944">
        <v>3</v>
      </c>
      <c r="K944" s="6">
        <v>6</v>
      </c>
      <c r="L944" s="2">
        <v>6.99</v>
      </c>
      <c r="M944" s="6">
        <v>4</v>
      </c>
      <c r="N944" t="str" cm="1">
        <f t="array" ref="N944">_xlfn.IFS(M944&gt;=50,"50-60 Days", M944&gt;=40,"40-50 Days", M944&gt;=30, "30-40 Days", M944&gt;=20, "20-30 Days", M944&gt;=10, "10-20 Days", M944&gt;=0, "0-10 Days")</f>
        <v>0-10 Days</v>
      </c>
    </row>
    <row r="945" spans="1:14">
      <c r="A945">
        <v>944</v>
      </c>
      <c r="B945" t="s">
        <v>28</v>
      </c>
      <c r="C945" s="5">
        <v>45637</v>
      </c>
      <c r="D945" s="8">
        <v>45637</v>
      </c>
      <c r="E945" s="8">
        <f>IF(B945="Inactive", EDATE(D945,K945), "")</f>
        <v>45972</v>
      </c>
      <c r="F945" t="s">
        <v>10</v>
      </c>
      <c r="G945">
        <v>14.4</v>
      </c>
      <c r="H945" t="str" cm="1">
        <f t="array" ref="H945">_xlfn.IFS(G945&gt;=20,"20-25", G945&gt;=15,"15-20", G945&gt;=10,"10-15", G945&gt;=5,"5-10", G945&gt;=1,"1-5", G945&lt;1,"Less than 1")</f>
        <v>10-15</v>
      </c>
      <c r="I945">
        <v>4</v>
      </c>
      <c r="J945">
        <v>5</v>
      </c>
      <c r="K945" s="6">
        <v>11</v>
      </c>
      <c r="L945" s="2">
        <v>6.99</v>
      </c>
      <c r="M945" s="6">
        <v>43</v>
      </c>
      <c r="N945" t="str" cm="1">
        <f t="array" ref="N945">_xlfn.IFS(M945&gt;=50,"50-60 Days", M945&gt;=40,"40-50 Days", M945&gt;=30, "30-40 Days", M945&gt;=20, "20-30 Days", M945&gt;=10, "10-20 Days", M945&gt;=0, "0-10 Days")</f>
        <v>40-50 Days</v>
      </c>
    </row>
    <row r="946" spans="1:14">
      <c r="A946">
        <v>945</v>
      </c>
      <c r="B946" t="s">
        <v>29</v>
      </c>
      <c r="C946" s="5">
        <v>45076</v>
      </c>
      <c r="D946" s="8">
        <v>45076</v>
      </c>
      <c r="E946" s="8" t="str">
        <f>IF(B946="Inactive", EDATE(D946,K946), "")</f>
        <v/>
      </c>
      <c r="F946" t="s">
        <v>12</v>
      </c>
      <c r="G946">
        <v>13.1</v>
      </c>
      <c r="H946" t="str" cm="1">
        <f t="array" ref="H946">_xlfn.IFS(G946&gt;=20,"20-25", G946&gt;=15,"15-20", G946&gt;=10,"10-15", G946&gt;=5,"5-10", G946&gt;=1,"1-5", G946&lt;1,"Less than 1")</f>
        <v>10-15</v>
      </c>
      <c r="I946">
        <v>0</v>
      </c>
      <c r="J946">
        <v>2</v>
      </c>
      <c r="K946" s="6">
        <v>8</v>
      </c>
      <c r="L946" s="2">
        <v>1.99</v>
      </c>
      <c r="M946" s="6">
        <v>10</v>
      </c>
      <c r="N946" t="str" cm="1">
        <f t="array" ref="N946">_xlfn.IFS(M946&gt;=50,"50-60 Days", M946&gt;=40,"40-50 Days", M946&gt;=30, "30-40 Days", M946&gt;=20, "20-30 Days", M946&gt;=10, "10-20 Days", M946&gt;=0, "0-10 Days")</f>
        <v>10-20 Days</v>
      </c>
    </row>
    <row r="947" spans="1:14">
      <c r="A947">
        <v>946</v>
      </c>
      <c r="B947" t="s">
        <v>28</v>
      </c>
      <c r="C947" s="5">
        <v>45296</v>
      </c>
      <c r="D947" s="8">
        <v>45296</v>
      </c>
      <c r="E947" s="8">
        <f>IF(B947="Inactive", EDATE(D947,K947), "")</f>
        <v>45601</v>
      </c>
      <c r="F947" t="s">
        <v>14</v>
      </c>
      <c r="G947">
        <v>22</v>
      </c>
      <c r="H947" t="str" cm="1">
        <f t="array" ref="H947">_xlfn.IFS(G947&gt;=20,"20-25", G947&gt;=15,"15-20", G947&gt;=10,"10-15", G947&gt;=5,"5-10", G947&gt;=1,"1-5", G947&lt;1,"Less than 1")</f>
        <v>20-25</v>
      </c>
      <c r="I947">
        <v>2</v>
      </c>
      <c r="J947">
        <v>2</v>
      </c>
      <c r="K947" s="6">
        <v>10</v>
      </c>
      <c r="L947" s="2">
        <v>3.99</v>
      </c>
      <c r="M947" s="6">
        <v>10</v>
      </c>
      <c r="N947" t="str" cm="1">
        <f t="array" ref="N947">_xlfn.IFS(M947&gt;=50,"50-60 Days", M947&gt;=40,"40-50 Days", M947&gt;=30, "30-40 Days", M947&gt;=20, "20-30 Days", M947&gt;=10, "10-20 Days", M947&gt;=0, "0-10 Days")</f>
        <v>10-20 Days</v>
      </c>
    </row>
    <row r="948" spans="1:14">
      <c r="A948">
        <v>947</v>
      </c>
      <c r="B948" t="s">
        <v>28</v>
      </c>
      <c r="C948" s="5">
        <v>45453</v>
      </c>
      <c r="D948" s="8">
        <v>45453</v>
      </c>
      <c r="E948" s="8">
        <f>IF(B948="Inactive", EDATE(D948,K948), "")</f>
        <v>45698</v>
      </c>
      <c r="F948" t="s">
        <v>14</v>
      </c>
      <c r="G948">
        <v>1.7</v>
      </c>
      <c r="H948" t="str" cm="1">
        <f t="array" ref="H948">_xlfn.IFS(G948&gt;=20,"20-25", G948&gt;=15,"15-20", G948&gt;=10,"10-15", G948&gt;=5,"5-10", G948&gt;=1,"1-5", G948&lt;1,"Less than 1")</f>
        <v>1-5</v>
      </c>
      <c r="I948">
        <v>4</v>
      </c>
      <c r="J948">
        <v>4</v>
      </c>
      <c r="K948" s="6">
        <v>8</v>
      </c>
      <c r="L948" s="2">
        <v>3.99</v>
      </c>
      <c r="M948" s="6">
        <v>40</v>
      </c>
      <c r="N948" t="str" cm="1">
        <f t="array" ref="N948">_xlfn.IFS(M948&gt;=50,"50-60 Days", M948&gt;=40,"40-50 Days", M948&gt;=30, "30-40 Days", M948&gt;=20, "20-30 Days", M948&gt;=10, "10-20 Days", M948&gt;=0, "0-10 Days")</f>
        <v>40-50 Days</v>
      </c>
    </row>
    <row r="949" spans="1:14">
      <c r="A949">
        <v>948</v>
      </c>
      <c r="B949" t="s">
        <v>29</v>
      </c>
      <c r="C949" s="5">
        <v>45628</v>
      </c>
      <c r="D949" s="8">
        <v>45628</v>
      </c>
      <c r="E949" s="8" t="str">
        <f>IF(B949="Inactive", EDATE(D949,K949), "")</f>
        <v/>
      </c>
      <c r="F949" t="s">
        <v>12</v>
      </c>
      <c r="G949">
        <v>19.2</v>
      </c>
      <c r="H949" t="str" cm="1">
        <f t="array" ref="H949">_xlfn.IFS(G949&gt;=20,"20-25", G949&gt;=15,"15-20", G949&gt;=10,"10-15", G949&gt;=5,"5-10", G949&gt;=1,"1-5", G949&lt;1,"Less than 1")</f>
        <v>15-20</v>
      </c>
      <c r="I949">
        <v>2</v>
      </c>
      <c r="J949">
        <v>4</v>
      </c>
      <c r="K949" s="6">
        <v>4</v>
      </c>
      <c r="L949" s="2">
        <v>1.99</v>
      </c>
      <c r="M949" s="6">
        <v>20</v>
      </c>
      <c r="N949" t="str" cm="1">
        <f t="array" ref="N949">_xlfn.IFS(M949&gt;=50,"50-60 Days", M949&gt;=40,"40-50 Days", M949&gt;=30, "30-40 Days", M949&gt;=20, "20-30 Days", M949&gt;=10, "10-20 Days", M949&gt;=0, "0-10 Days")</f>
        <v>20-30 Days</v>
      </c>
    </row>
    <row r="950" spans="1:14">
      <c r="A950">
        <v>949</v>
      </c>
      <c r="B950" t="s">
        <v>29</v>
      </c>
      <c r="C950" s="5">
        <v>45074</v>
      </c>
      <c r="D950" s="8">
        <v>45074</v>
      </c>
      <c r="E950" s="8" t="str">
        <f>IF(B950="Inactive", EDATE(D950,K950), "")</f>
        <v/>
      </c>
      <c r="F950" t="s">
        <v>14</v>
      </c>
      <c r="G950">
        <v>17.3</v>
      </c>
      <c r="H950" t="str" cm="1">
        <f t="array" ref="H950">_xlfn.IFS(G950&gt;=20,"20-25", G950&gt;=15,"15-20", G950&gt;=10,"10-15", G950&gt;=5,"5-10", G950&gt;=1,"1-5", G950&lt;1,"Less than 1")</f>
        <v>15-20</v>
      </c>
      <c r="I950">
        <v>5</v>
      </c>
      <c r="J950">
        <v>0</v>
      </c>
      <c r="K950" s="6">
        <v>6</v>
      </c>
      <c r="L950" s="2">
        <v>3.99</v>
      </c>
      <c r="M950" s="6">
        <v>34</v>
      </c>
      <c r="N950" t="str" cm="1">
        <f t="array" ref="N950">_xlfn.IFS(M950&gt;=50,"50-60 Days", M950&gt;=40,"40-50 Days", M950&gt;=30, "30-40 Days", M950&gt;=20, "20-30 Days", M950&gt;=10, "10-20 Days", M950&gt;=0, "0-10 Days")</f>
        <v>30-40 Days</v>
      </c>
    </row>
    <row r="951" spans="1:14">
      <c r="A951">
        <v>950</v>
      </c>
      <c r="B951" t="s">
        <v>28</v>
      </c>
      <c r="C951" s="5">
        <v>45093</v>
      </c>
      <c r="D951" s="8">
        <v>45093</v>
      </c>
      <c r="E951" s="8">
        <f>IF(B951="Inactive", EDATE(D951,K951), "")</f>
        <v>45185</v>
      </c>
      <c r="F951" t="s">
        <v>12</v>
      </c>
      <c r="G951">
        <v>13.2</v>
      </c>
      <c r="H951" t="str" cm="1">
        <f t="array" ref="H951">_xlfn.IFS(G951&gt;=20,"20-25", G951&gt;=15,"15-20", G951&gt;=10,"10-15", G951&gt;=5,"5-10", G951&gt;=1,"1-5", G951&lt;1,"Less than 1")</f>
        <v>10-15</v>
      </c>
      <c r="I951">
        <v>5</v>
      </c>
      <c r="J951">
        <v>3</v>
      </c>
      <c r="K951" s="6">
        <v>3</v>
      </c>
      <c r="L951" s="2">
        <v>1.99</v>
      </c>
      <c r="M951" s="6">
        <v>26</v>
      </c>
      <c r="N951" t="str" cm="1">
        <f t="array" ref="N951">_xlfn.IFS(M951&gt;=50,"50-60 Days", M951&gt;=40,"40-50 Days", M951&gt;=30, "30-40 Days", M951&gt;=20, "20-30 Days", M951&gt;=10, "10-20 Days", M951&gt;=0, "0-10 Days")</f>
        <v>20-30 Days</v>
      </c>
    </row>
    <row r="952" spans="1:14">
      <c r="A952">
        <v>951</v>
      </c>
      <c r="B952" t="s">
        <v>29</v>
      </c>
      <c r="C952" s="5">
        <v>45555</v>
      </c>
      <c r="D952" s="8">
        <v>45555</v>
      </c>
      <c r="E952" s="8" t="str">
        <f>IF(B952="Inactive", EDATE(D952,K952), "")</f>
        <v/>
      </c>
      <c r="F952" t="s">
        <v>12</v>
      </c>
      <c r="G952">
        <v>4.3</v>
      </c>
      <c r="H952" t="str" cm="1">
        <f t="array" ref="H952">_xlfn.IFS(G952&gt;=20,"20-25", G952&gt;=15,"15-20", G952&gt;=10,"10-15", G952&gt;=5,"5-10", G952&gt;=1,"1-5", G952&lt;1,"Less than 1")</f>
        <v>1-5</v>
      </c>
      <c r="I952">
        <v>3</v>
      </c>
      <c r="J952">
        <v>1</v>
      </c>
      <c r="K952" s="6">
        <v>5</v>
      </c>
      <c r="L952" s="2">
        <v>1.99</v>
      </c>
      <c r="M952" s="6">
        <v>50</v>
      </c>
      <c r="N952" t="str" cm="1">
        <f t="array" ref="N952">_xlfn.IFS(M952&gt;=50,"50-60 Days", M952&gt;=40,"40-50 Days", M952&gt;=30, "30-40 Days", M952&gt;=20, "20-30 Days", M952&gt;=10, "10-20 Days", M952&gt;=0, "0-10 Days")</f>
        <v>50-60 Days</v>
      </c>
    </row>
    <row r="953" spans="1:14">
      <c r="A953">
        <v>952</v>
      </c>
      <c r="B953" t="s">
        <v>29</v>
      </c>
      <c r="C953" s="5">
        <v>45354</v>
      </c>
      <c r="D953" s="8">
        <v>45354</v>
      </c>
      <c r="E953" s="8" t="str">
        <f>IF(B953="Inactive", EDATE(D953,K953), "")</f>
        <v/>
      </c>
      <c r="F953" t="s">
        <v>10</v>
      </c>
      <c r="G953">
        <v>21.2</v>
      </c>
      <c r="H953" t="str" cm="1">
        <f t="array" ref="H953">_xlfn.IFS(G953&gt;=20,"20-25", G953&gt;=15,"15-20", G953&gt;=10,"10-15", G953&gt;=5,"5-10", G953&gt;=1,"1-5", G953&lt;1,"Less than 1")</f>
        <v>20-25</v>
      </c>
      <c r="I953">
        <v>8</v>
      </c>
      <c r="J953">
        <v>5</v>
      </c>
      <c r="K953" s="6">
        <v>12</v>
      </c>
      <c r="L953" s="2">
        <v>6.99</v>
      </c>
      <c r="M953" s="6">
        <v>48</v>
      </c>
      <c r="N953" t="str" cm="1">
        <f t="array" ref="N953">_xlfn.IFS(M953&gt;=50,"50-60 Days", M953&gt;=40,"40-50 Days", M953&gt;=30, "30-40 Days", M953&gt;=20, "20-30 Days", M953&gt;=10, "10-20 Days", M953&gt;=0, "0-10 Days")</f>
        <v>40-50 Days</v>
      </c>
    </row>
    <row r="954" spans="1:14">
      <c r="A954">
        <v>953</v>
      </c>
      <c r="B954" t="s">
        <v>28</v>
      </c>
      <c r="C954" s="5">
        <v>45634</v>
      </c>
      <c r="D954" s="8">
        <v>45634</v>
      </c>
      <c r="E954" s="8">
        <f>IF(B954="Inactive", EDATE(D954,K954), "")</f>
        <v>45696</v>
      </c>
      <c r="F954" t="s">
        <v>14</v>
      </c>
      <c r="G954">
        <v>3.4</v>
      </c>
      <c r="H954" t="str" cm="1">
        <f t="array" ref="H954">_xlfn.IFS(G954&gt;=20,"20-25", G954&gt;=15,"15-20", G954&gt;=10,"10-15", G954&gt;=5,"5-10", G954&gt;=1,"1-5", G954&lt;1,"Less than 1")</f>
        <v>1-5</v>
      </c>
      <c r="I954">
        <v>2</v>
      </c>
      <c r="J954">
        <v>0</v>
      </c>
      <c r="K954" s="6">
        <v>2</v>
      </c>
      <c r="L954" s="2">
        <v>3.99</v>
      </c>
      <c r="M954" s="6">
        <v>30</v>
      </c>
      <c r="N954" t="str" cm="1">
        <f t="array" ref="N954">_xlfn.IFS(M954&gt;=50,"50-60 Days", M954&gt;=40,"40-50 Days", M954&gt;=30, "30-40 Days", M954&gt;=20, "20-30 Days", M954&gt;=10, "10-20 Days", M954&gt;=0, "0-10 Days")</f>
        <v>30-40 Days</v>
      </c>
    </row>
    <row r="955" spans="1:14">
      <c r="A955">
        <v>954</v>
      </c>
      <c r="B955" t="s">
        <v>29</v>
      </c>
      <c r="C955" s="5">
        <v>44956</v>
      </c>
      <c r="D955" s="8">
        <v>44956</v>
      </c>
      <c r="E955" s="8" t="str">
        <f>IF(B955="Inactive", EDATE(D955,K955), "")</f>
        <v/>
      </c>
      <c r="F955" t="s">
        <v>14</v>
      </c>
      <c r="G955">
        <v>20.5</v>
      </c>
      <c r="H955" t="str" cm="1">
        <f t="array" ref="H955">_xlfn.IFS(G955&gt;=20,"20-25", G955&gt;=15,"15-20", G955&gt;=10,"10-15", G955&gt;=5,"5-10", G955&gt;=1,"1-5", G955&lt;1,"Less than 1")</f>
        <v>20-25</v>
      </c>
      <c r="I955">
        <v>8</v>
      </c>
      <c r="J955">
        <v>2</v>
      </c>
      <c r="K955" s="6">
        <v>3</v>
      </c>
      <c r="L955" s="2">
        <v>3.99</v>
      </c>
      <c r="M955" s="6">
        <v>11</v>
      </c>
      <c r="N955" t="str" cm="1">
        <f t="array" ref="N955">_xlfn.IFS(M955&gt;=50,"50-60 Days", M955&gt;=40,"40-50 Days", M955&gt;=30, "30-40 Days", M955&gt;=20, "20-30 Days", M955&gt;=10, "10-20 Days", M955&gt;=0, "0-10 Days")</f>
        <v>10-20 Days</v>
      </c>
    </row>
    <row r="956" spans="1:14">
      <c r="A956">
        <v>955</v>
      </c>
      <c r="B956" t="s">
        <v>28</v>
      </c>
      <c r="C956" s="5">
        <v>45141</v>
      </c>
      <c r="D956" s="8">
        <v>45141</v>
      </c>
      <c r="E956" s="8">
        <f>IF(B956="Inactive", EDATE(D956,K956), "")</f>
        <v>45233</v>
      </c>
      <c r="F956" t="s">
        <v>10</v>
      </c>
      <c r="G956">
        <v>5.9</v>
      </c>
      <c r="H956" t="str" cm="1">
        <f t="array" ref="H956">_xlfn.IFS(G956&gt;=20,"20-25", G956&gt;=15,"15-20", G956&gt;=10,"10-15", G956&gt;=5,"5-10", G956&gt;=1,"1-5", G956&lt;1,"Less than 1")</f>
        <v>5-10</v>
      </c>
      <c r="I956">
        <v>2</v>
      </c>
      <c r="J956">
        <v>5</v>
      </c>
      <c r="K956" s="6">
        <v>3</v>
      </c>
      <c r="L956" s="2">
        <v>6.99</v>
      </c>
      <c r="M956" s="6">
        <v>14</v>
      </c>
      <c r="N956" t="str" cm="1">
        <f t="array" ref="N956">_xlfn.IFS(M956&gt;=50,"50-60 Days", M956&gt;=40,"40-50 Days", M956&gt;=30, "30-40 Days", M956&gt;=20, "20-30 Days", M956&gt;=10, "10-20 Days", M956&gt;=0, "0-10 Days")</f>
        <v>10-20 Days</v>
      </c>
    </row>
    <row r="957" spans="1:14">
      <c r="A957">
        <v>956</v>
      </c>
      <c r="B957" t="s">
        <v>29</v>
      </c>
      <c r="C957" s="5">
        <v>45368</v>
      </c>
      <c r="D957" s="8">
        <v>45368</v>
      </c>
      <c r="E957" s="8" t="str">
        <f>IF(B957="Inactive", EDATE(D957,K957), "")</f>
        <v/>
      </c>
      <c r="F957" t="s">
        <v>12</v>
      </c>
      <c r="G957">
        <v>10.9</v>
      </c>
      <c r="H957" t="str" cm="1">
        <f t="array" ref="H957">_xlfn.IFS(G957&gt;=20,"20-25", G957&gt;=15,"15-20", G957&gt;=10,"10-15", G957&gt;=5,"5-10", G957&gt;=1,"1-5", G957&lt;1,"Less than 1")</f>
        <v>10-15</v>
      </c>
      <c r="I957">
        <v>1</v>
      </c>
      <c r="J957">
        <v>0</v>
      </c>
      <c r="K957" s="6">
        <v>2</v>
      </c>
      <c r="L957" s="2">
        <v>1.99</v>
      </c>
      <c r="M957" s="6">
        <v>1</v>
      </c>
      <c r="N957" t="str" cm="1">
        <f t="array" ref="N957">_xlfn.IFS(M957&gt;=50,"50-60 Days", M957&gt;=40,"40-50 Days", M957&gt;=30, "30-40 Days", M957&gt;=20, "20-30 Days", M957&gt;=10, "10-20 Days", M957&gt;=0, "0-10 Days")</f>
        <v>0-10 Days</v>
      </c>
    </row>
    <row r="958" spans="1:14">
      <c r="A958">
        <v>957</v>
      </c>
      <c r="B958" t="s">
        <v>28</v>
      </c>
      <c r="C958" s="5">
        <v>45186</v>
      </c>
      <c r="D958" s="8">
        <v>45186</v>
      </c>
      <c r="E958" s="8">
        <f>IF(B958="Inactive", EDATE(D958,K958), "")</f>
        <v>45339</v>
      </c>
      <c r="F958" t="s">
        <v>12</v>
      </c>
      <c r="G958">
        <v>3.1</v>
      </c>
      <c r="H958" t="str" cm="1">
        <f t="array" ref="H958">_xlfn.IFS(G958&gt;=20,"20-25", G958&gt;=15,"15-20", G958&gt;=10,"10-15", G958&gt;=5,"5-10", G958&gt;=1,"1-5", G958&lt;1,"Less than 1")</f>
        <v>1-5</v>
      </c>
      <c r="I958">
        <v>8</v>
      </c>
      <c r="J958">
        <v>4</v>
      </c>
      <c r="K958" s="6">
        <v>5</v>
      </c>
      <c r="L958" s="2">
        <v>1.99</v>
      </c>
      <c r="M958" s="6">
        <v>3</v>
      </c>
      <c r="N958" t="str" cm="1">
        <f t="array" ref="N958">_xlfn.IFS(M958&gt;=50,"50-60 Days", M958&gt;=40,"40-50 Days", M958&gt;=30, "30-40 Days", M958&gt;=20, "20-30 Days", M958&gt;=10, "10-20 Days", M958&gt;=0, "0-10 Days")</f>
        <v>0-10 Days</v>
      </c>
    </row>
    <row r="959" spans="1:14">
      <c r="A959">
        <v>958</v>
      </c>
      <c r="B959" t="s">
        <v>28</v>
      </c>
      <c r="C959" s="5">
        <v>45543</v>
      </c>
      <c r="D959" s="8">
        <v>45543</v>
      </c>
      <c r="E959" s="8">
        <f>IF(B959="Inactive", EDATE(D959,K959), "")</f>
        <v>45604</v>
      </c>
      <c r="F959" t="s">
        <v>12</v>
      </c>
      <c r="G959">
        <v>7.9</v>
      </c>
      <c r="H959" t="str" cm="1">
        <f t="array" ref="H959">_xlfn.IFS(G959&gt;=20,"20-25", G959&gt;=15,"15-20", G959&gt;=10,"10-15", G959&gt;=5,"5-10", G959&gt;=1,"1-5", G959&lt;1,"Less than 1")</f>
        <v>5-10</v>
      </c>
      <c r="I959">
        <v>0</v>
      </c>
      <c r="J959">
        <v>0</v>
      </c>
      <c r="K959" s="6">
        <v>2</v>
      </c>
      <c r="L959" s="2">
        <v>1.99</v>
      </c>
      <c r="M959" s="6">
        <v>50</v>
      </c>
      <c r="N959" t="str" cm="1">
        <f t="array" ref="N959">_xlfn.IFS(M959&gt;=50,"50-60 Days", M959&gt;=40,"40-50 Days", M959&gt;=30, "30-40 Days", M959&gt;=20, "20-30 Days", M959&gt;=10, "10-20 Days", M959&gt;=0, "0-10 Days")</f>
        <v>50-60 Days</v>
      </c>
    </row>
    <row r="960" spans="1:14">
      <c r="A960">
        <v>959</v>
      </c>
      <c r="B960" t="s">
        <v>28</v>
      </c>
      <c r="C960" s="5">
        <v>45211</v>
      </c>
      <c r="D960" s="8">
        <v>45211</v>
      </c>
      <c r="E960" s="8">
        <f>IF(B960="Inactive", EDATE(D960,K960), "")</f>
        <v>45363</v>
      </c>
      <c r="F960" t="s">
        <v>12</v>
      </c>
      <c r="G960">
        <v>5</v>
      </c>
      <c r="H960" t="str" cm="1">
        <f t="array" ref="H960">_xlfn.IFS(G960&gt;=20,"20-25", G960&gt;=15,"15-20", G960&gt;=10,"10-15", G960&gt;=5,"5-10", G960&gt;=1,"1-5", G960&lt;1,"Less than 1")</f>
        <v>5-10</v>
      </c>
      <c r="I960">
        <v>5</v>
      </c>
      <c r="J960">
        <v>0</v>
      </c>
      <c r="K960" s="6">
        <v>5</v>
      </c>
      <c r="L960" s="2">
        <v>1.99</v>
      </c>
      <c r="M960" s="6">
        <v>5</v>
      </c>
      <c r="N960" t="str" cm="1">
        <f t="array" ref="N960">_xlfn.IFS(M960&gt;=50,"50-60 Days", M960&gt;=40,"40-50 Days", M960&gt;=30, "30-40 Days", M960&gt;=20, "20-30 Days", M960&gt;=10, "10-20 Days", M960&gt;=0, "0-10 Days")</f>
        <v>0-10 Days</v>
      </c>
    </row>
    <row r="961" spans="1:14">
      <c r="A961">
        <v>960</v>
      </c>
      <c r="B961" t="s">
        <v>28</v>
      </c>
      <c r="C961" s="5">
        <v>45510</v>
      </c>
      <c r="D961" s="8">
        <v>45510</v>
      </c>
      <c r="E961" s="8">
        <f>IF(B961="Inactive", EDATE(D961,K961), "")</f>
        <v>45753</v>
      </c>
      <c r="F961" t="s">
        <v>10</v>
      </c>
      <c r="G961">
        <v>9.1</v>
      </c>
      <c r="H961" t="str" cm="1">
        <f t="array" ref="H961">_xlfn.IFS(G961&gt;=20,"20-25", G961&gt;=15,"15-20", G961&gt;=10,"10-15", G961&gt;=5,"5-10", G961&gt;=1,"1-5", G961&lt;1,"Less than 1")</f>
        <v>5-10</v>
      </c>
      <c r="I961">
        <v>8</v>
      </c>
      <c r="J961">
        <v>5</v>
      </c>
      <c r="K961" s="6">
        <v>8</v>
      </c>
      <c r="L961" s="2">
        <v>6.99</v>
      </c>
      <c r="M961" s="6">
        <v>39</v>
      </c>
      <c r="N961" t="str" cm="1">
        <f t="array" ref="N961">_xlfn.IFS(M961&gt;=50,"50-60 Days", M961&gt;=40,"40-50 Days", M961&gt;=30, "30-40 Days", M961&gt;=20, "20-30 Days", M961&gt;=10, "10-20 Days", M961&gt;=0, "0-10 Days")</f>
        <v>30-40 Days</v>
      </c>
    </row>
    <row r="962" spans="1:14">
      <c r="A962">
        <v>961</v>
      </c>
      <c r="B962" t="s">
        <v>29</v>
      </c>
      <c r="C962" s="5">
        <v>45215</v>
      </c>
      <c r="D962" s="8">
        <v>45215</v>
      </c>
      <c r="E962" s="8" t="str">
        <f>IF(B962="Inactive", EDATE(D962,K962), "")</f>
        <v/>
      </c>
      <c r="F962" t="s">
        <v>12</v>
      </c>
      <c r="G962">
        <v>20.6</v>
      </c>
      <c r="H962" t="str" cm="1">
        <f t="array" ref="H962">_xlfn.IFS(G962&gt;=20,"20-25", G962&gt;=15,"15-20", G962&gt;=10,"10-15", G962&gt;=5,"5-10", G962&gt;=1,"1-5", G962&lt;1,"Less than 1")</f>
        <v>20-25</v>
      </c>
      <c r="I962">
        <v>0</v>
      </c>
      <c r="J962">
        <v>4</v>
      </c>
      <c r="K962" s="6">
        <v>3</v>
      </c>
      <c r="L962" s="2">
        <v>1.99</v>
      </c>
      <c r="M962" s="6">
        <v>13</v>
      </c>
      <c r="N962" t="str" cm="1">
        <f t="array" ref="N962">_xlfn.IFS(M962&gt;=50,"50-60 Days", M962&gt;=40,"40-50 Days", M962&gt;=30, "30-40 Days", M962&gt;=20, "20-30 Days", M962&gt;=10, "10-20 Days", M962&gt;=0, "0-10 Days")</f>
        <v>10-20 Days</v>
      </c>
    </row>
    <row r="963" spans="1:14">
      <c r="A963">
        <v>962</v>
      </c>
      <c r="B963" t="s">
        <v>28</v>
      </c>
      <c r="C963" s="5">
        <v>45651</v>
      </c>
      <c r="D963" s="8">
        <v>45651</v>
      </c>
      <c r="E963" s="8">
        <f>IF(B963="Inactive", EDATE(D963,K963), "")</f>
        <v>46016</v>
      </c>
      <c r="F963" t="s">
        <v>12</v>
      </c>
      <c r="G963">
        <v>0.6</v>
      </c>
      <c r="H963" t="str" cm="1">
        <f t="array" ref="H963">_xlfn.IFS(G963&gt;=20,"20-25", G963&gt;=15,"15-20", G963&gt;=10,"10-15", G963&gt;=5,"5-10", G963&gt;=1,"1-5", G963&lt;1,"Less than 1")</f>
        <v>Less than 1</v>
      </c>
      <c r="I963">
        <v>1</v>
      </c>
      <c r="J963">
        <v>1</v>
      </c>
      <c r="K963" s="6">
        <v>12</v>
      </c>
      <c r="L963" s="2">
        <v>1.99</v>
      </c>
      <c r="M963" s="6">
        <v>58</v>
      </c>
      <c r="N963" t="str" cm="1">
        <f t="array" ref="N963">_xlfn.IFS(M963&gt;=50,"50-60 Days", M963&gt;=40,"40-50 Days", M963&gt;=30, "30-40 Days", M963&gt;=20, "20-30 Days", M963&gt;=10, "10-20 Days", M963&gt;=0, "0-10 Days")</f>
        <v>50-60 Days</v>
      </c>
    </row>
    <row r="964" spans="1:14">
      <c r="A964">
        <v>963</v>
      </c>
      <c r="B964" t="s">
        <v>29</v>
      </c>
      <c r="C964" s="5">
        <v>45112</v>
      </c>
      <c r="D964" s="8">
        <v>45112</v>
      </c>
      <c r="E964" s="8" t="str">
        <f>IF(B964="Inactive", EDATE(D964,K964), "")</f>
        <v/>
      </c>
      <c r="F964" t="s">
        <v>14</v>
      </c>
      <c r="G964">
        <v>17.600000000000001</v>
      </c>
      <c r="H964" t="str" cm="1">
        <f t="array" ref="H964">_xlfn.IFS(G964&gt;=20,"20-25", G964&gt;=15,"15-20", G964&gt;=10,"10-15", G964&gt;=5,"5-10", G964&gt;=1,"1-5", G964&lt;1,"Less than 1")</f>
        <v>15-20</v>
      </c>
      <c r="I964">
        <v>2</v>
      </c>
      <c r="J964">
        <v>3</v>
      </c>
      <c r="K964" s="6">
        <v>8</v>
      </c>
      <c r="L964" s="2">
        <v>3.99</v>
      </c>
      <c r="M964" s="6">
        <v>43</v>
      </c>
      <c r="N964" t="str" cm="1">
        <f t="array" ref="N964">_xlfn.IFS(M964&gt;=50,"50-60 Days", M964&gt;=40,"40-50 Days", M964&gt;=30, "30-40 Days", M964&gt;=20, "20-30 Days", M964&gt;=10, "10-20 Days", M964&gt;=0, "0-10 Days")</f>
        <v>40-50 Days</v>
      </c>
    </row>
    <row r="965" spans="1:14">
      <c r="A965">
        <v>964</v>
      </c>
      <c r="B965" t="s">
        <v>28</v>
      </c>
      <c r="C965" s="5">
        <v>45248</v>
      </c>
      <c r="D965" s="8">
        <v>45248</v>
      </c>
      <c r="E965" s="8">
        <f>IF(B965="Inactive", EDATE(D965,K965), "")</f>
        <v>45522</v>
      </c>
      <c r="F965" t="s">
        <v>14</v>
      </c>
      <c r="G965">
        <v>10.9</v>
      </c>
      <c r="H965" t="str" cm="1">
        <f t="array" ref="H965">_xlfn.IFS(G965&gt;=20,"20-25", G965&gt;=15,"15-20", G965&gt;=10,"10-15", G965&gt;=5,"5-10", G965&gt;=1,"1-5", G965&lt;1,"Less than 1")</f>
        <v>10-15</v>
      </c>
      <c r="I965">
        <v>8</v>
      </c>
      <c r="J965">
        <v>1</v>
      </c>
      <c r="K965" s="6">
        <v>9</v>
      </c>
      <c r="L965" s="2">
        <v>3.99</v>
      </c>
      <c r="M965" s="6">
        <v>26</v>
      </c>
      <c r="N965" t="str" cm="1">
        <f t="array" ref="N965">_xlfn.IFS(M965&gt;=50,"50-60 Days", M965&gt;=40,"40-50 Days", M965&gt;=30, "30-40 Days", M965&gt;=20, "20-30 Days", M965&gt;=10, "10-20 Days", M965&gt;=0, "0-10 Days")</f>
        <v>20-30 Days</v>
      </c>
    </row>
    <row r="966" spans="1:14">
      <c r="A966">
        <v>965</v>
      </c>
      <c r="B966" t="s">
        <v>28</v>
      </c>
      <c r="C966" s="5">
        <v>45222</v>
      </c>
      <c r="D966" s="8">
        <v>45222</v>
      </c>
      <c r="E966" s="8">
        <f>IF(B966="Inactive", EDATE(D966,K966), "")</f>
        <v>45527</v>
      </c>
      <c r="F966" t="s">
        <v>12</v>
      </c>
      <c r="G966">
        <v>3.2</v>
      </c>
      <c r="H966" t="str" cm="1">
        <f t="array" ref="H966">_xlfn.IFS(G966&gt;=20,"20-25", G966&gt;=15,"15-20", G966&gt;=10,"10-15", G966&gt;=5,"5-10", G966&gt;=1,"1-5", G966&lt;1,"Less than 1")</f>
        <v>1-5</v>
      </c>
      <c r="I966">
        <v>2</v>
      </c>
      <c r="J966">
        <v>3</v>
      </c>
      <c r="K966" s="6">
        <v>10</v>
      </c>
      <c r="L966" s="2">
        <v>1.99</v>
      </c>
      <c r="M966" s="6">
        <v>48</v>
      </c>
      <c r="N966" t="str" cm="1">
        <f t="array" ref="N966">_xlfn.IFS(M966&gt;=50,"50-60 Days", M966&gt;=40,"40-50 Days", M966&gt;=30, "30-40 Days", M966&gt;=20, "20-30 Days", M966&gt;=10, "10-20 Days", M966&gt;=0, "0-10 Days")</f>
        <v>40-50 Days</v>
      </c>
    </row>
    <row r="967" spans="1:14">
      <c r="A967">
        <v>966</v>
      </c>
      <c r="B967" t="s">
        <v>28</v>
      </c>
      <c r="C967" s="5">
        <v>45541</v>
      </c>
      <c r="D967" s="8">
        <v>45541</v>
      </c>
      <c r="E967" s="8">
        <f>IF(B967="Inactive", EDATE(D967,K967), "")</f>
        <v>45571</v>
      </c>
      <c r="F967" t="s">
        <v>10</v>
      </c>
      <c r="G967">
        <v>2.5</v>
      </c>
      <c r="H967" t="str" cm="1">
        <f t="array" ref="H967">_xlfn.IFS(G967&gt;=20,"20-25", G967&gt;=15,"15-20", G967&gt;=10,"10-15", G967&gt;=5,"5-10", G967&gt;=1,"1-5", G967&lt;1,"Less than 1")</f>
        <v>1-5</v>
      </c>
      <c r="I967">
        <v>7</v>
      </c>
      <c r="J967">
        <v>0</v>
      </c>
      <c r="K967" s="6">
        <v>1</v>
      </c>
      <c r="L967" s="2">
        <v>6.99</v>
      </c>
      <c r="M967" s="6">
        <v>24</v>
      </c>
      <c r="N967" t="str" cm="1">
        <f t="array" ref="N967">_xlfn.IFS(M967&gt;=50,"50-60 Days", M967&gt;=40,"40-50 Days", M967&gt;=30, "30-40 Days", M967&gt;=20, "20-30 Days", M967&gt;=10, "10-20 Days", M967&gt;=0, "0-10 Days")</f>
        <v>20-30 Days</v>
      </c>
    </row>
    <row r="968" spans="1:14">
      <c r="A968">
        <v>967</v>
      </c>
      <c r="B968" t="s">
        <v>28</v>
      </c>
      <c r="C968" s="5">
        <v>45365</v>
      </c>
      <c r="D968" s="8">
        <v>45365</v>
      </c>
      <c r="E968" s="8">
        <f>IF(B968="Inactive", EDATE(D968,K968), "")</f>
        <v>45579</v>
      </c>
      <c r="F968" t="s">
        <v>10</v>
      </c>
      <c r="G968">
        <v>17.3</v>
      </c>
      <c r="H968" t="str" cm="1">
        <f t="array" ref="H968">_xlfn.IFS(G968&gt;=20,"20-25", G968&gt;=15,"15-20", G968&gt;=10,"10-15", G968&gt;=5,"5-10", G968&gt;=1,"1-5", G968&lt;1,"Less than 1")</f>
        <v>15-20</v>
      </c>
      <c r="I968">
        <v>7</v>
      </c>
      <c r="J968">
        <v>1</v>
      </c>
      <c r="K968" s="6">
        <v>7</v>
      </c>
      <c r="L968" s="2">
        <v>6.99</v>
      </c>
      <c r="M968" s="6">
        <v>35</v>
      </c>
      <c r="N968" t="str" cm="1">
        <f t="array" ref="N968">_xlfn.IFS(M968&gt;=50,"50-60 Days", M968&gt;=40,"40-50 Days", M968&gt;=30, "30-40 Days", M968&gt;=20, "20-30 Days", M968&gt;=10, "10-20 Days", M968&gt;=0, "0-10 Days")</f>
        <v>30-40 Days</v>
      </c>
    </row>
    <row r="969" spans="1:14">
      <c r="A969">
        <v>968</v>
      </c>
      <c r="B969" t="s">
        <v>28</v>
      </c>
      <c r="C969" s="5">
        <v>45617</v>
      </c>
      <c r="D969" s="8">
        <v>45617</v>
      </c>
      <c r="E969" s="8">
        <f>IF(B969="Inactive", EDATE(D969,K969), "")</f>
        <v>45678</v>
      </c>
      <c r="F969" t="s">
        <v>12</v>
      </c>
      <c r="G969">
        <v>22.4</v>
      </c>
      <c r="H969" t="str" cm="1">
        <f t="array" ref="H969">_xlfn.IFS(G969&gt;=20,"20-25", G969&gt;=15,"15-20", G969&gt;=10,"10-15", G969&gt;=5,"5-10", G969&gt;=1,"1-5", G969&lt;1,"Less than 1")</f>
        <v>20-25</v>
      </c>
      <c r="I969">
        <v>7</v>
      </c>
      <c r="J969">
        <v>5</v>
      </c>
      <c r="K969" s="6">
        <v>2</v>
      </c>
      <c r="L969" s="2">
        <v>1.99</v>
      </c>
      <c r="M969" s="6">
        <v>23</v>
      </c>
      <c r="N969" t="str" cm="1">
        <f t="array" ref="N969">_xlfn.IFS(M969&gt;=50,"50-60 Days", M969&gt;=40,"40-50 Days", M969&gt;=30, "30-40 Days", M969&gt;=20, "20-30 Days", M969&gt;=10, "10-20 Days", M969&gt;=0, "0-10 Days")</f>
        <v>20-30 Days</v>
      </c>
    </row>
    <row r="970" spans="1:14">
      <c r="A970">
        <v>969</v>
      </c>
      <c r="B970" t="s">
        <v>28</v>
      </c>
      <c r="C970" s="5">
        <v>45073</v>
      </c>
      <c r="D970" s="8">
        <v>45073</v>
      </c>
      <c r="E970" s="8">
        <f>IF(B970="Inactive", EDATE(D970,K970), "")</f>
        <v>45165</v>
      </c>
      <c r="F970" t="s">
        <v>14</v>
      </c>
      <c r="G970">
        <v>10.199999999999999</v>
      </c>
      <c r="H970" t="str" cm="1">
        <f t="array" ref="H970">_xlfn.IFS(G970&gt;=20,"20-25", G970&gt;=15,"15-20", G970&gt;=10,"10-15", G970&gt;=5,"5-10", G970&gt;=1,"1-5", G970&lt;1,"Less than 1")</f>
        <v>10-15</v>
      </c>
      <c r="I970">
        <v>8</v>
      </c>
      <c r="J970">
        <v>5</v>
      </c>
      <c r="K970" s="6">
        <v>3</v>
      </c>
      <c r="L970" s="2">
        <v>3.99</v>
      </c>
      <c r="M970" s="6">
        <v>43</v>
      </c>
      <c r="N970" t="str" cm="1">
        <f t="array" ref="N970">_xlfn.IFS(M970&gt;=50,"50-60 Days", M970&gt;=40,"40-50 Days", M970&gt;=30, "30-40 Days", M970&gt;=20, "20-30 Days", M970&gt;=10, "10-20 Days", M970&gt;=0, "0-10 Days")</f>
        <v>40-50 Days</v>
      </c>
    </row>
    <row r="971" spans="1:14">
      <c r="A971">
        <v>970</v>
      </c>
      <c r="B971" t="s">
        <v>29</v>
      </c>
      <c r="C971" s="5">
        <v>45099</v>
      </c>
      <c r="D971" s="8">
        <v>45099</v>
      </c>
      <c r="E971" s="8" t="str">
        <f>IF(B971="Inactive", EDATE(D971,K971), "")</f>
        <v/>
      </c>
      <c r="F971" t="s">
        <v>14</v>
      </c>
      <c r="G971">
        <v>17.5</v>
      </c>
      <c r="H971" t="str" cm="1">
        <f t="array" ref="H971">_xlfn.IFS(G971&gt;=20,"20-25", G971&gt;=15,"15-20", G971&gt;=10,"10-15", G971&gt;=5,"5-10", G971&gt;=1,"1-5", G971&lt;1,"Less than 1")</f>
        <v>15-20</v>
      </c>
      <c r="I971">
        <v>1</v>
      </c>
      <c r="J971">
        <v>5</v>
      </c>
      <c r="K971" s="6">
        <v>9</v>
      </c>
      <c r="L971" s="2">
        <v>3.99</v>
      </c>
      <c r="M971" s="6">
        <v>59</v>
      </c>
      <c r="N971" t="str" cm="1">
        <f t="array" ref="N971">_xlfn.IFS(M971&gt;=50,"50-60 Days", M971&gt;=40,"40-50 Days", M971&gt;=30, "30-40 Days", M971&gt;=20, "20-30 Days", M971&gt;=10, "10-20 Days", M971&gt;=0, "0-10 Days")</f>
        <v>50-60 Days</v>
      </c>
    </row>
    <row r="972" spans="1:14">
      <c r="A972">
        <v>971</v>
      </c>
      <c r="B972" t="s">
        <v>29</v>
      </c>
      <c r="C972" s="5">
        <v>45340</v>
      </c>
      <c r="D972" s="8">
        <v>45340</v>
      </c>
      <c r="E972" s="8" t="str">
        <f>IF(B972="Inactive", EDATE(D972,K972), "")</f>
        <v/>
      </c>
      <c r="F972" t="s">
        <v>12</v>
      </c>
      <c r="G972">
        <v>24.4</v>
      </c>
      <c r="H972" t="str" cm="1">
        <f t="array" ref="H972">_xlfn.IFS(G972&gt;=20,"20-25", G972&gt;=15,"15-20", G972&gt;=10,"10-15", G972&gt;=5,"5-10", G972&gt;=1,"1-5", G972&lt;1,"Less than 1")</f>
        <v>20-25</v>
      </c>
      <c r="I972">
        <v>5</v>
      </c>
      <c r="J972">
        <v>1</v>
      </c>
      <c r="K972" s="6">
        <v>8</v>
      </c>
      <c r="L972" s="2">
        <v>1.99</v>
      </c>
      <c r="M972" s="6">
        <v>38</v>
      </c>
      <c r="N972" t="str" cm="1">
        <f t="array" ref="N972">_xlfn.IFS(M972&gt;=50,"50-60 Days", M972&gt;=40,"40-50 Days", M972&gt;=30, "30-40 Days", M972&gt;=20, "20-30 Days", M972&gt;=10, "10-20 Days", M972&gt;=0, "0-10 Days")</f>
        <v>30-40 Days</v>
      </c>
    </row>
    <row r="973" spans="1:14">
      <c r="A973">
        <v>972</v>
      </c>
      <c r="B973" t="s">
        <v>28</v>
      </c>
      <c r="C973" s="5">
        <v>45522</v>
      </c>
      <c r="D973" s="8">
        <v>45522</v>
      </c>
      <c r="E973" s="8">
        <f>IF(B973="Inactive", EDATE(D973,K973), "")</f>
        <v>45675</v>
      </c>
      <c r="F973" t="s">
        <v>12</v>
      </c>
      <c r="G973">
        <v>21</v>
      </c>
      <c r="H973" t="str" cm="1">
        <f t="array" ref="H973">_xlfn.IFS(G973&gt;=20,"20-25", G973&gt;=15,"15-20", G973&gt;=10,"10-15", G973&gt;=5,"5-10", G973&gt;=1,"1-5", G973&lt;1,"Less than 1")</f>
        <v>20-25</v>
      </c>
      <c r="I973">
        <v>7</v>
      </c>
      <c r="J973">
        <v>2</v>
      </c>
      <c r="K973" s="6">
        <v>5</v>
      </c>
      <c r="L973" s="2">
        <v>1.99</v>
      </c>
      <c r="M973" s="6">
        <v>48</v>
      </c>
      <c r="N973" t="str" cm="1">
        <f t="array" ref="N973">_xlfn.IFS(M973&gt;=50,"50-60 Days", M973&gt;=40,"40-50 Days", M973&gt;=30, "30-40 Days", M973&gt;=20, "20-30 Days", M973&gt;=10, "10-20 Days", M973&gt;=0, "0-10 Days")</f>
        <v>40-50 Days</v>
      </c>
    </row>
    <row r="974" spans="1:14">
      <c r="A974">
        <v>973</v>
      </c>
      <c r="B974" t="s">
        <v>28</v>
      </c>
      <c r="C974" s="5">
        <v>45341</v>
      </c>
      <c r="D974" s="8">
        <v>45341</v>
      </c>
      <c r="E974" s="8">
        <f>IF(B974="Inactive", EDATE(D974,K974), "")</f>
        <v>45523</v>
      </c>
      <c r="F974" t="s">
        <v>10</v>
      </c>
      <c r="G974">
        <v>19</v>
      </c>
      <c r="H974" t="str" cm="1">
        <f t="array" ref="H974">_xlfn.IFS(G974&gt;=20,"20-25", G974&gt;=15,"15-20", G974&gt;=10,"10-15", G974&gt;=5,"5-10", G974&gt;=1,"1-5", G974&lt;1,"Less than 1")</f>
        <v>15-20</v>
      </c>
      <c r="I974">
        <v>6</v>
      </c>
      <c r="J974">
        <v>2</v>
      </c>
      <c r="K974" s="6">
        <v>6</v>
      </c>
      <c r="L974" s="2">
        <v>6.99</v>
      </c>
      <c r="M974" s="6">
        <v>30</v>
      </c>
      <c r="N974" t="str" cm="1">
        <f t="array" ref="N974">_xlfn.IFS(M974&gt;=50,"50-60 Days", M974&gt;=40,"40-50 Days", M974&gt;=30, "30-40 Days", M974&gt;=20, "20-30 Days", M974&gt;=10, "10-20 Days", M974&gt;=0, "0-10 Days")</f>
        <v>30-40 Days</v>
      </c>
    </row>
    <row r="975" spans="1:14">
      <c r="A975">
        <v>974</v>
      </c>
      <c r="B975" t="s">
        <v>29</v>
      </c>
      <c r="C975" s="5">
        <v>45436</v>
      </c>
      <c r="D975" s="8">
        <v>45436</v>
      </c>
      <c r="E975" s="8" t="str">
        <f>IF(B975="Inactive", EDATE(D975,K975), "")</f>
        <v/>
      </c>
      <c r="F975" t="s">
        <v>14</v>
      </c>
      <c r="G975">
        <v>7.3</v>
      </c>
      <c r="H975" t="str" cm="1">
        <f t="array" ref="H975">_xlfn.IFS(G975&gt;=20,"20-25", G975&gt;=15,"15-20", G975&gt;=10,"10-15", G975&gt;=5,"5-10", G975&gt;=1,"1-5", G975&lt;1,"Less than 1")</f>
        <v>5-10</v>
      </c>
      <c r="I975">
        <v>7</v>
      </c>
      <c r="J975">
        <v>0</v>
      </c>
      <c r="K975" s="6">
        <v>11</v>
      </c>
      <c r="L975" s="2">
        <v>3.99</v>
      </c>
      <c r="M975" s="6">
        <v>7</v>
      </c>
      <c r="N975" t="str" cm="1">
        <f t="array" ref="N975">_xlfn.IFS(M975&gt;=50,"50-60 Days", M975&gt;=40,"40-50 Days", M975&gt;=30, "30-40 Days", M975&gt;=20, "20-30 Days", M975&gt;=10, "10-20 Days", M975&gt;=0, "0-10 Days")</f>
        <v>0-10 Days</v>
      </c>
    </row>
    <row r="976" spans="1:14">
      <c r="A976">
        <v>975</v>
      </c>
      <c r="B976" t="s">
        <v>29</v>
      </c>
      <c r="C976" s="5">
        <v>45110</v>
      </c>
      <c r="D976" s="8">
        <v>45110</v>
      </c>
      <c r="E976" s="8" t="str">
        <f>IF(B976="Inactive", EDATE(D976,K976), "")</f>
        <v/>
      </c>
      <c r="F976" t="s">
        <v>12</v>
      </c>
      <c r="G976">
        <v>1.2</v>
      </c>
      <c r="H976" t="str" cm="1">
        <f t="array" ref="H976">_xlfn.IFS(G976&gt;=20,"20-25", G976&gt;=15,"15-20", G976&gt;=10,"10-15", G976&gt;=5,"5-10", G976&gt;=1,"1-5", G976&lt;1,"Less than 1")</f>
        <v>1-5</v>
      </c>
      <c r="I976">
        <v>0</v>
      </c>
      <c r="J976">
        <v>0</v>
      </c>
      <c r="K976" s="6">
        <v>3</v>
      </c>
      <c r="L976" s="2">
        <v>1.99</v>
      </c>
      <c r="M976" s="6">
        <v>31</v>
      </c>
      <c r="N976" t="str" cm="1">
        <f t="array" ref="N976">_xlfn.IFS(M976&gt;=50,"50-60 Days", M976&gt;=40,"40-50 Days", M976&gt;=30, "30-40 Days", M976&gt;=20, "20-30 Days", M976&gt;=10, "10-20 Days", M976&gt;=0, "0-10 Days")</f>
        <v>30-40 Days</v>
      </c>
    </row>
    <row r="977" spans="1:14">
      <c r="A977">
        <v>976</v>
      </c>
      <c r="B977" t="s">
        <v>29</v>
      </c>
      <c r="C977" s="5">
        <v>45431</v>
      </c>
      <c r="D977" s="8">
        <v>45431</v>
      </c>
      <c r="E977" s="8" t="str">
        <f>IF(B977="Inactive", EDATE(D977,K977), "")</f>
        <v/>
      </c>
      <c r="F977" t="s">
        <v>14</v>
      </c>
      <c r="G977">
        <v>4.2</v>
      </c>
      <c r="H977" t="str" cm="1">
        <f t="array" ref="H977">_xlfn.IFS(G977&gt;=20,"20-25", G977&gt;=15,"15-20", G977&gt;=10,"10-15", G977&gt;=5,"5-10", G977&gt;=1,"1-5", G977&lt;1,"Less than 1")</f>
        <v>1-5</v>
      </c>
      <c r="I977">
        <v>1</v>
      </c>
      <c r="J977">
        <v>0</v>
      </c>
      <c r="K977" s="6">
        <v>7</v>
      </c>
      <c r="L977" s="2">
        <v>3.99</v>
      </c>
      <c r="M977" s="6">
        <v>42</v>
      </c>
      <c r="N977" t="str" cm="1">
        <f t="array" ref="N977">_xlfn.IFS(M977&gt;=50,"50-60 Days", M977&gt;=40,"40-50 Days", M977&gt;=30, "30-40 Days", M977&gt;=20, "20-30 Days", M977&gt;=10, "10-20 Days", M977&gt;=0, "0-10 Days")</f>
        <v>40-50 Days</v>
      </c>
    </row>
    <row r="978" spans="1:14">
      <c r="A978">
        <v>977</v>
      </c>
      <c r="B978" t="s">
        <v>28</v>
      </c>
      <c r="C978" s="5">
        <v>45278</v>
      </c>
      <c r="D978" s="8">
        <v>45278</v>
      </c>
      <c r="E978" s="8">
        <f>IF(B978="Inactive", EDATE(D978,K978), "")</f>
        <v>45430</v>
      </c>
      <c r="F978" t="s">
        <v>14</v>
      </c>
      <c r="G978">
        <v>7.7</v>
      </c>
      <c r="H978" t="str" cm="1">
        <f t="array" ref="H978">_xlfn.IFS(G978&gt;=20,"20-25", G978&gt;=15,"15-20", G978&gt;=10,"10-15", G978&gt;=5,"5-10", G978&gt;=1,"1-5", G978&lt;1,"Less than 1")</f>
        <v>5-10</v>
      </c>
      <c r="I978">
        <v>7</v>
      </c>
      <c r="J978">
        <v>3</v>
      </c>
      <c r="K978" s="6">
        <v>5</v>
      </c>
      <c r="L978" s="2">
        <v>3.99</v>
      </c>
      <c r="M978" s="6">
        <v>32</v>
      </c>
      <c r="N978" t="str" cm="1">
        <f t="array" ref="N978">_xlfn.IFS(M978&gt;=50,"50-60 Days", M978&gt;=40,"40-50 Days", M978&gt;=30, "30-40 Days", M978&gt;=20, "20-30 Days", M978&gt;=10, "10-20 Days", M978&gt;=0, "0-10 Days")</f>
        <v>30-40 Days</v>
      </c>
    </row>
    <row r="979" spans="1:14">
      <c r="A979">
        <v>978</v>
      </c>
      <c r="B979" t="s">
        <v>29</v>
      </c>
      <c r="C979" s="5">
        <v>45319</v>
      </c>
      <c r="D979" s="8">
        <v>45319</v>
      </c>
      <c r="E979" s="8" t="str">
        <f>IF(B979="Inactive", EDATE(D979,K979), "")</f>
        <v/>
      </c>
      <c r="F979" t="s">
        <v>10</v>
      </c>
      <c r="G979">
        <v>0.9</v>
      </c>
      <c r="H979" t="str" cm="1">
        <f t="array" ref="H979">_xlfn.IFS(G979&gt;=20,"20-25", G979&gt;=15,"15-20", G979&gt;=10,"10-15", G979&gt;=5,"5-10", G979&gt;=1,"1-5", G979&lt;1,"Less than 1")</f>
        <v>Less than 1</v>
      </c>
      <c r="I979">
        <v>0</v>
      </c>
      <c r="J979">
        <v>3</v>
      </c>
      <c r="K979" s="6">
        <v>12</v>
      </c>
      <c r="L979" s="2">
        <v>6.99</v>
      </c>
      <c r="M979" s="6">
        <v>56</v>
      </c>
      <c r="N979" t="str" cm="1">
        <f t="array" ref="N979">_xlfn.IFS(M979&gt;=50,"50-60 Days", M979&gt;=40,"40-50 Days", M979&gt;=30, "30-40 Days", M979&gt;=20, "20-30 Days", M979&gt;=10, "10-20 Days", M979&gt;=0, "0-10 Days")</f>
        <v>50-60 Days</v>
      </c>
    </row>
    <row r="980" spans="1:14">
      <c r="A980">
        <v>979</v>
      </c>
      <c r="B980" t="s">
        <v>28</v>
      </c>
      <c r="C980" s="5">
        <v>45497</v>
      </c>
      <c r="D980" s="8">
        <v>45497</v>
      </c>
      <c r="E980" s="8">
        <f>IF(B980="Inactive", EDATE(D980,K980), "")</f>
        <v>45712</v>
      </c>
      <c r="F980" t="s">
        <v>14</v>
      </c>
      <c r="G980">
        <v>21.4</v>
      </c>
      <c r="H980" t="str" cm="1">
        <f t="array" ref="H980">_xlfn.IFS(G980&gt;=20,"20-25", G980&gt;=15,"15-20", G980&gt;=10,"10-15", G980&gt;=5,"5-10", G980&gt;=1,"1-5", G980&lt;1,"Less than 1")</f>
        <v>20-25</v>
      </c>
      <c r="I980">
        <v>7</v>
      </c>
      <c r="J980">
        <v>3</v>
      </c>
      <c r="K980" s="6">
        <v>7</v>
      </c>
      <c r="L980" s="2">
        <v>3.99</v>
      </c>
      <c r="M980" s="6">
        <v>2</v>
      </c>
      <c r="N980" t="str" cm="1">
        <f t="array" ref="N980">_xlfn.IFS(M980&gt;=50,"50-60 Days", M980&gt;=40,"40-50 Days", M980&gt;=30, "30-40 Days", M980&gt;=20, "20-30 Days", M980&gt;=10, "10-20 Days", M980&gt;=0, "0-10 Days")</f>
        <v>0-10 Days</v>
      </c>
    </row>
    <row r="981" spans="1:14">
      <c r="A981">
        <v>980</v>
      </c>
      <c r="B981" t="s">
        <v>28</v>
      </c>
      <c r="C981" s="5">
        <v>45325</v>
      </c>
      <c r="D981" s="8">
        <v>45325</v>
      </c>
      <c r="E981" s="8">
        <f>IF(B981="Inactive", EDATE(D981,K981), "")</f>
        <v>45538</v>
      </c>
      <c r="F981" t="s">
        <v>10</v>
      </c>
      <c r="G981">
        <v>22.2</v>
      </c>
      <c r="H981" t="str" cm="1">
        <f t="array" ref="H981">_xlfn.IFS(G981&gt;=20,"20-25", G981&gt;=15,"15-20", G981&gt;=10,"10-15", G981&gt;=5,"5-10", G981&gt;=1,"1-5", G981&lt;1,"Less than 1")</f>
        <v>20-25</v>
      </c>
      <c r="I981">
        <v>2</v>
      </c>
      <c r="J981">
        <v>3</v>
      </c>
      <c r="K981" s="6">
        <v>7</v>
      </c>
      <c r="L981" s="2">
        <v>6.99</v>
      </c>
      <c r="M981" s="6">
        <v>27</v>
      </c>
      <c r="N981" t="str" cm="1">
        <f t="array" ref="N981">_xlfn.IFS(M981&gt;=50,"50-60 Days", M981&gt;=40,"40-50 Days", M981&gt;=30, "30-40 Days", M981&gt;=20, "20-30 Days", M981&gt;=10, "10-20 Days", M981&gt;=0, "0-10 Days")</f>
        <v>20-30 Days</v>
      </c>
    </row>
    <row r="982" spans="1:14">
      <c r="A982">
        <v>981</v>
      </c>
      <c r="B982" t="s">
        <v>28</v>
      </c>
      <c r="C982" s="5">
        <v>45512</v>
      </c>
      <c r="D982" s="8">
        <v>45512</v>
      </c>
      <c r="E982" s="8">
        <f>IF(B982="Inactive", EDATE(D982,K982), "")</f>
        <v>45604</v>
      </c>
      <c r="F982" t="s">
        <v>14</v>
      </c>
      <c r="G982">
        <v>14.4</v>
      </c>
      <c r="H982" t="str" cm="1">
        <f t="array" ref="H982">_xlfn.IFS(G982&gt;=20,"20-25", G982&gt;=15,"15-20", G982&gt;=10,"10-15", G982&gt;=5,"5-10", G982&gt;=1,"1-5", G982&lt;1,"Less than 1")</f>
        <v>10-15</v>
      </c>
      <c r="I982">
        <v>7</v>
      </c>
      <c r="J982">
        <v>5</v>
      </c>
      <c r="K982" s="6">
        <v>3</v>
      </c>
      <c r="L982" s="2">
        <v>3.99</v>
      </c>
      <c r="M982" s="6">
        <v>35</v>
      </c>
      <c r="N982" t="str" cm="1">
        <f t="array" ref="N982">_xlfn.IFS(M982&gt;=50,"50-60 Days", M982&gt;=40,"40-50 Days", M982&gt;=30, "30-40 Days", M982&gt;=20, "20-30 Days", M982&gt;=10, "10-20 Days", M982&gt;=0, "0-10 Days")</f>
        <v>30-40 Days</v>
      </c>
    </row>
    <row r="983" spans="1:14">
      <c r="A983">
        <v>982</v>
      </c>
      <c r="B983" t="s">
        <v>29</v>
      </c>
      <c r="C983" s="5">
        <v>45433</v>
      </c>
      <c r="D983" s="8">
        <v>45433</v>
      </c>
      <c r="E983" s="8" t="str">
        <f>IF(B983="Inactive", EDATE(D983,K983), "")</f>
        <v/>
      </c>
      <c r="F983" t="s">
        <v>14</v>
      </c>
      <c r="G983">
        <v>14.3</v>
      </c>
      <c r="H983" t="str" cm="1">
        <f t="array" ref="H983">_xlfn.IFS(G983&gt;=20,"20-25", G983&gt;=15,"15-20", G983&gt;=10,"10-15", G983&gt;=5,"5-10", G983&gt;=1,"1-5", G983&lt;1,"Less than 1")</f>
        <v>10-15</v>
      </c>
      <c r="I983">
        <v>2</v>
      </c>
      <c r="J983">
        <v>4</v>
      </c>
      <c r="K983" s="6">
        <v>11</v>
      </c>
      <c r="L983" s="2">
        <v>3.99</v>
      </c>
      <c r="M983" s="6">
        <v>3</v>
      </c>
      <c r="N983" t="str" cm="1">
        <f t="array" ref="N983">_xlfn.IFS(M983&gt;=50,"50-60 Days", M983&gt;=40,"40-50 Days", M983&gt;=30, "30-40 Days", M983&gt;=20, "20-30 Days", M983&gt;=10, "10-20 Days", M983&gt;=0, "0-10 Days")</f>
        <v>0-10 Days</v>
      </c>
    </row>
    <row r="984" spans="1:14">
      <c r="A984">
        <v>983</v>
      </c>
      <c r="B984" t="s">
        <v>28</v>
      </c>
      <c r="C984" s="5">
        <v>45531</v>
      </c>
      <c r="D984" s="8">
        <v>45531</v>
      </c>
      <c r="E984" s="8">
        <f>IF(B984="Inactive", EDATE(D984,K984), "")</f>
        <v>45804</v>
      </c>
      <c r="F984" t="s">
        <v>10</v>
      </c>
      <c r="G984">
        <v>15.6</v>
      </c>
      <c r="H984" t="str" cm="1">
        <f t="array" ref="H984">_xlfn.IFS(G984&gt;=20,"20-25", G984&gt;=15,"15-20", G984&gt;=10,"10-15", G984&gt;=5,"5-10", G984&gt;=1,"1-5", G984&lt;1,"Less than 1")</f>
        <v>15-20</v>
      </c>
      <c r="I984">
        <v>5</v>
      </c>
      <c r="J984">
        <v>2</v>
      </c>
      <c r="K984" s="6">
        <v>9</v>
      </c>
      <c r="L984" s="2">
        <v>6.99</v>
      </c>
      <c r="M984" s="6">
        <v>20</v>
      </c>
      <c r="N984" t="str" cm="1">
        <f t="array" ref="N984">_xlfn.IFS(M984&gt;=50,"50-60 Days", M984&gt;=40,"40-50 Days", M984&gt;=30, "30-40 Days", M984&gt;=20, "20-30 Days", M984&gt;=10, "10-20 Days", M984&gt;=0, "0-10 Days")</f>
        <v>20-30 Days</v>
      </c>
    </row>
    <row r="985" spans="1:14">
      <c r="A985">
        <v>984</v>
      </c>
      <c r="B985" t="s">
        <v>28</v>
      </c>
      <c r="C985" s="5">
        <v>45567</v>
      </c>
      <c r="D985" s="8">
        <v>45567</v>
      </c>
      <c r="E985" s="8">
        <f>IF(B985="Inactive", EDATE(D985,K985), "")</f>
        <v>45659</v>
      </c>
      <c r="F985" t="s">
        <v>12</v>
      </c>
      <c r="G985">
        <v>21</v>
      </c>
      <c r="H985" t="str" cm="1">
        <f t="array" ref="H985">_xlfn.IFS(G985&gt;=20,"20-25", G985&gt;=15,"15-20", G985&gt;=10,"10-15", G985&gt;=5,"5-10", G985&gt;=1,"1-5", G985&lt;1,"Less than 1")</f>
        <v>20-25</v>
      </c>
      <c r="I985">
        <v>5</v>
      </c>
      <c r="J985">
        <v>5</v>
      </c>
      <c r="K985" s="6">
        <v>3</v>
      </c>
      <c r="L985" s="2">
        <v>1.99</v>
      </c>
      <c r="M985" s="6">
        <v>37</v>
      </c>
      <c r="N985" t="str" cm="1">
        <f t="array" ref="N985">_xlfn.IFS(M985&gt;=50,"50-60 Days", M985&gt;=40,"40-50 Days", M985&gt;=30, "30-40 Days", M985&gt;=20, "20-30 Days", M985&gt;=10, "10-20 Days", M985&gt;=0, "0-10 Days")</f>
        <v>30-40 Days</v>
      </c>
    </row>
    <row r="986" spans="1:14">
      <c r="A986">
        <v>985</v>
      </c>
      <c r="B986" t="s">
        <v>28</v>
      </c>
      <c r="C986" s="5">
        <v>45604</v>
      </c>
      <c r="D986" s="8">
        <v>45604</v>
      </c>
      <c r="E986" s="8">
        <f>IF(B986="Inactive", EDATE(D986,K986), "")</f>
        <v>45877</v>
      </c>
      <c r="F986" t="s">
        <v>14</v>
      </c>
      <c r="G986">
        <v>2.9</v>
      </c>
      <c r="H986" t="str" cm="1">
        <f t="array" ref="H986">_xlfn.IFS(G986&gt;=20,"20-25", G986&gt;=15,"15-20", G986&gt;=10,"10-15", G986&gt;=5,"5-10", G986&gt;=1,"1-5", G986&lt;1,"Less than 1")</f>
        <v>1-5</v>
      </c>
      <c r="I986">
        <v>5</v>
      </c>
      <c r="J986">
        <v>2</v>
      </c>
      <c r="K986" s="6">
        <v>9</v>
      </c>
      <c r="L986" s="2">
        <v>3.99</v>
      </c>
      <c r="M986" s="6">
        <v>26</v>
      </c>
      <c r="N986" t="str" cm="1">
        <f t="array" ref="N986">_xlfn.IFS(M986&gt;=50,"50-60 Days", M986&gt;=40,"40-50 Days", M986&gt;=30, "30-40 Days", M986&gt;=20, "20-30 Days", M986&gt;=10, "10-20 Days", M986&gt;=0, "0-10 Days")</f>
        <v>20-30 Days</v>
      </c>
    </row>
    <row r="987" spans="1:14">
      <c r="A987">
        <v>986</v>
      </c>
      <c r="B987" t="s">
        <v>29</v>
      </c>
      <c r="C987" s="5">
        <v>44994</v>
      </c>
      <c r="D987" s="8">
        <v>44994</v>
      </c>
      <c r="E987" s="8" t="str">
        <f>IF(B987="Inactive", EDATE(D987,K987), "")</f>
        <v/>
      </c>
      <c r="F987" t="s">
        <v>12</v>
      </c>
      <c r="G987">
        <v>6.2</v>
      </c>
      <c r="H987" t="str" cm="1">
        <f t="array" ref="H987">_xlfn.IFS(G987&gt;=20,"20-25", G987&gt;=15,"15-20", G987&gt;=10,"10-15", G987&gt;=5,"5-10", G987&gt;=1,"1-5", G987&lt;1,"Less than 1")</f>
        <v>5-10</v>
      </c>
      <c r="I987">
        <v>4</v>
      </c>
      <c r="J987">
        <v>4</v>
      </c>
      <c r="K987" s="6">
        <v>6</v>
      </c>
      <c r="L987" s="2">
        <v>1.99</v>
      </c>
      <c r="M987" s="6">
        <v>5</v>
      </c>
      <c r="N987" t="str" cm="1">
        <f t="array" ref="N987">_xlfn.IFS(M987&gt;=50,"50-60 Days", M987&gt;=40,"40-50 Days", M987&gt;=30, "30-40 Days", M987&gt;=20, "20-30 Days", M987&gt;=10, "10-20 Days", M987&gt;=0, "0-10 Days")</f>
        <v>0-10 Days</v>
      </c>
    </row>
    <row r="988" spans="1:14">
      <c r="A988">
        <v>987</v>
      </c>
      <c r="B988" t="s">
        <v>28</v>
      </c>
      <c r="C988" s="5">
        <v>45600</v>
      </c>
      <c r="D988" s="8">
        <v>45600</v>
      </c>
      <c r="E988" s="8">
        <f>IF(B988="Inactive", EDATE(D988,K988), "")</f>
        <v>45692</v>
      </c>
      <c r="F988" t="s">
        <v>14</v>
      </c>
      <c r="G988">
        <v>8.8000000000000007</v>
      </c>
      <c r="H988" t="str" cm="1">
        <f t="array" ref="H988">_xlfn.IFS(G988&gt;=20,"20-25", G988&gt;=15,"15-20", G988&gt;=10,"10-15", G988&gt;=5,"5-10", G988&gt;=1,"1-5", G988&lt;1,"Less than 1")</f>
        <v>5-10</v>
      </c>
      <c r="I988">
        <v>0</v>
      </c>
      <c r="J988">
        <v>4</v>
      </c>
      <c r="K988" s="6">
        <v>3</v>
      </c>
      <c r="L988" s="2">
        <v>3.99</v>
      </c>
      <c r="M988" s="6">
        <v>20</v>
      </c>
      <c r="N988" t="str" cm="1">
        <f t="array" ref="N988">_xlfn.IFS(M988&gt;=50,"50-60 Days", M988&gt;=40,"40-50 Days", M988&gt;=30, "30-40 Days", M988&gt;=20, "20-30 Days", M988&gt;=10, "10-20 Days", M988&gt;=0, "0-10 Days")</f>
        <v>20-30 Days</v>
      </c>
    </row>
    <row r="989" spans="1:14">
      <c r="A989">
        <v>988</v>
      </c>
      <c r="B989" t="s">
        <v>28</v>
      </c>
      <c r="C989" s="5">
        <v>44949</v>
      </c>
      <c r="D989" s="8">
        <v>44949</v>
      </c>
      <c r="E989" s="8">
        <f>IF(B989="Inactive", EDATE(D989,K989), "")</f>
        <v>45283</v>
      </c>
      <c r="F989" t="s">
        <v>14</v>
      </c>
      <c r="G989">
        <v>22.6</v>
      </c>
      <c r="H989" t="str" cm="1">
        <f t="array" ref="H989">_xlfn.IFS(G989&gt;=20,"20-25", G989&gt;=15,"15-20", G989&gt;=10,"10-15", G989&gt;=5,"5-10", G989&gt;=1,"1-5", G989&lt;1,"Less than 1")</f>
        <v>20-25</v>
      </c>
      <c r="I989">
        <v>4</v>
      </c>
      <c r="J989">
        <v>0</v>
      </c>
      <c r="K989" s="6">
        <v>11</v>
      </c>
      <c r="L989" s="2">
        <v>3.99</v>
      </c>
      <c r="M989" s="6">
        <v>44</v>
      </c>
      <c r="N989" t="str" cm="1">
        <f t="array" ref="N989">_xlfn.IFS(M989&gt;=50,"50-60 Days", M989&gt;=40,"40-50 Days", M989&gt;=30, "30-40 Days", M989&gt;=20, "20-30 Days", M989&gt;=10, "10-20 Days", M989&gt;=0, "0-10 Days")</f>
        <v>40-50 Days</v>
      </c>
    </row>
    <row r="990" spans="1:14">
      <c r="A990">
        <v>989</v>
      </c>
      <c r="B990" t="s">
        <v>29</v>
      </c>
      <c r="C990" s="5">
        <v>45029</v>
      </c>
      <c r="D990" s="8">
        <v>45029</v>
      </c>
      <c r="E990" s="8" t="str">
        <f>IF(B990="Inactive", EDATE(D990,K990), "")</f>
        <v/>
      </c>
      <c r="F990" t="s">
        <v>14</v>
      </c>
      <c r="G990">
        <v>14.5</v>
      </c>
      <c r="H990" t="str" cm="1">
        <f t="array" ref="H990">_xlfn.IFS(G990&gt;=20,"20-25", G990&gt;=15,"15-20", G990&gt;=10,"10-15", G990&gt;=5,"5-10", G990&gt;=1,"1-5", G990&lt;1,"Less than 1")</f>
        <v>10-15</v>
      </c>
      <c r="I990">
        <v>5</v>
      </c>
      <c r="J990">
        <v>4</v>
      </c>
      <c r="K990" s="6">
        <v>9</v>
      </c>
      <c r="L990" s="2">
        <v>3.99</v>
      </c>
      <c r="M990" s="6">
        <v>6</v>
      </c>
      <c r="N990" t="str" cm="1">
        <f t="array" ref="N990">_xlfn.IFS(M990&gt;=50,"50-60 Days", M990&gt;=40,"40-50 Days", M990&gt;=30, "30-40 Days", M990&gt;=20, "20-30 Days", M990&gt;=10, "10-20 Days", M990&gt;=0, "0-10 Days")</f>
        <v>0-10 Days</v>
      </c>
    </row>
    <row r="991" spans="1:14">
      <c r="A991">
        <v>990</v>
      </c>
      <c r="B991" t="s">
        <v>28</v>
      </c>
      <c r="C991" s="5">
        <v>45233</v>
      </c>
      <c r="D991" s="8">
        <v>45233</v>
      </c>
      <c r="E991" s="8">
        <f>IF(B991="Inactive", EDATE(D991,K991), "")</f>
        <v>45385</v>
      </c>
      <c r="F991" t="s">
        <v>10</v>
      </c>
      <c r="G991">
        <v>8.6999999999999993</v>
      </c>
      <c r="H991" t="str" cm="1">
        <f t="array" ref="H991">_xlfn.IFS(G991&gt;=20,"20-25", G991&gt;=15,"15-20", G991&gt;=10,"10-15", G991&gt;=5,"5-10", G991&gt;=1,"1-5", G991&lt;1,"Less than 1")</f>
        <v>5-10</v>
      </c>
      <c r="I991">
        <v>8</v>
      </c>
      <c r="J991">
        <v>5</v>
      </c>
      <c r="K991" s="6">
        <v>5</v>
      </c>
      <c r="L991" s="2">
        <v>6.99</v>
      </c>
      <c r="M991" s="6">
        <v>21</v>
      </c>
      <c r="N991" t="str" cm="1">
        <f t="array" ref="N991">_xlfn.IFS(M991&gt;=50,"50-60 Days", M991&gt;=40,"40-50 Days", M991&gt;=30, "30-40 Days", M991&gt;=20, "20-30 Days", M991&gt;=10, "10-20 Days", M991&gt;=0, "0-10 Days")</f>
        <v>20-30 Days</v>
      </c>
    </row>
    <row r="992" spans="1:14">
      <c r="A992">
        <v>991</v>
      </c>
      <c r="B992" t="s">
        <v>28</v>
      </c>
      <c r="C992" s="5">
        <v>44975</v>
      </c>
      <c r="D992" s="8">
        <v>44975</v>
      </c>
      <c r="E992" s="8">
        <f>IF(B992="Inactive", EDATE(D992,K992), "")</f>
        <v>45278</v>
      </c>
      <c r="F992" t="s">
        <v>14</v>
      </c>
      <c r="G992">
        <v>5.4</v>
      </c>
      <c r="H992" t="str" cm="1">
        <f t="array" ref="H992">_xlfn.IFS(G992&gt;=20,"20-25", G992&gt;=15,"15-20", G992&gt;=10,"10-15", G992&gt;=5,"5-10", G992&gt;=1,"1-5", G992&lt;1,"Less than 1")</f>
        <v>5-10</v>
      </c>
      <c r="I992">
        <v>1</v>
      </c>
      <c r="J992">
        <v>4</v>
      </c>
      <c r="K992" s="6">
        <v>10</v>
      </c>
      <c r="L992" s="2">
        <v>3.99</v>
      </c>
      <c r="M992" s="6">
        <v>13</v>
      </c>
      <c r="N992" t="str" cm="1">
        <f t="array" ref="N992">_xlfn.IFS(M992&gt;=50,"50-60 Days", M992&gt;=40,"40-50 Days", M992&gt;=30, "30-40 Days", M992&gt;=20, "20-30 Days", M992&gt;=10, "10-20 Days", M992&gt;=0, "0-10 Days")</f>
        <v>10-20 Days</v>
      </c>
    </row>
    <row r="993" spans="1:14">
      <c r="A993">
        <v>992</v>
      </c>
      <c r="B993" t="s">
        <v>28</v>
      </c>
      <c r="C993" s="5">
        <v>45533</v>
      </c>
      <c r="D993" s="8">
        <v>45533</v>
      </c>
      <c r="E993" s="8">
        <f>IF(B993="Inactive", EDATE(D993,K993), "")</f>
        <v>45806</v>
      </c>
      <c r="F993" t="s">
        <v>14</v>
      </c>
      <c r="G993">
        <v>20.2</v>
      </c>
      <c r="H993" t="str" cm="1">
        <f t="array" ref="H993">_xlfn.IFS(G993&gt;=20,"20-25", G993&gt;=15,"15-20", G993&gt;=10,"10-15", G993&gt;=5,"5-10", G993&gt;=1,"1-5", G993&lt;1,"Less than 1")</f>
        <v>20-25</v>
      </c>
      <c r="I993">
        <v>1</v>
      </c>
      <c r="J993">
        <v>5</v>
      </c>
      <c r="K993" s="6">
        <v>9</v>
      </c>
      <c r="L993" s="2">
        <v>3.99</v>
      </c>
      <c r="M993" s="6">
        <v>54</v>
      </c>
      <c r="N993" t="str" cm="1">
        <f t="array" ref="N993">_xlfn.IFS(M993&gt;=50,"50-60 Days", M993&gt;=40,"40-50 Days", M993&gt;=30, "30-40 Days", M993&gt;=20, "20-30 Days", M993&gt;=10, "10-20 Days", M993&gt;=0, "0-10 Days")</f>
        <v>50-60 Days</v>
      </c>
    </row>
    <row r="994" spans="1:14">
      <c r="A994">
        <v>993</v>
      </c>
      <c r="B994" t="s">
        <v>28</v>
      </c>
      <c r="C994" s="5">
        <v>45005</v>
      </c>
      <c r="D994" s="8">
        <v>45005</v>
      </c>
      <c r="E994" s="8">
        <f>IF(B994="Inactive", EDATE(D994,K994), "")</f>
        <v>45189</v>
      </c>
      <c r="F994" t="s">
        <v>14</v>
      </c>
      <c r="G994">
        <v>2.1</v>
      </c>
      <c r="H994" t="str" cm="1">
        <f t="array" ref="H994">_xlfn.IFS(G994&gt;=20,"20-25", G994&gt;=15,"15-20", G994&gt;=10,"10-15", G994&gt;=5,"5-10", G994&gt;=1,"1-5", G994&lt;1,"Less than 1")</f>
        <v>1-5</v>
      </c>
      <c r="I994">
        <v>8</v>
      </c>
      <c r="J994">
        <v>3</v>
      </c>
      <c r="K994" s="6">
        <v>6</v>
      </c>
      <c r="L994" s="2">
        <v>3.99</v>
      </c>
      <c r="M994" s="6">
        <v>27</v>
      </c>
      <c r="N994" t="str" cm="1">
        <f t="array" ref="N994">_xlfn.IFS(M994&gt;=50,"50-60 Days", M994&gt;=40,"40-50 Days", M994&gt;=30, "30-40 Days", M994&gt;=20, "20-30 Days", M994&gt;=10, "10-20 Days", M994&gt;=0, "0-10 Days")</f>
        <v>20-30 Days</v>
      </c>
    </row>
    <row r="995" spans="1:14">
      <c r="A995">
        <v>994</v>
      </c>
      <c r="B995" t="s">
        <v>28</v>
      </c>
      <c r="C995" s="5">
        <v>45131</v>
      </c>
      <c r="D995" s="8">
        <v>45131</v>
      </c>
      <c r="E995" s="8">
        <f>IF(B995="Inactive", EDATE(D995,K995), "")</f>
        <v>45346</v>
      </c>
      <c r="F995" t="s">
        <v>10</v>
      </c>
      <c r="G995">
        <v>12.9</v>
      </c>
      <c r="H995" t="str" cm="1">
        <f t="array" ref="H995">_xlfn.IFS(G995&gt;=20,"20-25", G995&gt;=15,"15-20", G995&gt;=10,"10-15", G995&gt;=5,"5-10", G995&gt;=1,"1-5", G995&lt;1,"Less than 1")</f>
        <v>10-15</v>
      </c>
      <c r="I995">
        <v>4</v>
      </c>
      <c r="J995">
        <v>3</v>
      </c>
      <c r="K995" s="6">
        <v>7</v>
      </c>
      <c r="L995" s="2">
        <v>6.99</v>
      </c>
      <c r="M995" s="6">
        <v>42</v>
      </c>
      <c r="N995" t="str" cm="1">
        <f t="array" ref="N995">_xlfn.IFS(M995&gt;=50,"50-60 Days", M995&gt;=40,"40-50 Days", M995&gt;=30, "30-40 Days", M995&gt;=20, "20-30 Days", M995&gt;=10, "10-20 Days", M995&gt;=0, "0-10 Days")</f>
        <v>40-50 Days</v>
      </c>
    </row>
    <row r="996" spans="1:14">
      <c r="A996">
        <v>995</v>
      </c>
      <c r="B996" t="s">
        <v>29</v>
      </c>
      <c r="C996" s="5">
        <v>45111</v>
      </c>
      <c r="D996" s="8">
        <v>45111</v>
      </c>
      <c r="E996" s="8" t="str">
        <f>IF(B996="Inactive", EDATE(D996,K996), "")</f>
        <v/>
      </c>
      <c r="F996" t="s">
        <v>14</v>
      </c>
      <c r="G996">
        <v>6.7</v>
      </c>
      <c r="H996" t="str" cm="1">
        <f t="array" ref="H996">_xlfn.IFS(G996&gt;=20,"20-25", G996&gt;=15,"15-20", G996&gt;=10,"10-15", G996&gt;=5,"5-10", G996&gt;=1,"1-5", G996&lt;1,"Less than 1")</f>
        <v>5-10</v>
      </c>
      <c r="I996">
        <v>8</v>
      </c>
      <c r="J996">
        <v>3</v>
      </c>
      <c r="K996" s="6">
        <v>9</v>
      </c>
      <c r="L996" s="2">
        <v>3.99</v>
      </c>
      <c r="M996" s="6">
        <v>42</v>
      </c>
      <c r="N996" t="str" cm="1">
        <f t="array" ref="N996">_xlfn.IFS(M996&gt;=50,"50-60 Days", M996&gt;=40,"40-50 Days", M996&gt;=30, "30-40 Days", M996&gt;=20, "20-30 Days", M996&gt;=10, "10-20 Days", M996&gt;=0, "0-10 Days")</f>
        <v>40-50 Days</v>
      </c>
    </row>
    <row r="997" spans="1:14">
      <c r="A997">
        <v>996</v>
      </c>
      <c r="B997" t="s">
        <v>29</v>
      </c>
      <c r="C997" s="5">
        <v>45405</v>
      </c>
      <c r="D997" s="8">
        <v>45405</v>
      </c>
      <c r="E997" s="8" t="str">
        <f>IF(B997="Inactive", EDATE(D997,K997), "")</f>
        <v/>
      </c>
      <c r="F997" t="s">
        <v>12</v>
      </c>
      <c r="G997">
        <v>21.6</v>
      </c>
      <c r="H997" t="str" cm="1">
        <f t="array" ref="H997">_xlfn.IFS(G997&gt;=20,"20-25", G997&gt;=15,"15-20", G997&gt;=10,"10-15", G997&gt;=5,"5-10", G997&gt;=1,"1-5", G997&lt;1,"Less than 1")</f>
        <v>20-25</v>
      </c>
      <c r="I997">
        <v>7</v>
      </c>
      <c r="J997">
        <v>1</v>
      </c>
      <c r="K997" s="6">
        <v>12</v>
      </c>
      <c r="L997" s="2">
        <v>1.99</v>
      </c>
      <c r="M997" s="6">
        <v>42</v>
      </c>
      <c r="N997" t="str" cm="1">
        <f t="array" ref="N997">_xlfn.IFS(M997&gt;=50,"50-60 Days", M997&gt;=40,"40-50 Days", M997&gt;=30, "30-40 Days", M997&gt;=20, "20-30 Days", M997&gt;=10, "10-20 Days", M997&gt;=0, "0-10 Days")</f>
        <v>40-50 Days</v>
      </c>
    </row>
    <row r="998" spans="1:14">
      <c r="A998">
        <v>997</v>
      </c>
      <c r="B998" t="s">
        <v>28</v>
      </c>
      <c r="C998" s="5">
        <v>45461</v>
      </c>
      <c r="D998" s="8">
        <v>45461</v>
      </c>
      <c r="E998" s="8">
        <f>IF(B998="Inactive", EDATE(D998,K998), "")</f>
        <v>45826</v>
      </c>
      <c r="F998" t="s">
        <v>14</v>
      </c>
      <c r="G998">
        <v>20.3</v>
      </c>
      <c r="H998" t="str" cm="1">
        <f t="array" ref="H998">_xlfn.IFS(G998&gt;=20,"20-25", G998&gt;=15,"15-20", G998&gt;=10,"10-15", G998&gt;=5,"5-10", G998&gt;=1,"1-5", G998&lt;1,"Less than 1")</f>
        <v>20-25</v>
      </c>
      <c r="I998">
        <v>6</v>
      </c>
      <c r="J998">
        <v>4</v>
      </c>
      <c r="K998" s="6">
        <v>12</v>
      </c>
      <c r="L998" s="2">
        <v>3.99</v>
      </c>
      <c r="M998" s="6">
        <v>46</v>
      </c>
      <c r="N998" t="str" cm="1">
        <f t="array" ref="N998">_xlfn.IFS(M998&gt;=50,"50-60 Days", M998&gt;=40,"40-50 Days", M998&gt;=30, "30-40 Days", M998&gt;=20, "20-30 Days", M998&gt;=10, "10-20 Days", M998&gt;=0, "0-10 Days")</f>
        <v>40-50 Days</v>
      </c>
    </row>
    <row r="999" spans="1:14">
      <c r="A999">
        <v>998</v>
      </c>
      <c r="B999" t="s">
        <v>29</v>
      </c>
      <c r="C999" s="5">
        <v>45234</v>
      </c>
      <c r="D999" s="8">
        <v>45234</v>
      </c>
      <c r="E999" s="8" t="str">
        <f>IF(B999="Inactive", EDATE(D999,K999), "")</f>
        <v/>
      </c>
      <c r="F999" t="s">
        <v>12</v>
      </c>
      <c r="G999">
        <v>11.8</v>
      </c>
      <c r="H999" t="str" cm="1">
        <f t="array" ref="H999">_xlfn.IFS(G999&gt;=20,"20-25", G999&gt;=15,"15-20", G999&gt;=10,"10-15", G999&gt;=5,"5-10", G999&gt;=1,"1-5", G999&lt;1,"Less than 1")</f>
        <v>10-15</v>
      </c>
      <c r="I999">
        <v>3</v>
      </c>
      <c r="J999">
        <v>1</v>
      </c>
      <c r="K999" s="6">
        <v>8</v>
      </c>
      <c r="L999" s="2">
        <v>1.99</v>
      </c>
      <c r="M999" s="6">
        <v>47</v>
      </c>
      <c r="N999" t="str" cm="1">
        <f t="array" ref="N999">_xlfn.IFS(M999&gt;=50,"50-60 Days", M999&gt;=40,"40-50 Days", M999&gt;=30, "30-40 Days", M999&gt;=20, "20-30 Days", M999&gt;=10, "10-20 Days", M999&gt;=0, "0-10 Days")</f>
        <v>40-50 Days</v>
      </c>
    </row>
    <row r="1000" spans="1:14">
      <c r="A1000">
        <v>999</v>
      </c>
      <c r="B1000" t="s">
        <v>29</v>
      </c>
      <c r="C1000" s="5">
        <v>45200</v>
      </c>
      <c r="D1000" s="8">
        <v>45200</v>
      </c>
      <c r="E1000" s="8" t="str">
        <f>IF(B1000="Inactive", EDATE(D1000,K1000), "")</f>
        <v/>
      </c>
      <c r="F1000" t="s">
        <v>14</v>
      </c>
      <c r="G1000">
        <v>8.3000000000000007</v>
      </c>
      <c r="H1000" t="str" cm="1">
        <f t="array" ref="H1000">_xlfn.IFS(G1000&gt;=20,"20-25", G1000&gt;=15,"15-20", G1000&gt;=10,"10-15", G1000&gt;=5,"5-10", G1000&gt;=1,"1-5", G1000&lt;1,"Less than 1")</f>
        <v>5-10</v>
      </c>
      <c r="I1000">
        <v>1</v>
      </c>
      <c r="J1000">
        <v>5</v>
      </c>
      <c r="K1000" s="6">
        <v>9</v>
      </c>
      <c r="L1000" s="2">
        <v>3.99</v>
      </c>
      <c r="M1000" s="6">
        <v>13</v>
      </c>
      <c r="N1000" t="str" cm="1">
        <f t="array" ref="N1000">_xlfn.IFS(M1000&gt;=50,"50-60 Days", M1000&gt;=40,"40-50 Days", M1000&gt;=30, "30-40 Days", M1000&gt;=20, "20-30 Days", M1000&gt;=10, "10-20 Days", M1000&gt;=0, "0-10 Days")</f>
        <v>10-20 Days</v>
      </c>
    </row>
    <row r="1001" spans="1:14">
      <c r="A1001">
        <v>1000</v>
      </c>
      <c r="B1001" t="s">
        <v>28</v>
      </c>
      <c r="C1001" s="5">
        <v>45123</v>
      </c>
      <c r="D1001" s="8">
        <v>45123</v>
      </c>
      <c r="E1001" s="8">
        <f>IF(B1001="Inactive", EDATE(D1001,K1001), "")</f>
        <v>45246</v>
      </c>
      <c r="F1001" t="s">
        <v>14</v>
      </c>
      <c r="G1001">
        <v>6.8</v>
      </c>
      <c r="H1001" t="str" cm="1">
        <f t="array" ref="H1001">_xlfn.IFS(G1001&gt;=20,"20-25", G1001&gt;=15,"15-20", G1001&gt;=10,"10-15", G1001&gt;=5,"5-10", G1001&gt;=1,"1-5", G1001&lt;1,"Less than 1")</f>
        <v>5-10</v>
      </c>
      <c r="I1001">
        <v>3</v>
      </c>
      <c r="J1001">
        <v>3</v>
      </c>
      <c r="K1001" s="6">
        <v>4</v>
      </c>
      <c r="L1001" s="2">
        <v>3.99</v>
      </c>
      <c r="M1001" s="6">
        <v>15</v>
      </c>
      <c r="N1001" t="str" cm="1">
        <f t="array" ref="N1001">_xlfn.IFS(M1001&gt;=50,"50-60 Days", M1001&gt;=40,"40-50 Days", M1001&gt;=30, "30-40 Days", M1001&gt;=20, "20-30 Days", M1001&gt;=10, "10-20 Days", M1001&gt;=0, "0-10 Days")</f>
        <v>10-20 Days</v>
      </c>
    </row>
    <row r="1002" spans="1:14">
      <c r="A1002">
        <v>1001</v>
      </c>
      <c r="B1002" t="s">
        <v>28</v>
      </c>
      <c r="C1002" s="5">
        <v>45373</v>
      </c>
      <c r="D1002" s="8">
        <v>45373</v>
      </c>
      <c r="E1002" s="8">
        <f>IF(B1002="Inactive", EDATE(D1002,K1002), "")</f>
        <v>45557</v>
      </c>
      <c r="F1002" t="s">
        <v>12</v>
      </c>
      <c r="G1002">
        <v>20</v>
      </c>
      <c r="H1002" t="str" cm="1">
        <f t="array" ref="H1002">_xlfn.IFS(G1002&gt;=20,"20-25", G1002&gt;=15,"15-20", G1002&gt;=10,"10-15", G1002&gt;=5,"5-10", G1002&gt;=1,"1-5", G1002&lt;1,"Less than 1")</f>
        <v>20-25</v>
      </c>
      <c r="I1002">
        <v>4</v>
      </c>
      <c r="J1002">
        <v>3</v>
      </c>
      <c r="K1002" s="6">
        <v>6</v>
      </c>
      <c r="L1002" s="2">
        <v>1.99</v>
      </c>
      <c r="M1002" s="6">
        <v>31</v>
      </c>
      <c r="N1002" t="str" cm="1">
        <f t="array" ref="N1002">_xlfn.IFS(M1002&gt;=50,"50-60 Days", M1002&gt;=40,"40-50 Days", M1002&gt;=30, "30-40 Days", M1002&gt;=20, "20-30 Days", M1002&gt;=10, "10-20 Days", M1002&gt;=0, "0-10 Days")</f>
        <v>30-40 Days</v>
      </c>
    </row>
    <row r="1003" spans="1:14">
      <c r="A1003">
        <v>1002</v>
      </c>
      <c r="B1003" t="s">
        <v>29</v>
      </c>
      <c r="C1003" s="5">
        <v>45211</v>
      </c>
      <c r="D1003" s="8">
        <v>45211</v>
      </c>
      <c r="E1003" s="8" t="str">
        <f>IF(B1003="Inactive", EDATE(D1003,K1003), "")</f>
        <v/>
      </c>
      <c r="F1003" t="s">
        <v>14</v>
      </c>
      <c r="G1003">
        <v>5.4</v>
      </c>
      <c r="H1003" t="str" cm="1">
        <f t="array" ref="H1003">_xlfn.IFS(G1003&gt;=20,"20-25", G1003&gt;=15,"15-20", G1003&gt;=10,"10-15", G1003&gt;=5,"5-10", G1003&gt;=1,"1-5", G1003&lt;1,"Less than 1")</f>
        <v>5-10</v>
      </c>
      <c r="I1003">
        <v>4</v>
      </c>
      <c r="J1003">
        <v>1</v>
      </c>
      <c r="K1003" s="6">
        <v>1</v>
      </c>
      <c r="L1003" s="2">
        <v>3.99</v>
      </c>
      <c r="M1003" s="6">
        <v>1</v>
      </c>
      <c r="N1003" t="str" cm="1">
        <f t="array" ref="N1003">_xlfn.IFS(M1003&gt;=50,"50-60 Days", M1003&gt;=40,"40-50 Days", M1003&gt;=30, "30-40 Days", M1003&gt;=20, "20-30 Days", M1003&gt;=10, "10-20 Days", M1003&gt;=0, "0-10 Days")</f>
        <v>0-10 Days</v>
      </c>
    </row>
    <row r="1004" spans="1:14">
      <c r="A1004">
        <v>1003</v>
      </c>
      <c r="B1004" t="s">
        <v>28</v>
      </c>
      <c r="C1004" s="5">
        <v>44983</v>
      </c>
      <c r="D1004" s="8">
        <v>44983</v>
      </c>
      <c r="E1004" s="8">
        <f>IF(B1004="Inactive", EDATE(D1004,K1004), "")</f>
        <v>45348</v>
      </c>
      <c r="F1004" t="s">
        <v>10</v>
      </c>
      <c r="G1004">
        <v>4.8</v>
      </c>
      <c r="H1004" t="str" cm="1">
        <f t="array" ref="H1004">_xlfn.IFS(G1004&gt;=20,"20-25", G1004&gt;=15,"15-20", G1004&gt;=10,"10-15", G1004&gt;=5,"5-10", G1004&gt;=1,"1-5", G1004&lt;1,"Less than 1")</f>
        <v>1-5</v>
      </c>
      <c r="I1004">
        <v>0</v>
      </c>
      <c r="J1004">
        <v>5</v>
      </c>
      <c r="K1004" s="6">
        <v>12</v>
      </c>
      <c r="L1004" s="2">
        <v>6.99</v>
      </c>
      <c r="M1004" s="6">
        <v>31</v>
      </c>
      <c r="N1004" t="str" cm="1">
        <f t="array" ref="N1004">_xlfn.IFS(M1004&gt;=50,"50-60 Days", M1004&gt;=40,"40-50 Days", M1004&gt;=30, "30-40 Days", M1004&gt;=20, "20-30 Days", M1004&gt;=10, "10-20 Days", M1004&gt;=0, "0-10 Days")</f>
        <v>30-40 Days</v>
      </c>
    </row>
    <row r="1005" spans="1:14">
      <c r="A1005">
        <v>1004</v>
      </c>
      <c r="B1005" t="s">
        <v>28</v>
      </c>
      <c r="C1005" s="5">
        <v>45600</v>
      </c>
      <c r="D1005" s="8">
        <v>45600</v>
      </c>
      <c r="E1005" s="8">
        <f>IF(B1005="Inactive", EDATE(D1005,K1005), "")</f>
        <v>45812</v>
      </c>
      <c r="F1005" t="s">
        <v>12</v>
      </c>
      <c r="G1005">
        <v>15.2</v>
      </c>
      <c r="H1005" t="str" cm="1">
        <f t="array" ref="H1005">_xlfn.IFS(G1005&gt;=20,"20-25", G1005&gt;=15,"15-20", G1005&gt;=10,"10-15", G1005&gt;=5,"5-10", G1005&gt;=1,"1-5", G1005&lt;1,"Less than 1")</f>
        <v>15-20</v>
      </c>
      <c r="I1005">
        <v>1</v>
      </c>
      <c r="J1005">
        <v>3</v>
      </c>
      <c r="K1005" s="6">
        <v>7</v>
      </c>
      <c r="L1005" s="2">
        <v>1.99</v>
      </c>
      <c r="M1005" s="6">
        <v>57</v>
      </c>
      <c r="N1005" t="str" cm="1">
        <f t="array" ref="N1005">_xlfn.IFS(M1005&gt;=50,"50-60 Days", M1005&gt;=40,"40-50 Days", M1005&gt;=30, "30-40 Days", M1005&gt;=20, "20-30 Days", M1005&gt;=10, "10-20 Days", M1005&gt;=0, "0-10 Days")</f>
        <v>50-60 Days</v>
      </c>
    </row>
    <row r="1006" spans="1:14">
      <c r="A1006">
        <v>1005</v>
      </c>
      <c r="B1006" t="s">
        <v>29</v>
      </c>
      <c r="C1006" s="5">
        <v>45439</v>
      </c>
      <c r="D1006" s="8">
        <v>45439</v>
      </c>
      <c r="E1006" s="8" t="str">
        <f>IF(B1006="Inactive", EDATE(D1006,K1006), "")</f>
        <v/>
      </c>
      <c r="F1006" t="s">
        <v>12</v>
      </c>
      <c r="G1006">
        <v>23.6</v>
      </c>
      <c r="H1006" t="str" cm="1">
        <f t="array" ref="H1006">_xlfn.IFS(G1006&gt;=20,"20-25", G1006&gt;=15,"15-20", G1006&gt;=10,"10-15", G1006&gt;=5,"5-10", G1006&gt;=1,"1-5", G1006&lt;1,"Less than 1")</f>
        <v>20-25</v>
      </c>
      <c r="I1006">
        <v>2</v>
      </c>
      <c r="J1006">
        <v>1</v>
      </c>
      <c r="K1006" s="6">
        <v>9</v>
      </c>
      <c r="L1006" s="2">
        <v>1.99</v>
      </c>
      <c r="M1006" s="6">
        <v>7</v>
      </c>
      <c r="N1006" t="str" cm="1">
        <f t="array" ref="N1006">_xlfn.IFS(M1006&gt;=50,"50-60 Days", M1006&gt;=40,"40-50 Days", M1006&gt;=30, "30-40 Days", M1006&gt;=20, "20-30 Days", M1006&gt;=10, "10-20 Days", M1006&gt;=0, "0-10 Days")</f>
        <v>0-10 Days</v>
      </c>
    </row>
    <row r="1007" spans="1:14">
      <c r="A1007">
        <v>1006</v>
      </c>
      <c r="B1007" t="s">
        <v>29</v>
      </c>
      <c r="C1007" s="5">
        <v>45170</v>
      </c>
      <c r="D1007" s="8">
        <v>45170</v>
      </c>
      <c r="E1007" s="8" t="str">
        <f>IF(B1007="Inactive", EDATE(D1007,K1007), "")</f>
        <v/>
      </c>
      <c r="F1007" t="s">
        <v>12</v>
      </c>
      <c r="G1007">
        <v>16.8</v>
      </c>
      <c r="H1007" t="str" cm="1">
        <f t="array" ref="H1007">_xlfn.IFS(G1007&gt;=20,"20-25", G1007&gt;=15,"15-20", G1007&gt;=10,"10-15", G1007&gt;=5,"5-10", G1007&gt;=1,"1-5", G1007&lt;1,"Less than 1")</f>
        <v>15-20</v>
      </c>
      <c r="I1007">
        <v>8</v>
      </c>
      <c r="J1007">
        <v>2</v>
      </c>
      <c r="K1007" s="6">
        <v>12</v>
      </c>
      <c r="L1007" s="2">
        <v>1.99</v>
      </c>
      <c r="M1007" s="6">
        <v>31</v>
      </c>
      <c r="N1007" t="str" cm="1">
        <f t="array" ref="N1007">_xlfn.IFS(M1007&gt;=50,"50-60 Days", M1007&gt;=40,"40-50 Days", M1007&gt;=30, "30-40 Days", M1007&gt;=20, "20-30 Days", M1007&gt;=10, "10-20 Days", M1007&gt;=0, "0-10 Days")</f>
        <v>30-40 Days</v>
      </c>
    </row>
    <row r="1008" spans="1:14">
      <c r="A1008">
        <v>1007</v>
      </c>
      <c r="B1008" t="s">
        <v>28</v>
      </c>
      <c r="C1008" s="5">
        <v>45326</v>
      </c>
      <c r="D1008" s="8">
        <v>45326</v>
      </c>
      <c r="E1008" s="8">
        <f>IF(B1008="Inactive", EDATE(D1008,K1008), "")</f>
        <v>45416</v>
      </c>
      <c r="F1008" t="s">
        <v>10</v>
      </c>
      <c r="G1008">
        <v>19.399999999999999</v>
      </c>
      <c r="H1008" t="str" cm="1">
        <f t="array" ref="H1008">_xlfn.IFS(G1008&gt;=20,"20-25", G1008&gt;=15,"15-20", G1008&gt;=10,"10-15", G1008&gt;=5,"5-10", G1008&gt;=1,"1-5", G1008&lt;1,"Less than 1")</f>
        <v>15-20</v>
      </c>
      <c r="I1008">
        <v>5</v>
      </c>
      <c r="J1008">
        <v>2</v>
      </c>
      <c r="K1008" s="6">
        <v>3</v>
      </c>
      <c r="L1008" s="2">
        <v>6.99</v>
      </c>
      <c r="M1008" s="6">
        <v>53</v>
      </c>
      <c r="N1008" t="str" cm="1">
        <f t="array" ref="N1008">_xlfn.IFS(M1008&gt;=50,"50-60 Days", M1008&gt;=40,"40-50 Days", M1008&gt;=30, "30-40 Days", M1008&gt;=20, "20-30 Days", M1008&gt;=10, "10-20 Days", M1008&gt;=0, "0-10 Days")</f>
        <v>50-60 Days</v>
      </c>
    </row>
    <row r="1009" spans="1:14">
      <c r="A1009">
        <v>1008</v>
      </c>
      <c r="B1009" t="s">
        <v>29</v>
      </c>
      <c r="C1009" s="5">
        <v>45208</v>
      </c>
      <c r="D1009" s="8">
        <v>45208</v>
      </c>
      <c r="E1009" s="8" t="str">
        <f>IF(B1009="Inactive", EDATE(D1009,K1009), "")</f>
        <v/>
      </c>
      <c r="F1009" t="s">
        <v>10</v>
      </c>
      <c r="G1009">
        <v>23.4</v>
      </c>
      <c r="H1009" t="str" cm="1">
        <f t="array" ref="H1009">_xlfn.IFS(G1009&gt;=20,"20-25", G1009&gt;=15,"15-20", G1009&gt;=10,"10-15", G1009&gt;=5,"5-10", G1009&gt;=1,"1-5", G1009&lt;1,"Less than 1")</f>
        <v>20-25</v>
      </c>
      <c r="I1009">
        <v>3</v>
      </c>
      <c r="J1009">
        <v>1</v>
      </c>
      <c r="K1009" s="6">
        <v>6</v>
      </c>
      <c r="L1009" s="2">
        <v>6.99</v>
      </c>
      <c r="M1009" s="6">
        <v>6</v>
      </c>
      <c r="N1009" t="str" cm="1">
        <f t="array" ref="N1009">_xlfn.IFS(M1009&gt;=50,"50-60 Days", M1009&gt;=40,"40-50 Days", M1009&gt;=30, "30-40 Days", M1009&gt;=20, "20-30 Days", M1009&gt;=10, "10-20 Days", M1009&gt;=0, "0-10 Days")</f>
        <v>0-10 Days</v>
      </c>
    </row>
    <row r="1010" spans="1:14">
      <c r="A1010">
        <v>1009</v>
      </c>
      <c r="B1010" t="s">
        <v>28</v>
      </c>
      <c r="C1010" s="5">
        <v>45042</v>
      </c>
      <c r="D1010" s="8">
        <v>45042</v>
      </c>
      <c r="E1010" s="8">
        <f>IF(B1010="Inactive", EDATE(D1010,K1010), "")</f>
        <v>45317</v>
      </c>
      <c r="F1010" t="s">
        <v>14</v>
      </c>
      <c r="G1010">
        <v>6.7</v>
      </c>
      <c r="H1010" t="str" cm="1">
        <f t="array" ref="H1010">_xlfn.IFS(G1010&gt;=20,"20-25", G1010&gt;=15,"15-20", G1010&gt;=10,"10-15", G1010&gt;=5,"5-10", G1010&gt;=1,"1-5", G1010&lt;1,"Less than 1")</f>
        <v>5-10</v>
      </c>
      <c r="I1010">
        <v>0</v>
      </c>
      <c r="J1010">
        <v>3</v>
      </c>
      <c r="K1010" s="6">
        <v>9</v>
      </c>
      <c r="L1010" s="2">
        <v>3.99</v>
      </c>
      <c r="M1010" s="6">
        <v>34</v>
      </c>
      <c r="N1010" t="str" cm="1">
        <f t="array" ref="N1010">_xlfn.IFS(M1010&gt;=50,"50-60 Days", M1010&gt;=40,"40-50 Days", M1010&gt;=30, "30-40 Days", M1010&gt;=20, "20-30 Days", M1010&gt;=10, "10-20 Days", M1010&gt;=0, "0-10 Days")</f>
        <v>30-40 Days</v>
      </c>
    </row>
    <row r="1011" spans="1:14">
      <c r="A1011">
        <v>1010</v>
      </c>
      <c r="B1011" t="s">
        <v>29</v>
      </c>
      <c r="C1011" s="5">
        <v>45075</v>
      </c>
      <c r="D1011" s="8">
        <v>45075</v>
      </c>
      <c r="E1011" s="8" t="str">
        <f>IF(B1011="Inactive", EDATE(D1011,K1011), "")</f>
        <v/>
      </c>
      <c r="F1011" t="s">
        <v>14</v>
      </c>
      <c r="G1011">
        <v>10.9</v>
      </c>
      <c r="H1011" t="str" cm="1">
        <f t="array" ref="H1011">_xlfn.IFS(G1011&gt;=20,"20-25", G1011&gt;=15,"15-20", G1011&gt;=10,"10-15", G1011&gt;=5,"5-10", G1011&gt;=1,"1-5", G1011&lt;1,"Less than 1")</f>
        <v>10-15</v>
      </c>
      <c r="I1011">
        <v>3</v>
      </c>
      <c r="J1011">
        <v>2</v>
      </c>
      <c r="K1011" s="6">
        <v>12</v>
      </c>
      <c r="L1011" s="2">
        <v>3.99</v>
      </c>
      <c r="M1011" s="6">
        <v>56</v>
      </c>
      <c r="N1011" t="str" cm="1">
        <f t="array" ref="N1011">_xlfn.IFS(M1011&gt;=50,"50-60 Days", M1011&gt;=40,"40-50 Days", M1011&gt;=30, "30-40 Days", M1011&gt;=20, "20-30 Days", M1011&gt;=10, "10-20 Days", M1011&gt;=0, "0-10 Days")</f>
        <v>50-60 Days</v>
      </c>
    </row>
    <row r="1012" spans="1:14">
      <c r="A1012">
        <v>1011</v>
      </c>
      <c r="B1012" t="s">
        <v>29</v>
      </c>
      <c r="C1012" s="5">
        <v>45547</v>
      </c>
      <c r="D1012" s="8">
        <v>45547</v>
      </c>
      <c r="E1012" s="8" t="str">
        <f>IF(B1012="Inactive", EDATE(D1012,K1012), "")</f>
        <v/>
      </c>
      <c r="F1012" t="s">
        <v>14</v>
      </c>
      <c r="G1012">
        <v>18</v>
      </c>
      <c r="H1012" t="str" cm="1">
        <f t="array" ref="H1012">_xlfn.IFS(G1012&gt;=20,"20-25", G1012&gt;=15,"15-20", G1012&gt;=10,"10-15", G1012&gt;=5,"5-10", G1012&gt;=1,"1-5", G1012&lt;1,"Less than 1")</f>
        <v>15-20</v>
      </c>
      <c r="I1012">
        <v>4</v>
      </c>
      <c r="J1012">
        <v>0</v>
      </c>
      <c r="K1012" s="6">
        <v>11</v>
      </c>
      <c r="L1012" s="2">
        <v>3.99</v>
      </c>
      <c r="M1012" s="6">
        <v>41</v>
      </c>
      <c r="N1012" t="str" cm="1">
        <f t="array" ref="N1012">_xlfn.IFS(M1012&gt;=50,"50-60 Days", M1012&gt;=40,"40-50 Days", M1012&gt;=30, "30-40 Days", M1012&gt;=20, "20-30 Days", M1012&gt;=10, "10-20 Days", M1012&gt;=0, "0-10 Days")</f>
        <v>40-50 Days</v>
      </c>
    </row>
    <row r="1013" spans="1:14">
      <c r="A1013">
        <v>1012</v>
      </c>
      <c r="B1013" t="s">
        <v>28</v>
      </c>
      <c r="C1013" s="5">
        <v>45581</v>
      </c>
      <c r="D1013" s="8">
        <v>45581</v>
      </c>
      <c r="E1013" s="8">
        <f>IF(B1013="Inactive", EDATE(D1013,K1013), "")</f>
        <v>45642</v>
      </c>
      <c r="F1013" t="s">
        <v>12</v>
      </c>
      <c r="G1013">
        <v>17.399999999999999</v>
      </c>
      <c r="H1013" t="str" cm="1">
        <f t="array" ref="H1013">_xlfn.IFS(G1013&gt;=20,"20-25", G1013&gt;=15,"15-20", G1013&gt;=10,"10-15", G1013&gt;=5,"5-10", G1013&gt;=1,"1-5", G1013&lt;1,"Less than 1")</f>
        <v>15-20</v>
      </c>
      <c r="I1013">
        <v>3</v>
      </c>
      <c r="J1013">
        <v>2</v>
      </c>
      <c r="K1013" s="6">
        <v>2</v>
      </c>
      <c r="L1013" s="2">
        <v>1.99</v>
      </c>
      <c r="M1013" s="6">
        <v>35</v>
      </c>
      <c r="N1013" t="str" cm="1">
        <f t="array" ref="N1013">_xlfn.IFS(M1013&gt;=50,"50-60 Days", M1013&gt;=40,"40-50 Days", M1013&gt;=30, "30-40 Days", M1013&gt;=20, "20-30 Days", M1013&gt;=10, "10-20 Days", M1013&gt;=0, "0-10 Days")</f>
        <v>30-40 Days</v>
      </c>
    </row>
    <row r="1014" spans="1:14">
      <c r="A1014">
        <v>1013</v>
      </c>
      <c r="B1014" t="s">
        <v>28</v>
      </c>
      <c r="C1014" s="5">
        <v>45380</v>
      </c>
      <c r="D1014" s="8">
        <v>45380</v>
      </c>
      <c r="E1014" s="8">
        <f>IF(B1014="Inactive", EDATE(D1014,K1014), "")</f>
        <v>45625</v>
      </c>
      <c r="F1014" t="s">
        <v>10</v>
      </c>
      <c r="G1014">
        <v>22.6</v>
      </c>
      <c r="H1014" t="str" cm="1">
        <f t="array" ref="H1014">_xlfn.IFS(G1014&gt;=20,"20-25", G1014&gt;=15,"15-20", G1014&gt;=10,"10-15", G1014&gt;=5,"5-10", G1014&gt;=1,"1-5", G1014&lt;1,"Less than 1")</f>
        <v>20-25</v>
      </c>
      <c r="I1014">
        <v>1</v>
      </c>
      <c r="J1014">
        <v>4</v>
      </c>
      <c r="K1014" s="6">
        <v>8</v>
      </c>
      <c r="L1014" s="2">
        <v>6.99</v>
      </c>
      <c r="M1014" s="6">
        <v>55</v>
      </c>
      <c r="N1014" t="str" cm="1">
        <f t="array" ref="N1014">_xlfn.IFS(M1014&gt;=50,"50-60 Days", M1014&gt;=40,"40-50 Days", M1014&gt;=30, "30-40 Days", M1014&gt;=20, "20-30 Days", M1014&gt;=10, "10-20 Days", M1014&gt;=0, "0-10 Days")</f>
        <v>50-60 Days</v>
      </c>
    </row>
    <row r="1015" spans="1:14">
      <c r="A1015">
        <v>1014</v>
      </c>
      <c r="B1015" t="s">
        <v>28</v>
      </c>
      <c r="C1015" s="5">
        <v>45168</v>
      </c>
      <c r="D1015" s="8">
        <v>45168</v>
      </c>
      <c r="E1015" s="8">
        <f>IF(B1015="Inactive", EDATE(D1015,K1015), "")</f>
        <v>45199</v>
      </c>
      <c r="F1015" t="s">
        <v>14</v>
      </c>
      <c r="G1015">
        <v>22.8</v>
      </c>
      <c r="H1015" t="str" cm="1">
        <f t="array" ref="H1015">_xlfn.IFS(G1015&gt;=20,"20-25", G1015&gt;=15,"15-20", G1015&gt;=10,"10-15", G1015&gt;=5,"5-10", G1015&gt;=1,"1-5", G1015&lt;1,"Less than 1")</f>
        <v>20-25</v>
      </c>
      <c r="I1015">
        <v>6</v>
      </c>
      <c r="J1015">
        <v>2</v>
      </c>
      <c r="K1015" s="6">
        <v>1</v>
      </c>
      <c r="L1015" s="2">
        <v>3.99</v>
      </c>
      <c r="M1015" s="6">
        <v>19</v>
      </c>
      <c r="N1015" t="str" cm="1">
        <f t="array" ref="N1015">_xlfn.IFS(M1015&gt;=50,"50-60 Days", M1015&gt;=40,"40-50 Days", M1015&gt;=30, "30-40 Days", M1015&gt;=20, "20-30 Days", M1015&gt;=10, "10-20 Days", M1015&gt;=0, "0-10 Days")</f>
        <v>10-20 Days</v>
      </c>
    </row>
    <row r="1016" spans="1:14">
      <c r="A1016">
        <v>1015</v>
      </c>
      <c r="B1016" t="s">
        <v>28</v>
      </c>
      <c r="C1016" s="5">
        <v>45586</v>
      </c>
      <c r="D1016" s="8">
        <v>45586</v>
      </c>
      <c r="E1016" s="8">
        <f>IF(B1016="Inactive", EDATE(D1016,K1016), "")</f>
        <v>45737</v>
      </c>
      <c r="F1016" t="s">
        <v>14</v>
      </c>
      <c r="G1016">
        <v>21.6</v>
      </c>
      <c r="H1016" t="str" cm="1">
        <f t="array" ref="H1016">_xlfn.IFS(G1016&gt;=20,"20-25", G1016&gt;=15,"15-20", G1016&gt;=10,"10-15", G1016&gt;=5,"5-10", G1016&gt;=1,"1-5", G1016&lt;1,"Less than 1")</f>
        <v>20-25</v>
      </c>
      <c r="I1016">
        <v>2</v>
      </c>
      <c r="J1016">
        <v>3</v>
      </c>
      <c r="K1016" s="6">
        <v>5</v>
      </c>
      <c r="L1016" s="2">
        <v>3.99</v>
      </c>
      <c r="M1016" s="6">
        <v>40</v>
      </c>
      <c r="N1016" t="str" cm="1">
        <f t="array" ref="N1016">_xlfn.IFS(M1016&gt;=50,"50-60 Days", M1016&gt;=40,"40-50 Days", M1016&gt;=30, "30-40 Days", M1016&gt;=20, "20-30 Days", M1016&gt;=10, "10-20 Days", M1016&gt;=0, "0-10 Days")</f>
        <v>40-50 Days</v>
      </c>
    </row>
    <row r="1017" spans="1:14">
      <c r="A1017">
        <v>1016</v>
      </c>
      <c r="B1017" t="s">
        <v>29</v>
      </c>
      <c r="C1017" s="5">
        <v>45267</v>
      </c>
      <c r="D1017" s="8">
        <v>45267</v>
      </c>
      <c r="E1017" s="8" t="str">
        <f>IF(B1017="Inactive", EDATE(D1017,K1017), "")</f>
        <v/>
      </c>
      <c r="F1017" t="s">
        <v>14</v>
      </c>
      <c r="G1017">
        <v>7.2</v>
      </c>
      <c r="H1017" t="str" cm="1">
        <f t="array" ref="H1017">_xlfn.IFS(G1017&gt;=20,"20-25", G1017&gt;=15,"15-20", G1017&gt;=10,"10-15", G1017&gt;=5,"5-10", G1017&gt;=1,"1-5", G1017&lt;1,"Less than 1")</f>
        <v>5-10</v>
      </c>
      <c r="I1017">
        <v>1</v>
      </c>
      <c r="J1017">
        <v>3</v>
      </c>
      <c r="K1017" s="6">
        <v>1</v>
      </c>
      <c r="L1017" s="2">
        <v>3.99</v>
      </c>
      <c r="M1017" s="6">
        <v>30</v>
      </c>
      <c r="N1017" t="str" cm="1">
        <f t="array" ref="N1017">_xlfn.IFS(M1017&gt;=50,"50-60 Days", M1017&gt;=40,"40-50 Days", M1017&gt;=30, "30-40 Days", M1017&gt;=20, "20-30 Days", M1017&gt;=10, "10-20 Days", M1017&gt;=0, "0-10 Days")</f>
        <v>30-40 Days</v>
      </c>
    </row>
    <row r="1018" spans="1:14">
      <c r="A1018">
        <v>1017</v>
      </c>
      <c r="B1018" t="s">
        <v>28</v>
      </c>
      <c r="C1018" s="5">
        <v>44994</v>
      </c>
      <c r="D1018" s="8">
        <v>44994</v>
      </c>
      <c r="E1018" s="8">
        <f>IF(B1018="Inactive", EDATE(D1018,K1018), "")</f>
        <v>45300</v>
      </c>
      <c r="F1018" t="s">
        <v>10</v>
      </c>
      <c r="G1018">
        <v>22</v>
      </c>
      <c r="H1018" t="str" cm="1">
        <f t="array" ref="H1018">_xlfn.IFS(G1018&gt;=20,"20-25", G1018&gt;=15,"15-20", G1018&gt;=10,"10-15", G1018&gt;=5,"5-10", G1018&gt;=1,"1-5", G1018&lt;1,"Less than 1")</f>
        <v>20-25</v>
      </c>
      <c r="I1018">
        <v>1</v>
      </c>
      <c r="J1018">
        <v>1</v>
      </c>
      <c r="K1018" s="6">
        <v>10</v>
      </c>
      <c r="L1018" s="2">
        <v>6.99</v>
      </c>
      <c r="M1018" s="6">
        <v>44</v>
      </c>
      <c r="N1018" t="str" cm="1">
        <f t="array" ref="N1018">_xlfn.IFS(M1018&gt;=50,"50-60 Days", M1018&gt;=40,"40-50 Days", M1018&gt;=30, "30-40 Days", M1018&gt;=20, "20-30 Days", M1018&gt;=10, "10-20 Days", M1018&gt;=0, "0-10 Days")</f>
        <v>40-50 Days</v>
      </c>
    </row>
    <row r="1019" spans="1:14">
      <c r="A1019">
        <v>1018</v>
      </c>
      <c r="B1019" t="s">
        <v>28</v>
      </c>
      <c r="C1019" s="5">
        <v>44955</v>
      </c>
      <c r="D1019" s="8">
        <v>44955</v>
      </c>
      <c r="E1019" s="8">
        <f>IF(B1019="Inactive", EDATE(D1019,K1019), "")</f>
        <v>45228</v>
      </c>
      <c r="F1019" t="s">
        <v>14</v>
      </c>
      <c r="G1019">
        <v>15.3</v>
      </c>
      <c r="H1019" t="str" cm="1">
        <f t="array" ref="H1019">_xlfn.IFS(G1019&gt;=20,"20-25", G1019&gt;=15,"15-20", G1019&gt;=10,"10-15", G1019&gt;=5,"5-10", G1019&gt;=1,"1-5", G1019&lt;1,"Less than 1")</f>
        <v>15-20</v>
      </c>
      <c r="I1019">
        <v>8</v>
      </c>
      <c r="J1019">
        <v>5</v>
      </c>
      <c r="K1019" s="6">
        <v>9</v>
      </c>
      <c r="L1019" s="2">
        <v>3.99</v>
      </c>
      <c r="M1019" s="6">
        <v>20</v>
      </c>
      <c r="N1019" t="str" cm="1">
        <f t="array" ref="N1019">_xlfn.IFS(M1019&gt;=50,"50-60 Days", M1019&gt;=40,"40-50 Days", M1019&gt;=30, "30-40 Days", M1019&gt;=20, "20-30 Days", M1019&gt;=10, "10-20 Days", M1019&gt;=0, "0-10 Days")</f>
        <v>20-30 Days</v>
      </c>
    </row>
    <row r="1020" spans="1:14">
      <c r="A1020">
        <v>1019</v>
      </c>
      <c r="B1020" t="s">
        <v>28</v>
      </c>
      <c r="C1020" s="5">
        <v>45239</v>
      </c>
      <c r="D1020" s="8">
        <v>45239</v>
      </c>
      <c r="E1020" s="8">
        <f>IF(B1020="Inactive", EDATE(D1020,K1020), "")</f>
        <v>45360</v>
      </c>
      <c r="F1020" t="s">
        <v>12</v>
      </c>
      <c r="G1020">
        <v>15.9</v>
      </c>
      <c r="H1020" t="str" cm="1">
        <f t="array" ref="H1020">_xlfn.IFS(G1020&gt;=20,"20-25", G1020&gt;=15,"15-20", G1020&gt;=10,"10-15", G1020&gt;=5,"5-10", G1020&gt;=1,"1-5", G1020&lt;1,"Less than 1")</f>
        <v>15-20</v>
      </c>
      <c r="I1020">
        <v>2</v>
      </c>
      <c r="J1020">
        <v>0</v>
      </c>
      <c r="K1020" s="6">
        <v>4</v>
      </c>
      <c r="L1020" s="2">
        <v>1.99</v>
      </c>
      <c r="M1020" s="6">
        <v>25</v>
      </c>
      <c r="N1020" t="str" cm="1">
        <f t="array" ref="N1020">_xlfn.IFS(M1020&gt;=50,"50-60 Days", M1020&gt;=40,"40-50 Days", M1020&gt;=30, "30-40 Days", M1020&gt;=20, "20-30 Days", M1020&gt;=10, "10-20 Days", M1020&gt;=0, "0-10 Days")</f>
        <v>20-30 Days</v>
      </c>
    </row>
    <row r="1021" spans="1:14">
      <c r="A1021">
        <v>1020</v>
      </c>
      <c r="B1021" t="s">
        <v>29</v>
      </c>
      <c r="C1021" s="5">
        <v>45591</v>
      </c>
      <c r="D1021" s="8">
        <v>45591</v>
      </c>
      <c r="E1021" s="8" t="str">
        <f>IF(B1021="Inactive", EDATE(D1021,K1021), "")</f>
        <v/>
      </c>
      <c r="F1021" t="s">
        <v>14</v>
      </c>
      <c r="G1021">
        <v>3.2</v>
      </c>
      <c r="H1021" t="str" cm="1">
        <f t="array" ref="H1021">_xlfn.IFS(G1021&gt;=20,"20-25", G1021&gt;=15,"15-20", G1021&gt;=10,"10-15", G1021&gt;=5,"5-10", G1021&gt;=1,"1-5", G1021&lt;1,"Less than 1")</f>
        <v>1-5</v>
      </c>
      <c r="I1021">
        <v>3</v>
      </c>
      <c r="J1021">
        <v>4</v>
      </c>
      <c r="K1021" s="6">
        <v>2</v>
      </c>
      <c r="L1021" s="2">
        <v>3.99</v>
      </c>
      <c r="M1021" s="6">
        <v>45</v>
      </c>
      <c r="N1021" t="str" cm="1">
        <f t="array" ref="N1021">_xlfn.IFS(M1021&gt;=50,"50-60 Days", M1021&gt;=40,"40-50 Days", M1021&gt;=30, "30-40 Days", M1021&gt;=20, "20-30 Days", M1021&gt;=10, "10-20 Days", M1021&gt;=0, "0-10 Days")</f>
        <v>40-50 Days</v>
      </c>
    </row>
    <row r="1022" spans="1:14">
      <c r="A1022">
        <v>1021</v>
      </c>
      <c r="B1022" t="s">
        <v>29</v>
      </c>
      <c r="C1022" s="5">
        <v>45063</v>
      </c>
      <c r="D1022" s="8">
        <v>45063</v>
      </c>
      <c r="E1022" s="8" t="str">
        <f>IF(B1022="Inactive", EDATE(D1022,K1022), "")</f>
        <v/>
      </c>
      <c r="F1022" t="s">
        <v>12</v>
      </c>
      <c r="G1022">
        <v>19.899999999999999</v>
      </c>
      <c r="H1022" t="str" cm="1">
        <f t="array" ref="H1022">_xlfn.IFS(G1022&gt;=20,"20-25", G1022&gt;=15,"15-20", G1022&gt;=10,"10-15", G1022&gt;=5,"5-10", G1022&gt;=1,"1-5", G1022&lt;1,"Less than 1")</f>
        <v>15-20</v>
      </c>
      <c r="I1022">
        <v>5</v>
      </c>
      <c r="J1022">
        <v>3</v>
      </c>
      <c r="K1022" s="6">
        <v>9</v>
      </c>
      <c r="L1022" s="2">
        <v>1.99</v>
      </c>
      <c r="M1022" s="6">
        <v>30</v>
      </c>
      <c r="N1022" t="str" cm="1">
        <f t="array" ref="N1022">_xlfn.IFS(M1022&gt;=50,"50-60 Days", M1022&gt;=40,"40-50 Days", M1022&gt;=30, "30-40 Days", M1022&gt;=20, "20-30 Days", M1022&gt;=10, "10-20 Days", M1022&gt;=0, "0-10 Days")</f>
        <v>30-40 Days</v>
      </c>
    </row>
    <row r="1023" spans="1:14">
      <c r="A1023">
        <v>1022</v>
      </c>
      <c r="B1023" t="s">
        <v>28</v>
      </c>
      <c r="C1023" s="5">
        <v>45303</v>
      </c>
      <c r="D1023" s="8">
        <v>45303</v>
      </c>
      <c r="E1023" s="8">
        <f>IF(B1023="Inactive", EDATE(D1023,K1023), "")</f>
        <v>45424</v>
      </c>
      <c r="F1023" t="s">
        <v>14</v>
      </c>
      <c r="G1023">
        <v>17.3</v>
      </c>
      <c r="H1023" t="str" cm="1">
        <f t="array" ref="H1023">_xlfn.IFS(G1023&gt;=20,"20-25", G1023&gt;=15,"15-20", G1023&gt;=10,"10-15", G1023&gt;=5,"5-10", G1023&gt;=1,"1-5", G1023&lt;1,"Less than 1")</f>
        <v>15-20</v>
      </c>
      <c r="I1023">
        <v>5</v>
      </c>
      <c r="J1023">
        <v>2</v>
      </c>
      <c r="K1023" s="6">
        <v>4</v>
      </c>
      <c r="L1023" s="2">
        <v>3.99</v>
      </c>
      <c r="M1023" s="6">
        <v>12</v>
      </c>
      <c r="N1023" t="str" cm="1">
        <f t="array" ref="N1023">_xlfn.IFS(M1023&gt;=50,"50-60 Days", M1023&gt;=40,"40-50 Days", M1023&gt;=30, "30-40 Days", M1023&gt;=20, "20-30 Days", M1023&gt;=10, "10-20 Days", M1023&gt;=0, "0-10 Days")</f>
        <v>10-20 Days</v>
      </c>
    </row>
    <row r="1024" spans="1:14">
      <c r="A1024">
        <v>1023</v>
      </c>
      <c r="B1024" t="s">
        <v>28</v>
      </c>
      <c r="C1024" s="5">
        <v>45498</v>
      </c>
      <c r="D1024" s="8">
        <v>45498</v>
      </c>
      <c r="E1024" s="8">
        <f>IF(B1024="Inactive", EDATE(D1024,K1024), "")</f>
        <v>45772</v>
      </c>
      <c r="F1024" t="s">
        <v>12</v>
      </c>
      <c r="G1024">
        <v>22</v>
      </c>
      <c r="H1024" t="str" cm="1">
        <f t="array" ref="H1024">_xlfn.IFS(G1024&gt;=20,"20-25", G1024&gt;=15,"15-20", G1024&gt;=10,"10-15", G1024&gt;=5,"5-10", G1024&gt;=1,"1-5", G1024&lt;1,"Less than 1")</f>
        <v>20-25</v>
      </c>
      <c r="I1024">
        <v>3</v>
      </c>
      <c r="J1024">
        <v>0</v>
      </c>
      <c r="K1024" s="6">
        <v>9</v>
      </c>
      <c r="L1024" s="2">
        <v>1.99</v>
      </c>
      <c r="M1024" s="6">
        <v>60</v>
      </c>
      <c r="N1024" t="str" cm="1">
        <f t="array" ref="N1024">_xlfn.IFS(M1024&gt;=50,"50-60 Days", M1024&gt;=40,"40-50 Days", M1024&gt;=30, "30-40 Days", M1024&gt;=20, "20-30 Days", M1024&gt;=10, "10-20 Days", M1024&gt;=0, "0-10 Days")</f>
        <v>50-60 Days</v>
      </c>
    </row>
    <row r="1025" spans="1:14">
      <c r="A1025">
        <v>1024</v>
      </c>
      <c r="B1025" t="s">
        <v>29</v>
      </c>
      <c r="C1025" s="5">
        <v>45099</v>
      </c>
      <c r="D1025" s="8">
        <v>45099</v>
      </c>
      <c r="E1025" s="8" t="str">
        <f>IF(B1025="Inactive", EDATE(D1025,K1025), "")</f>
        <v/>
      </c>
      <c r="F1025" t="s">
        <v>10</v>
      </c>
      <c r="G1025">
        <v>22.7</v>
      </c>
      <c r="H1025" t="str" cm="1">
        <f t="array" ref="H1025">_xlfn.IFS(G1025&gt;=20,"20-25", G1025&gt;=15,"15-20", G1025&gt;=10,"10-15", G1025&gt;=5,"5-10", G1025&gt;=1,"1-5", G1025&lt;1,"Less than 1")</f>
        <v>20-25</v>
      </c>
      <c r="I1025">
        <v>7</v>
      </c>
      <c r="J1025">
        <v>1</v>
      </c>
      <c r="K1025" s="6">
        <v>5</v>
      </c>
      <c r="L1025" s="2">
        <v>6.99</v>
      </c>
      <c r="M1025" s="6">
        <v>16</v>
      </c>
      <c r="N1025" t="str" cm="1">
        <f t="array" ref="N1025">_xlfn.IFS(M1025&gt;=50,"50-60 Days", M1025&gt;=40,"40-50 Days", M1025&gt;=30, "30-40 Days", M1025&gt;=20, "20-30 Days", M1025&gt;=10, "10-20 Days", M1025&gt;=0, "0-10 Days")</f>
        <v>10-20 Days</v>
      </c>
    </row>
    <row r="1026" spans="1:14">
      <c r="A1026">
        <v>1025</v>
      </c>
      <c r="B1026" t="s">
        <v>29</v>
      </c>
      <c r="C1026" s="5">
        <v>45101</v>
      </c>
      <c r="D1026" s="8">
        <v>45101</v>
      </c>
      <c r="E1026" s="8" t="str">
        <f>IF(B1026="Inactive", EDATE(D1026,K1026), "")</f>
        <v/>
      </c>
      <c r="F1026" t="s">
        <v>12</v>
      </c>
      <c r="G1026">
        <v>15.6</v>
      </c>
      <c r="H1026" t="str" cm="1">
        <f t="array" ref="H1026">_xlfn.IFS(G1026&gt;=20,"20-25", G1026&gt;=15,"15-20", G1026&gt;=10,"10-15", G1026&gt;=5,"5-10", G1026&gt;=1,"1-5", G1026&lt;1,"Less than 1")</f>
        <v>15-20</v>
      </c>
      <c r="I1026">
        <v>4</v>
      </c>
      <c r="J1026">
        <v>1</v>
      </c>
      <c r="K1026" s="6">
        <v>9</v>
      </c>
      <c r="L1026" s="2">
        <v>1.99</v>
      </c>
      <c r="M1026" s="6">
        <v>5</v>
      </c>
      <c r="N1026" t="str" cm="1">
        <f t="array" ref="N1026">_xlfn.IFS(M1026&gt;=50,"50-60 Days", M1026&gt;=40,"40-50 Days", M1026&gt;=30, "30-40 Days", M1026&gt;=20, "20-30 Days", M1026&gt;=10, "10-20 Days", M1026&gt;=0, "0-10 Days")</f>
        <v>0-10 Days</v>
      </c>
    </row>
    <row r="1027" spans="1:14">
      <c r="A1027">
        <v>1026</v>
      </c>
      <c r="B1027" t="s">
        <v>28</v>
      </c>
      <c r="C1027" s="5">
        <v>45391</v>
      </c>
      <c r="D1027" s="8">
        <v>45391</v>
      </c>
      <c r="E1027" s="8">
        <f>IF(B1027="Inactive", EDATE(D1027,K1027), "")</f>
        <v>45482</v>
      </c>
      <c r="F1027" t="s">
        <v>10</v>
      </c>
      <c r="G1027">
        <v>0.8</v>
      </c>
      <c r="H1027" t="str" cm="1">
        <f t="array" ref="H1027">_xlfn.IFS(G1027&gt;=20,"20-25", G1027&gt;=15,"15-20", G1027&gt;=10,"10-15", G1027&gt;=5,"5-10", G1027&gt;=1,"1-5", G1027&lt;1,"Less than 1")</f>
        <v>Less than 1</v>
      </c>
      <c r="I1027">
        <v>8</v>
      </c>
      <c r="J1027">
        <v>3</v>
      </c>
      <c r="K1027" s="6">
        <v>3</v>
      </c>
      <c r="L1027" s="2">
        <v>6.99</v>
      </c>
      <c r="M1027" s="6">
        <v>49</v>
      </c>
      <c r="N1027" t="str" cm="1">
        <f t="array" ref="N1027">_xlfn.IFS(M1027&gt;=50,"50-60 Days", M1027&gt;=40,"40-50 Days", M1027&gt;=30, "30-40 Days", M1027&gt;=20, "20-30 Days", M1027&gt;=10, "10-20 Days", M1027&gt;=0, "0-10 Days")</f>
        <v>40-50 Days</v>
      </c>
    </row>
    <row r="1028" spans="1:14">
      <c r="A1028">
        <v>1027</v>
      </c>
      <c r="B1028" t="s">
        <v>29</v>
      </c>
      <c r="C1028" s="5">
        <v>45199</v>
      </c>
      <c r="D1028" s="8">
        <v>45199</v>
      </c>
      <c r="E1028" s="8" t="str">
        <f>IF(B1028="Inactive", EDATE(D1028,K1028), "")</f>
        <v/>
      </c>
      <c r="F1028" t="s">
        <v>10</v>
      </c>
      <c r="G1028">
        <v>3.4</v>
      </c>
      <c r="H1028" t="str" cm="1">
        <f t="array" ref="H1028">_xlfn.IFS(G1028&gt;=20,"20-25", G1028&gt;=15,"15-20", G1028&gt;=10,"10-15", G1028&gt;=5,"5-10", G1028&gt;=1,"1-5", G1028&lt;1,"Less than 1")</f>
        <v>1-5</v>
      </c>
      <c r="I1028">
        <v>3</v>
      </c>
      <c r="J1028">
        <v>1</v>
      </c>
      <c r="K1028" s="6">
        <v>11</v>
      </c>
      <c r="L1028" s="2">
        <v>6.99</v>
      </c>
      <c r="M1028" s="6">
        <v>60</v>
      </c>
      <c r="N1028" t="str" cm="1">
        <f t="array" ref="N1028">_xlfn.IFS(M1028&gt;=50,"50-60 Days", M1028&gt;=40,"40-50 Days", M1028&gt;=30, "30-40 Days", M1028&gt;=20, "20-30 Days", M1028&gt;=10, "10-20 Days", M1028&gt;=0, "0-10 Days")</f>
        <v>50-60 Days</v>
      </c>
    </row>
    <row r="1029" spans="1:14">
      <c r="A1029">
        <v>1028</v>
      </c>
      <c r="B1029" t="s">
        <v>28</v>
      </c>
      <c r="C1029" s="5">
        <v>45216</v>
      </c>
      <c r="D1029" s="8">
        <v>45216</v>
      </c>
      <c r="E1029" s="8">
        <f>IF(B1029="Inactive", EDATE(D1029,K1029), "")</f>
        <v>45552</v>
      </c>
      <c r="F1029" t="s">
        <v>14</v>
      </c>
      <c r="G1029">
        <v>9.9</v>
      </c>
      <c r="H1029" t="str" cm="1">
        <f t="array" ref="H1029">_xlfn.IFS(G1029&gt;=20,"20-25", G1029&gt;=15,"15-20", G1029&gt;=10,"10-15", G1029&gt;=5,"5-10", G1029&gt;=1,"1-5", G1029&lt;1,"Less than 1")</f>
        <v>5-10</v>
      </c>
      <c r="I1029">
        <v>6</v>
      </c>
      <c r="J1029">
        <v>1</v>
      </c>
      <c r="K1029" s="6">
        <v>11</v>
      </c>
      <c r="L1029" s="2">
        <v>3.99</v>
      </c>
      <c r="M1029" s="6">
        <v>38</v>
      </c>
      <c r="N1029" t="str" cm="1">
        <f t="array" ref="N1029">_xlfn.IFS(M1029&gt;=50,"50-60 Days", M1029&gt;=40,"40-50 Days", M1029&gt;=30, "30-40 Days", M1029&gt;=20, "20-30 Days", M1029&gt;=10, "10-20 Days", M1029&gt;=0, "0-10 Days")</f>
        <v>30-40 Days</v>
      </c>
    </row>
    <row r="1030" spans="1:14">
      <c r="A1030">
        <v>1029</v>
      </c>
      <c r="B1030" t="s">
        <v>29</v>
      </c>
      <c r="C1030" s="5">
        <v>45195</v>
      </c>
      <c r="D1030" s="8">
        <v>45195</v>
      </c>
      <c r="E1030" s="8" t="str">
        <f>IF(B1030="Inactive", EDATE(D1030,K1030), "")</f>
        <v/>
      </c>
      <c r="F1030" t="s">
        <v>10</v>
      </c>
      <c r="G1030">
        <v>10.7</v>
      </c>
      <c r="H1030" t="str" cm="1">
        <f t="array" ref="H1030">_xlfn.IFS(G1030&gt;=20,"20-25", G1030&gt;=15,"15-20", G1030&gt;=10,"10-15", G1030&gt;=5,"5-10", G1030&gt;=1,"1-5", G1030&lt;1,"Less than 1")</f>
        <v>10-15</v>
      </c>
      <c r="I1030">
        <v>6</v>
      </c>
      <c r="J1030">
        <v>1</v>
      </c>
      <c r="K1030" s="6">
        <v>5</v>
      </c>
      <c r="L1030" s="2">
        <v>6.99</v>
      </c>
      <c r="M1030" s="6">
        <v>1</v>
      </c>
      <c r="N1030" t="str" cm="1">
        <f t="array" ref="N1030">_xlfn.IFS(M1030&gt;=50,"50-60 Days", M1030&gt;=40,"40-50 Days", M1030&gt;=30, "30-40 Days", M1030&gt;=20, "20-30 Days", M1030&gt;=10, "10-20 Days", M1030&gt;=0, "0-10 Days")</f>
        <v>0-10 Days</v>
      </c>
    </row>
    <row r="1031" spans="1:14">
      <c r="A1031">
        <v>1030</v>
      </c>
      <c r="B1031" t="s">
        <v>28</v>
      </c>
      <c r="C1031" s="5">
        <v>45014</v>
      </c>
      <c r="D1031" s="8">
        <v>45014</v>
      </c>
      <c r="E1031" s="8">
        <f>IF(B1031="Inactive", EDATE(D1031,K1031), "")</f>
        <v>45320</v>
      </c>
      <c r="F1031" t="s">
        <v>12</v>
      </c>
      <c r="G1031">
        <v>22.7</v>
      </c>
      <c r="H1031" t="str" cm="1">
        <f t="array" ref="H1031">_xlfn.IFS(G1031&gt;=20,"20-25", G1031&gt;=15,"15-20", G1031&gt;=10,"10-15", G1031&gt;=5,"5-10", G1031&gt;=1,"1-5", G1031&lt;1,"Less than 1")</f>
        <v>20-25</v>
      </c>
      <c r="I1031">
        <v>5</v>
      </c>
      <c r="J1031">
        <v>4</v>
      </c>
      <c r="K1031" s="6">
        <v>10</v>
      </c>
      <c r="L1031" s="2">
        <v>1.99</v>
      </c>
      <c r="M1031" s="6">
        <v>43</v>
      </c>
      <c r="N1031" t="str" cm="1">
        <f t="array" ref="N1031">_xlfn.IFS(M1031&gt;=50,"50-60 Days", M1031&gt;=40,"40-50 Days", M1031&gt;=30, "30-40 Days", M1031&gt;=20, "20-30 Days", M1031&gt;=10, "10-20 Days", M1031&gt;=0, "0-10 Days")</f>
        <v>40-50 Days</v>
      </c>
    </row>
    <row r="1032" spans="1:14">
      <c r="A1032">
        <v>1031</v>
      </c>
      <c r="B1032" t="s">
        <v>28</v>
      </c>
      <c r="C1032" s="5">
        <v>45657</v>
      </c>
      <c r="D1032" s="8">
        <v>45657</v>
      </c>
      <c r="E1032" s="8">
        <f>IF(B1032="Inactive", EDATE(D1032,K1032), "")</f>
        <v>45991</v>
      </c>
      <c r="F1032" t="s">
        <v>12</v>
      </c>
      <c r="G1032">
        <v>3.8</v>
      </c>
      <c r="H1032" t="str" cm="1">
        <f t="array" ref="H1032">_xlfn.IFS(G1032&gt;=20,"20-25", G1032&gt;=15,"15-20", G1032&gt;=10,"10-15", G1032&gt;=5,"5-10", G1032&gt;=1,"1-5", G1032&lt;1,"Less than 1")</f>
        <v>1-5</v>
      </c>
      <c r="I1032">
        <v>5</v>
      </c>
      <c r="J1032">
        <v>5</v>
      </c>
      <c r="K1032" s="6">
        <v>11</v>
      </c>
      <c r="L1032" s="2">
        <v>1.99</v>
      </c>
      <c r="M1032" s="6">
        <v>25</v>
      </c>
      <c r="N1032" t="str" cm="1">
        <f t="array" ref="N1032">_xlfn.IFS(M1032&gt;=50,"50-60 Days", M1032&gt;=40,"40-50 Days", M1032&gt;=30, "30-40 Days", M1032&gt;=20, "20-30 Days", M1032&gt;=10, "10-20 Days", M1032&gt;=0, "0-10 Days")</f>
        <v>20-30 Days</v>
      </c>
    </row>
    <row r="1033" spans="1:14">
      <c r="A1033">
        <v>1032</v>
      </c>
      <c r="B1033" t="s">
        <v>29</v>
      </c>
      <c r="C1033" s="5">
        <v>44980</v>
      </c>
      <c r="D1033" s="8">
        <v>44980</v>
      </c>
      <c r="E1033" s="8" t="str">
        <f>IF(B1033="Inactive", EDATE(D1033,K1033), "")</f>
        <v/>
      </c>
      <c r="F1033" t="s">
        <v>14</v>
      </c>
      <c r="G1033">
        <v>18.5</v>
      </c>
      <c r="H1033" t="str" cm="1">
        <f t="array" ref="H1033">_xlfn.IFS(G1033&gt;=20,"20-25", G1033&gt;=15,"15-20", G1033&gt;=10,"10-15", G1033&gt;=5,"5-10", G1033&gt;=1,"1-5", G1033&lt;1,"Less than 1")</f>
        <v>15-20</v>
      </c>
      <c r="I1033">
        <v>4</v>
      </c>
      <c r="J1033">
        <v>0</v>
      </c>
      <c r="K1033" s="6">
        <v>10</v>
      </c>
      <c r="L1033" s="2">
        <v>3.99</v>
      </c>
      <c r="M1033" s="6">
        <v>6</v>
      </c>
      <c r="N1033" t="str" cm="1">
        <f t="array" ref="N1033">_xlfn.IFS(M1033&gt;=50,"50-60 Days", M1033&gt;=40,"40-50 Days", M1033&gt;=30, "30-40 Days", M1033&gt;=20, "20-30 Days", M1033&gt;=10, "10-20 Days", M1033&gt;=0, "0-10 Days")</f>
        <v>0-10 Days</v>
      </c>
    </row>
    <row r="1034" spans="1:14">
      <c r="A1034">
        <v>1033</v>
      </c>
      <c r="B1034" t="s">
        <v>28</v>
      </c>
      <c r="C1034" s="5">
        <v>45539</v>
      </c>
      <c r="D1034" s="8">
        <v>45539</v>
      </c>
      <c r="E1034" s="8">
        <f>IF(B1034="Inactive", EDATE(D1034,K1034), "")</f>
        <v>45720</v>
      </c>
      <c r="F1034" t="s">
        <v>14</v>
      </c>
      <c r="G1034">
        <v>12</v>
      </c>
      <c r="H1034" t="str" cm="1">
        <f t="array" ref="H1034">_xlfn.IFS(G1034&gt;=20,"20-25", G1034&gt;=15,"15-20", G1034&gt;=10,"10-15", G1034&gt;=5,"5-10", G1034&gt;=1,"1-5", G1034&lt;1,"Less than 1")</f>
        <v>10-15</v>
      </c>
      <c r="I1034">
        <v>5</v>
      </c>
      <c r="J1034">
        <v>4</v>
      </c>
      <c r="K1034" s="6">
        <v>6</v>
      </c>
      <c r="L1034" s="2">
        <v>3.99</v>
      </c>
      <c r="M1034" s="6">
        <v>60</v>
      </c>
      <c r="N1034" t="str" cm="1">
        <f t="array" ref="N1034">_xlfn.IFS(M1034&gt;=50,"50-60 Days", M1034&gt;=40,"40-50 Days", M1034&gt;=30, "30-40 Days", M1034&gt;=20, "20-30 Days", M1034&gt;=10, "10-20 Days", M1034&gt;=0, "0-10 Days")</f>
        <v>50-60 Days</v>
      </c>
    </row>
    <row r="1035" spans="1:14">
      <c r="A1035">
        <v>1034</v>
      </c>
      <c r="B1035" t="s">
        <v>28</v>
      </c>
      <c r="C1035" s="5">
        <v>45331</v>
      </c>
      <c r="D1035" s="8">
        <v>45331</v>
      </c>
      <c r="E1035" s="8">
        <f>IF(B1035="Inactive", EDATE(D1035,K1035), "")</f>
        <v>45360</v>
      </c>
      <c r="F1035" t="s">
        <v>10</v>
      </c>
      <c r="G1035">
        <v>0.6</v>
      </c>
      <c r="H1035" t="str" cm="1">
        <f t="array" ref="H1035">_xlfn.IFS(G1035&gt;=20,"20-25", G1035&gt;=15,"15-20", G1035&gt;=10,"10-15", G1035&gt;=5,"5-10", G1035&gt;=1,"1-5", G1035&lt;1,"Less than 1")</f>
        <v>Less than 1</v>
      </c>
      <c r="I1035">
        <v>8</v>
      </c>
      <c r="J1035">
        <v>4</v>
      </c>
      <c r="K1035" s="6">
        <v>1</v>
      </c>
      <c r="L1035" s="2">
        <v>6.99</v>
      </c>
      <c r="M1035" s="6">
        <v>24</v>
      </c>
      <c r="N1035" t="str" cm="1">
        <f t="array" ref="N1035">_xlfn.IFS(M1035&gt;=50,"50-60 Days", M1035&gt;=40,"40-50 Days", M1035&gt;=30, "30-40 Days", M1035&gt;=20, "20-30 Days", M1035&gt;=10, "10-20 Days", M1035&gt;=0, "0-10 Days")</f>
        <v>20-30 Days</v>
      </c>
    </row>
    <row r="1036" spans="1:14">
      <c r="A1036">
        <v>1035</v>
      </c>
      <c r="B1036" t="s">
        <v>28</v>
      </c>
      <c r="C1036" s="5">
        <v>45100</v>
      </c>
      <c r="D1036" s="8">
        <v>45100</v>
      </c>
      <c r="E1036" s="8">
        <f>IF(B1036="Inactive", EDATE(D1036,K1036), "")</f>
        <v>45345</v>
      </c>
      <c r="F1036" t="s">
        <v>10</v>
      </c>
      <c r="G1036">
        <v>3.7</v>
      </c>
      <c r="H1036" t="str" cm="1">
        <f t="array" ref="H1036">_xlfn.IFS(G1036&gt;=20,"20-25", G1036&gt;=15,"15-20", G1036&gt;=10,"10-15", G1036&gt;=5,"5-10", G1036&gt;=1,"1-5", G1036&lt;1,"Less than 1")</f>
        <v>1-5</v>
      </c>
      <c r="I1036">
        <v>8</v>
      </c>
      <c r="J1036">
        <v>0</v>
      </c>
      <c r="K1036" s="6">
        <v>8</v>
      </c>
      <c r="L1036" s="2">
        <v>6.99</v>
      </c>
      <c r="M1036" s="6">
        <v>37</v>
      </c>
      <c r="N1036" t="str" cm="1">
        <f t="array" ref="N1036">_xlfn.IFS(M1036&gt;=50,"50-60 Days", M1036&gt;=40,"40-50 Days", M1036&gt;=30, "30-40 Days", M1036&gt;=20, "20-30 Days", M1036&gt;=10, "10-20 Days", M1036&gt;=0, "0-10 Days")</f>
        <v>30-40 Days</v>
      </c>
    </row>
    <row r="1037" spans="1:14">
      <c r="A1037">
        <v>1036</v>
      </c>
      <c r="B1037" t="s">
        <v>29</v>
      </c>
      <c r="C1037" s="5">
        <v>45470</v>
      </c>
      <c r="D1037" s="8">
        <v>45470</v>
      </c>
      <c r="E1037" s="8" t="str">
        <f>IF(B1037="Inactive", EDATE(D1037,K1037), "")</f>
        <v/>
      </c>
      <c r="F1037" t="s">
        <v>10</v>
      </c>
      <c r="G1037">
        <v>23.3</v>
      </c>
      <c r="H1037" t="str" cm="1">
        <f t="array" ref="H1037">_xlfn.IFS(G1037&gt;=20,"20-25", G1037&gt;=15,"15-20", G1037&gt;=10,"10-15", G1037&gt;=5,"5-10", G1037&gt;=1,"1-5", G1037&lt;1,"Less than 1")</f>
        <v>20-25</v>
      </c>
      <c r="I1037">
        <v>7</v>
      </c>
      <c r="J1037">
        <v>1</v>
      </c>
      <c r="K1037" s="6">
        <v>11</v>
      </c>
      <c r="L1037" s="2">
        <v>6.99</v>
      </c>
      <c r="M1037" s="6">
        <v>5</v>
      </c>
      <c r="N1037" t="str" cm="1">
        <f t="array" ref="N1037">_xlfn.IFS(M1037&gt;=50,"50-60 Days", M1037&gt;=40,"40-50 Days", M1037&gt;=30, "30-40 Days", M1037&gt;=20, "20-30 Days", M1037&gt;=10, "10-20 Days", M1037&gt;=0, "0-10 Days")</f>
        <v>0-10 Days</v>
      </c>
    </row>
    <row r="1038" spans="1:14">
      <c r="A1038">
        <v>1037</v>
      </c>
      <c r="B1038" t="s">
        <v>29</v>
      </c>
      <c r="C1038" s="5">
        <v>45214</v>
      </c>
      <c r="D1038" s="8">
        <v>45214</v>
      </c>
      <c r="E1038" s="8" t="str">
        <f>IF(B1038="Inactive", EDATE(D1038,K1038), "")</f>
        <v/>
      </c>
      <c r="F1038" t="s">
        <v>14</v>
      </c>
      <c r="G1038">
        <v>6.9</v>
      </c>
      <c r="H1038" t="str" cm="1">
        <f t="array" ref="H1038">_xlfn.IFS(G1038&gt;=20,"20-25", G1038&gt;=15,"15-20", G1038&gt;=10,"10-15", G1038&gt;=5,"5-10", G1038&gt;=1,"1-5", G1038&lt;1,"Less than 1")</f>
        <v>5-10</v>
      </c>
      <c r="I1038">
        <v>5</v>
      </c>
      <c r="J1038">
        <v>0</v>
      </c>
      <c r="K1038" s="6">
        <v>4</v>
      </c>
      <c r="L1038" s="2">
        <v>3.99</v>
      </c>
      <c r="M1038" s="6">
        <v>8</v>
      </c>
      <c r="N1038" t="str" cm="1">
        <f t="array" ref="N1038">_xlfn.IFS(M1038&gt;=50,"50-60 Days", M1038&gt;=40,"40-50 Days", M1038&gt;=30, "30-40 Days", M1038&gt;=20, "20-30 Days", M1038&gt;=10, "10-20 Days", M1038&gt;=0, "0-10 Days")</f>
        <v>0-10 Days</v>
      </c>
    </row>
    <row r="1039" spans="1:14">
      <c r="A1039">
        <v>1038</v>
      </c>
      <c r="B1039" t="s">
        <v>29</v>
      </c>
      <c r="C1039" s="5">
        <v>45197</v>
      </c>
      <c r="D1039" s="8">
        <v>45197</v>
      </c>
      <c r="E1039" s="8" t="str">
        <f>IF(B1039="Inactive", EDATE(D1039,K1039), "")</f>
        <v/>
      </c>
      <c r="F1039" t="s">
        <v>10</v>
      </c>
      <c r="G1039">
        <v>23.2</v>
      </c>
      <c r="H1039" t="str" cm="1">
        <f t="array" ref="H1039">_xlfn.IFS(G1039&gt;=20,"20-25", G1039&gt;=15,"15-20", G1039&gt;=10,"10-15", G1039&gt;=5,"5-10", G1039&gt;=1,"1-5", G1039&lt;1,"Less than 1")</f>
        <v>20-25</v>
      </c>
      <c r="I1039">
        <v>4</v>
      </c>
      <c r="J1039">
        <v>2</v>
      </c>
      <c r="K1039" s="6">
        <v>8</v>
      </c>
      <c r="L1039" s="2">
        <v>6.99</v>
      </c>
      <c r="M1039" s="6">
        <v>39</v>
      </c>
      <c r="N1039" t="str" cm="1">
        <f t="array" ref="N1039">_xlfn.IFS(M1039&gt;=50,"50-60 Days", M1039&gt;=40,"40-50 Days", M1039&gt;=30, "30-40 Days", M1039&gt;=20, "20-30 Days", M1039&gt;=10, "10-20 Days", M1039&gt;=0, "0-10 Days")</f>
        <v>30-40 Days</v>
      </c>
    </row>
    <row r="1040" spans="1:14">
      <c r="A1040">
        <v>1039</v>
      </c>
      <c r="B1040" t="s">
        <v>29</v>
      </c>
      <c r="C1040" s="5">
        <v>45081</v>
      </c>
      <c r="D1040" s="8">
        <v>45081</v>
      </c>
      <c r="E1040" s="8" t="str">
        <f>IF(B1040="Inactive", EDATE(D1040,K1040), "")</f>
        <v/>
      </c>
      <c r="F1040" t="s">
        <v>10</v>
      </c>
      <c r="G1040">
        <v>11.2</v>
      </c>
      <c r="H1040" t="str" cm="1">
        <f t="array" ref="H1040">_xlfn.IFS(G1040&gt;=20,"20-25", G1040&gt;=15,"15-20", G1040&gt;=10,"10-15", G1040&gt;=5,"5-10", G1040&gt;=1,"1-5", G1040&lt;1,"Less than 1")</f>
        <v>10-15</v>
      </c>
      <c r="I1040">
        <v>2</v>
      </c>
      <c r="J1040">
        <v>2</v>
      </c>
      <c r="K1040" s="6">
        <v>7</v>
      </c>
      <c r="L1040" s="2">
        <v>6.99</v>
      </c>
      <c r="M1040" s="6">
        <v>47</v>
      </c>
      <c r="N1040" t="str" cm="1">
        <f t="array" ref="N1040">_xlfn.IFS(M1040&gt;=50,"50-60 Days", M1040&gt;=40,"40-50 Days", M1040&gt;=30, "30-40 Days", M1040&gt;=20, "20-30 Days", M1040&gt;=10, "10-20 Days", M1040&gt;=0, "0-10 Days")</f>
        <v>40-50 Days</v>
      </c>
    </row>
    <row r="1041" spans="1:14">
      <c r="A1041">
        <v>1040</v>
      </c>
      <c r="B1041" t="s">
        <v>28</v>
      </c>
      <c r="C1041" s="5">
        <v>45408</v>
      </c>
      <c r="D1041" s="8">
        <v>45408</v>
      </c>
      <c r="E1041" s="8">
        <f>IF(B1041="Inactive", EDATE(D1041,K1041), "")</f>
        <v>45714</v>
      </c>
      <c r="F1041" t="s">
        <v>10</v>
      </c>
      <c r="G1041">
        <v>1.8</v>
      </c>
      <c r="H1041" t="str" cm="1">
        <f t="array" ref="H1041">_xlfn.IFS(G1041&gt;=20,"20-25", G1041&gt;=15,"15-20", G1041&gt;=10,"10-15", G1041&gt;=5,"5-10", G1041&gt;=1,"1-5", G1041&lt;1,"Less than 1")</f>
        <v>1-5</v>
      </c>
      <c r="I1041">
        <v>2</v>
      </c>
      <c r="J1041">
        <v>0</v>
      </c>
      <c r="K1041" s="6">
        <v>10</v>
      </c>
      <c r="L1041" s="2">
        <v>6.99</v>
      </c>
      <c r="M1041" s="6">
        <v>14</v>
      </c>
      <c r="N1041" t="str" cm="1">
        <f t="array" ref="N1041">_xlfn.IFS(M1041&gt;=50,"50-60 Days", M1041&gt;=40,"40-50 Days", M1041&gt;=30, "30-40 Days", M1041&gt;=20, "20-30 Days", M1041&gt;=10, "10-20 Days", M1041&gt;=0, "0-10 Days")</f>
        <v>10-20 Days</v>
      </c>
    </row>
    <row r="1042" spans="1:14">
      <c r="A1042">
        <v>1041</v>
      </c>
      <c r="B1042" t="s">
        <v>29</v>
      </c>
      <c r="C1042" s="5">
        <v>44968</v>
      </c>
      <c r="D1042" s="8">
        <v>44968</v>
      </c>
      <c r="E1042" s="8" t="str">
        <f>IF(B1042="Inactive", EDATE(D1042,K1042), "")</f>
        <v/>
      </c>
      <c r="F1042" t="s">
        <v>14</v>
      </c>
      <c r="G1042">
        <v>17.8</v>
      </c>
      <c r="H1042" t="str" cm="1">
        <f t="array" ref="H1042">_xlfn.IFS(G1042&gt;=20,"20-25", G1042&gt;=15,"15-20", G1042&gt;=10,"10-15", G1042&gt;=5,"5-10", G1042&gt;=1,"1-5", G1042&lt;1,"Less than 1")</f>
        <v>15-20</v>
      </c>
      <c r="I1042">
        <v>6</v>
      </c>
      <c r="J1042">
        <v>0</v>
      </c>
      <c r="K1042" s="6">
        <v>4</v>
      </c>
      <c r="L1042" s="2">
        <v>3.99</v>
      </c>
      <c r="M1042" s="6">
        <v>57</v>
      </c>
      <c r="N1042" t="str" cm="1">
        <f t="array" ref="N1042">_xlfn.IFS(M1042&gt;=50,"50-60 Days", M1042&gt;=40,"40-50 Days", M1042&gt;=30, "30-40 Days", M1042&gt;=20, "20-30 Days", M1042&gt;=10, "10-20 Days", M1042&gt;=0, "0-10 Days")</f>
        <v>50-60 Days</v>
      </c>
    </row>
    <row r="1043" spans="1:14">
      <c r="A1043">
        <v>1042</v>
      </c>
      <c r="B1043" t="s">
        <v>28</v>
      </c>
      <c r="C1043" s="5">
        <v>45078</v>
      </c>
      <c r="D1043" s="8">
        <v>45078</v>
      </c>
      <c r="E1043" s="8">
        <f>IF(B1043="Inactive", EDATE(D1043,K1043), "")</f>
        <v>45323</v>
      </c>
      <c r="F1043" t="s">
        <v>14</v>
      </c>
      <c r="G1043">
        <v>24.7</v>
      </c>
      <c r="H1043" t="str" cm="1">
        <f t="array" ref="H1043">_xlfn.IFS(G1043&gt;=20,"20-25", G1043&gt;=15,"15-20", G1043&gt;=10,"10-15", G1043&gt;=5,"5-10", G1043&gt;=1,"1-5", G1043&lt;1,"Less than 1")</f>
        <v>20-25</v>
      </c>
      <c r="I1043">
        <v>8</v>
      </c>
      <c r="J1043">
        <v>3</v>
      </c>
      <c r="K1043" s="6">
        <v>8</v>
      </c>
      <c r="L1043" s="2">
        <v>3.99</v>
      </c>
      <c r="M1043" s="6">
        <v>29</v>
      </c>
      <c r="N1043" t="str" cm="1">
        <f t="array" ref="N1043">_xlfn.IFS(M1043&gt;=50,"50-60 Days", M1043&gt;=40,"40-50 Days", M1043&gt;=30, "30-40 Days", M1043&gt;=20, "20-30 Days", M1043&gt;=10, "10-20 Days", M1043&gt;=0, "0-10 Days")</f>
        <v>20-30 Days</v>
      </c>
    </row>
    <row r="1044" spans="1:14">
      <c r="A1044">
        <v>1043</v>
      </c>
      <c r="B1044" t="s">
        <v>28</v>
      </c>
      <c r="C1044" s="5">
        <v>45447</v>
      </c>
      <c r="D1044" s="8">
        <v>45447</v>
      </c>
      <c r="E1044" s="8">
        <f>IF(B1044="Inactive", EDATE(D1044,K1044), "")</f>
        <v>45692</v>
      </c>
      <c r="F1044" t="s">
        <v>12</v>
      </c>
      <c r="G1044">
        <v>2.8</v>
      </c>
      <c r="H1044" t="str" cm="1">
        <f t="array" ref="H1044">_xlfn.IFS(G1044&gt;=20,"20-25", G1044&gt;=15,"15-20", G1044&gt;=10,"10-15", G1044&gt;=5,"5-10", G1044&gt;=1,"1-5", G1044&lt;1,"Less than 1")</f>
        <v>1-5</v>
      </c>
      <c r="I1044">
        <v>4</v>
      </c>
      <c r="J1044">
        <v>1</v>
      </c>
      <c r="K1044" s="6">
        <v>8</v>
      </c>
      <c r="L1044" s="2">
        <v>1.99</v>
      </c>
      <c r="M1044" s="6">
        <v>53</v>
      </c>
      <c r="N1044" t="str" cm="1">
        <f t="array" ref="N1044">_xlfn.IFS(M1044&gt;=50,"50-60 Days", M1044&gt;=40,"40-50 Days", M1044&gt;=30, "30-40 Days", M1044&gt;=20, "20-30 Days", M1044&gt;=10, "10-20 Days", M1044&gt;=0, "0-10 Days")</f>
        <v>50-60 Days</v>
      </c>
    </row>
    <row r="1045" spans="1:14">
      <c r="A1045">
        <v>1044</v>
      </c>
      <c r="B1045" t="s">
        <v>28</v>
      </c>
      <c r="C1045" s="5">
        <v>45353</v>
      </c>
      <c r="D1045" s="8">
        <v>45353</v>
      </c>
      <c r="E1045" s="8">
        <f>IF(B1045="Inactive", EDATE(D1045,K1045), "")</f>
        <v>45506</v>
      </c>
      <c r="F1045" t="s">
        <v>14</v>
      </c>
      <c r="G1045">
        <v>14.8</v>
      </c>
      <c r="H1045" t="str" cm="1">
        <f t="array" ref="H1045">_xlfn.IFS(G1045&gt;=20,"20-25", G1045&gt;=15,"15-20", G1045&gt;=10,"10-15", G1045&gt;=5,"5-10", G1045&gt;=1,"1-5", G1045&lt;1,"Less than 1")</f>
        <v>10-15</v>
      </c>
      <c r="I1045">
        <v>0</v>
      </c>
      <c r="J1045">
        <v>4</v>
      </c>
      <c r="K1045" s="6">
        <v>5</v>
      </c>
      <c r="L1045" s="2">
        <v>3.99</v>
      </c>
      <c r="M1045" s="6">
        <v>49</v>
      </c>
      <c r="N1045" t="str" cm="1">
        <f t="array" ref="N1045">_xlfn.IFS(M1045&gt;=50,"50-60 Days", M1045&gt;=40,"40-50 Days", M1045&gt;=30, "30-40 Days", M1045&gt;=20, "20-30 Days", M1045&gt;=10, "10-20 Days", M1045&gt;=0, "0-10 Days")</f>
        <v>40-50 Days</v>
      </c>
    </row>
    <row r="1046" spans="1:14">
      <c r="A1046">
        <v>1045</v>
      </c>
      <c r="B1046" t="s">
        <v>28</v>
      </c>
      <c r="C1046" s="5">
        <v>45623</v>
      </c>
      <c r="D1046" s="8">
        <v>45623</v>
      </c>
      <c r="E1046" s="8">
        <f>IF(B1046="Inactive", EDATE(D1046,K1046), "")</f>
        <v>45804</v>
      </c>
      <c r="F1046" t="s">
        <v>12</v>
      </c>
      <c r="G1046">
        <v>19.3</v>
      </c>
      <c r="H1046" t="str" cm="1">
        <f t="array" ref="H1046">_xlfn.IFS(G1046&gt;=20,"20-25", G1046&gt;=15,"15-20", G1046&gt;=10,"10-15", G1046&gt;=5,"5-10", G1046&gt;=1,"1-5", G1046&lt;1,"Less than 1")</f>
        <v>15-20</v>
      </c>
      <c r="I1046">
        <v>1</v>
      </c>
      <c r="J1046">
        <v>2</v>
      </c>
      <c r="K1046" s="6">
        <v>6</v>
      </c>
      <c r="L1046" s="2">
        <v>1.99</v>
      </c>
      <c r="M1046" s="6">
        <v>1</v>
      </c>
      <c r="N1046" t="str" cm="1">
        <f t="array" ref="N1046">_xlfn.IFS(M1046&gt;=50,"50-60 Days", M1046&gt;=40,"40-50 Days", M1046&gt;=30, "30-40 Days", M1046&gt;=20, "20-30 Days", M1046&gt;=10, "10-20 Days", M1046&gt;=0, "0-10 Days")</f>
        <v>0-10 Days</v>
      </c>
    </row>
    <row r="1047" spans="1:14">
      <c r="A1047">
        <v>1046</v>
      </c>
      <c r="B1047" t="s">
        <v>28</v>
      </c>
      <c r="C1047" s="5">
        <v>45398</v>
      </c>
      <c r="D1047" s="8">
        <v>45398</v>
      </c>
      <c r="E1047" s="8">
        <f>IF(B1047="Inactive", EDATE(D1047,K1047), "")</f>
        <v>45673</v>
      </c>
      <c r="F1047" t="s">
        <v>12</v>
      </c>
      <c r="G1047">
        <v>9.6999999999999993</v>
      </c>
      <c r="H1047" t="str" cm="1">
        <f t="array" ref="H1047">_xlfn.IFS(G1047&gt;=20,"20-25", G1047&gt;=15,"15-20", G1047&gt;=10,"10-15", G1047&gt;=5,"5-10", G1047&gt;=1,"1-5", G1047&lt;1,"Less than 1")</f>
        <v>5-10</v>
      </c>
      <c r="I1047">
        <v>1</v>
      </c>
      <c r="J1047">
        <v>2</v>
      </c>
      <c r="K1047" s="6">
        <v>9</v>
      </c>
      <c r="L1047" s="2">
        <v>1.99</v>
      </c>
      <c r="M1047" s="6">
        <v>9</v>
      </c>
      <c r="N1047" t="str" cm="1">
        <f t="array" ref="N1047">_xlfn.IFS(M1047&gt;=50,"50-60 Days", M1047&gt;=40,"40-50 Days", M1047&gt;=30, "30-40 Days", M1047&gt;=20, "20-30 Days", M1047&gt;=10, "10-20 Days", M1047&gt;=0, "0-10 Days")</f>
        <v>0-10 Days</v>
      </c>
    </row>
    <row r="1048" spans="1:14">
      <c r="A1048">
        <v>1047</v>
      </c>
      <c r="B1048" t="s">
        <v>28</v>
      </c>
      <c r="C1048" s="5">
        <v>44971</v>
      </c>
      <c r="D1048" s="8">
        <v>44971</v>
      </c>
      <c r="E1048" s="8">
        <f>IF(B1048="Inactive", EDATE(D1048,K1048), "")</f>
        <v>45305</v>
      </c>
      <c r="F1048" t="s">
        <v>10</v>
      </c>
      <c r="G1048">
        <v>11.6</v>
      </c>
      <c r="H1048" t="str" cm="1">
        <f t="array" ref="H1048">_xlfn.IFS(G1048&gt;=20,"20-25", G1048&gt;=15,"15-20", G1048&gt;=10,"10-15", G1048&gt;=5,"5-10", G1048&gt;=1,"1-5", G1048&lt;1,"Less than 1")</f>
        <v>10-15</v>
      </c>
      <c r="I1048">
        <v>4</v>
      </c>
      <c r="J1048">
        <v>4</v>
      </c>
      <c r="K1048" s="6">
        <v>11</v>
      </c>
      <c r="L1048" s="2">
        <v>6.99</v>
      </c>
      <c r="M1048" s="6">
        <v>42</v>
      </c>
      <c r="N1048" t="str" cm="1">
        <f t="array" ref="N1048">_xlfn.IFS(M1048&gt;=50,"50-60 Days", M1048&gt;=40,"40-50 Days", M1048&gt;=30, "30-40 Days", M1048&gt;=20, "20-30 Days", M1048&gt;=10, "10-20 Days", M1048&gt;=0, "0-10 Days")</f>
        <v>40-50 Days</v>
      </c>
    </row>
    <row r="1049" spans="1:14">
      <c r="A1049">
        <v>1048</v>
      </c>
      <c r="B1049" t="s">
        <v>28</v>
      </c>
      <c r="C1049" s="5">
        <v>45586</v>
      </c>
      <c r="D1049" s="8">
        <v>45586</v>
      </c>
      <c r="E1049" s="8">
        <f>IF(B1049="Inactive", EDATE(D1049,K1049), "")</f>
        <v>45890</v>
      </c>
      <c r="F1049" t="s">
        <v>10</v>
      </c>
      <c r="G1049">
        <v>8.5</v>
      </c>
      <c r="H1049" t="str" cm="1">
        <f t="array" ref="H1049">_xlfn.IFS(G1049&gt;=20,"20-25", G1049&gt;=15,"15-20", G1049&gt;=10,"10-15", G1049&gt;=5,"5-10", G1049&gt;=1,"1-5", G1049&lt;1,"Less than 1")</f>
        <v>5-10</v>
      </c>
      <c r="I1049">
        <v>2</v>
      </c>
      <c r="J1049">
        <v>1</v>
      </c>
      <c r="K1049" s="6">
        <v>10</v>
      </c>
      <c r="L1049" s="2">
        <v>6.99</v>
      </c>
      <c r="M1049" s="6">
        <v>55</v>
      </c>
      <c r="N1049" t="str" cm="1">
        <f t="array" ref="N1049">_xlfn.IFS(M1049&gt;=50,"50-60 Days", M1049&gt;=40,"40-50 Days", M1049&gt;=30, "30-40 Days", M1049&gt;=20, "20-30 Days", M1049&gt;=10, "10-20 Days", M1049&gt;=0, "0-10 Days")</f>
        <v>50-60 Days</v>
      </c>
    </row>
    <row r="1050" spans="1:14">
      <c r="A1050">
        <v>1049</v>
      </c>
      <c r="B1050" t="s">
        <v>29</v>
      </c>
      <c r="C1050" s="5">
        <v>45021</v>
      </c>
      <c r="D1050" s="8">
        <v>45021</v>
      </c>
      <c r="E1050" s="8" t="str">
        <f>IF(B1050="Inactive", EDATE(D1050,K1050), "")</f>
        <v/>
      </c>
      <c r="F1050" t="s">
        <v>14</v>
      </c>
      <c r="G1050">
        <v>20.100000000000001</v>
      </c>
      <c r="H1050" t="str" cm="1">
        <f t="array" ref="H1050">_xlfn.IFS(G1050&gt;=20,"20-25", G1050&gt;=15,"15-20", G1050&gt;=10,"10-15", G1050&gt;=5,"5-10", G1050&gt;=1,"1-5", G1050&lt;1,"Less than 1")</f>
        <v>20-25</v>
      </c>
      <c r="I1050">
        <v>1</v>
      </c>
      <c r="J1050">
        <v>4</v>
      </c>
      <c r="K1050" s="6">
        <v>7</v>
      </c>
      <c r="L1050" s="2">
        <v>3.99</v>
      </c>
      <c r="M1050" s="6">
        <v>60</v>
      </c>
      <c r="N1050" t="str" cm="1">
        <f t="array" ref="N1050">_xlfn.IFS(M1050&gt;=50,"50-60 Days", M1050&gt;=40,"40-50 Days", M1050&gt;=30, "30-40 Days", M1050&gt;=20, "20-30 Days", M1050&gt;=10, "10-20 Days", M1050&gt;=0, "0-10 Days")</f>
        <v>50-60 Days</v>
      </c>
    </row>
    <row r="1051" spans="1:14">
      <c r="A1051">
        <v>1050</v>
      </c>
      <c r="B1051" t="s">
        <v>29</v>
      </c>
      <c r="C1051" s="5">
        <v>45093</v>
      </c>
      <c r="D1051" s="8">
        <v>45093</v>
      </c>
      <c r="E1051" s="8" t="str">
        <f>IF(B1051="Inactive", EDATE(D1051,K1051), "")</f>
        <v/>
      </c>
      <c r="F1051" t="s">
        <v>14</v>
      </c>
      <c r="G1051">
        <v>4.9000000000000004</v>
      </c>
      <c r="H1051" t="str" cm="1">
        <f t="array" ref="H1051">_xlfn.IFS(G1051&gt;=20,"20-25", G1051&gt;=15,"15-20", G1051&gt;=10,"10-15", G1051&gt;=5,"5-10", G1051&gt;=1,"1-5", G1051&lt;1,"Less than 1")</f>
        <v>1-5</v>
      </c>
      <c r="I1051">
        <v>6</v>
      </c>
      <c r="J1051">
        <v>0</v>
      </c>
      <c r="K1051" s="6">
        <v>6</v>
      </c>
      <c r="L1051" s="2">
        <v>3.99</v>
      </c>
      <c r="M1051" s="6">
        <v>1</v>
      </c>
      <c r="N1051" t="str" cm="1">
        <f t="array" ref="N1051">_xlfn.IFS(M1051&gt;=50,"50-60 Days", M1051&gt;=40,"40-50 Days", M1051&gt;=30, "30-40 Days", M1051&gt;=20, "20-30 Days", M1051&gt;=10, "10-20 Days", M1051&gt;=0, "0-10 Days")</f>
        <v>0-10 Days</v>
      </c>
    </row>
    <row r="1052" spans="1:14">
      <c r="A1052">
        <v>1051</v>
      </c>
      <c r="B1052" t="s">
        <v>29</v>
      </c>
      <c r="C1052" s="5">
        <v>45369</v>
      </c>
      <c r="D1052" s="8">
        <v>45369</v>
      </c>
      <c r="E1052" s="8" t="str">
        <f>IF(B1052="Inactive", EDATE(D1052,K1052), "")</f>
        <v/>
      </c>
      <c r="F1052" t="s">
        <v>14</v>
      </c>
      <c r="G1052">
        <v>7.5</v>
      </c>
      <c r="H1052" t="str" cm="1">
        <f t="array" ref="H1052">_xlfn.IFS(G1052&gt;=20,"20-25", G1052&gt;=15,"15-20", G1052&gt;=10,"10-15", G1052&gt;=5,"5-10", G1052&gt;=1,"1-5", G1052&lt;1,"Less than 1")</f>
        <v>5-10</v>
      </c>
      <c r="I1052">
        <v>2</v>
      </c>
      <c r="J1052">
        <v>0</v>
      </c>
      <c r="K1052" s="6">
        <v>9</v>
      </c>
      <c r="L1052" s="2">
        <v>3.99</v>
      </c>
      <c r="M1052" s="6">
        <v>19</v>
      </c>
      <c r="N1052" t="str" cm="1">
        <f t="array" ref="N1052">_xlfn.IFS(M1052&gt;=50,"50-60 Days", M1052&gt;=40,"40-50 Days", M1052&gt;=30, "30-40 Days", M1052&gt;=20, "20-30 Days", M1052&gt;=10, "10-20 Days", M1052&gt;=0, "0-10 Days")</f>
        <v>10-20 Days</v>
      </c>
    </row>
    <row r="1053" spans="1:14">
      <c r="A1053">
        <v>1052</v>
      </c>
      <c r="B1053" t="s">
        <v>28</v>
      </c>
      <c r="C1053" s="5">
        <v>45303</v>
      </c>
      <c r="D1053" s="8">
        <v>45303</v>
      </c>
      <c r="E1053" s="8">
        <f>IF(B1053="Inactive", EDATE(D1053,K1053), "")</f>
        <v>45516</v>
      </c>
      <c r="F1053" t="s">
        <v>10</v>
      </c>
      <c r="G1053">
        <v>22.6</v>
      </c>
      <c r="H1053" t="str" cm="1">
        <f t="array" ref="H1053">_xlfn.IFS(G1053&gt;=20,"20-25", G1053&gt;=15,"15-20", G1053&gt;=10,"10-15", G1053&gt;=5,"5-10", G1053&gt;=1,"1-5", G1053&lt;1,"Less than 1")</f>
        <v>20-25</v>
      </c>
      <c r="I1053">
        <v>2</v>
      </c>
      <c r="J1053">
        <v>2</v>
      </c>
      <c r="K1053" s="6">
        <v>7</v>
      </c>
      <c r="L1053" s="2">
        <v>6.99</v>
      </c>
      <c r="M1053" s="6">
        <v>42</v>
      </c>
      <c r="N1053" t="str" cm="1">
        <f t="array" ref="N1053">_xlfn.IFS(M1053&gt;=50,"50-60 Days", M1053&gt;=40,"40-50 Days", M1053&gt;=30, "30-40 Days", M1053&gt;=20, "20-30 Days", M1053&gt;=10, "10-20 Days", M1053&gt;=0, "0-10 Days")</f>
        <v>40-50 Days</v>
      </c>
    </row>
    <row r="1054" spans="1:14">
      <c r="A1054">
        <v>1053</v>
      </c>
      <c r="B1054" t="s">
        <v>29</v>
      </c>
      <c r="C1054" s="5">
        <v>45360</v>
      </c>
      <c r="D1054" s="8">
        <v>45360</v>
      </c>
      <c r="E1054" s="8" t="str">
        <f>IF(B1054="Inactive", EDATE(D1054,K1054), "")</f>
        <v/>
      </c>
      <c r="F1054" t="s">
        <v>10</v>
      </c>
      <c r="G1054">
        <v>12.5</v>
      </c>
      <c r="H1054" t="str" cm="1">
        <f t="array" ref="H1054">_xlfn.IFS(G1054&gt;=20,"20-25", G1054&gt;=15,"15-20", G1054&gt;=10,"10-15", G1054&gt;=5,"5-10", G1054&gt;=1,"1-5", G1054&lt;1,"Less than 1")</f>
        <v>10-15</v>
      </c>
      <c r="I1054">
        <v>6</v>
      </c>
      <c r="J1054">
        <v>3</v>
      </c>
      <c r="K1054" s="6">
        <v>5</v>
      </c>
      <c r="L1054" s="2">
        <v>6.99</v>
      </c>
      <c r="M1054" s="6">
        <v>17</v>
      </c>
      <c r="N1054" t="str" cm="1">
        <f t="array" ref="N1054">_xlfn.IFS(M1054&gt;=50,"50-60 Days", M1054&gt;=40,"40-50 Days", M1054&gt;=30, "30-40 Days", M1054&gt;=20, "20-30 Days", M1054&gt;=10, "10-20 Days", M1054&gt;=0, "0-10 Days")</f>
        <v>10-20 Days</v>
      </c>
    </row>
    <row r="1055" spans="1:14">
      <c r="A1055">
        <v>1054</v>
      </c>
      <c r="B1055" t="s">
        <v>28</v>
      </c>
      <c r="C1055" s="5">
        <v>44968</v>
      </c>
      <c r="D1055" s="8">
        <v>44968</v>
      </c>
      <c r="E1055" s="8">
        <f>IF(B1055="Inactive", EDATE(D1055,K1055), "")</f>
        <v>45271</v>
      </c>
      <c r="F1055" t="s">
        <v>12</v>
      </c>
      <c r="G1055">
        <v>20.399999999999999</v>
      </c>
      <c r="H1055" t="str" cm="1">
        <f t="array" ref="H1055">_xlfn.IFS(G1055&gt;=20,"20-25", G1055&gt;=15,"15-20", G1055&gt;=10,"10-15", G1055&gt;=5,"5-10", G1055&gt;=1,"1-5", G1055&lt;1,"Less than 1")</f>
        <v>20-25</v>
      </c>
      <c r="I1055">
        <v>2</v>
      </c>
      <c r="J1055">
        <v>3</v>
      </c>
      <c r="K1055" s="6">
        <v>10</v>
      </c>
      <c r="L1055" s="2">
        <v>1.99</v>
      </c>
      <c r="M1055" s="6">
        <v>40</v>
      </c>
      <c r="N1055" t="str" cm="1">
        <f t="array" ref="N1055">_xlfn.IFS(M1055&gt;=50,"50-60 Days", M1055&gt;=40,"40-50 Days", M1055&gt;=30, "30-40 Days", M1055&gt;=20, "20-30 Days", M1055&gt;=10, "10-20 Days", M1055&gt;=0, "0-10 Days")</f>
        <v>40-50 Days</v>
      </c>
    </row>
    <row r="1056" spans="1:14">
      <c r="A1056">
        <v>1055</v>
      </c>
      <c r="B1056" t="s">
        <v>29</v>
      </c>
      <c r="C1056" s="5">
        <v>45434</v>
      </c>
      <c r="D1056" s="8">
        <v>45434</v>
      </c>
      <c r="E1056" s="8" t="str">
        <f>IF(B1056="Inactive", EDATE(D1056,K1056), "")</f>
        <v/>
      </c>
      <c r="F1056" t="s">
        <v>10</v>
      </c>
      <c r="G1056">
        <v>24.3</v>
      </c>
      <c r="H1056" t="str" cm="1">
        <f t="array" ref="H1056">_xlfn.IFS(G1056&gt;=20,"20-25", G1056&gt;=15,"15-20", G1056&gt;=10,"10-15", G1056&gt;=5,"5-10", G1056&gt;=1,"1-5", G1056&lt;1,"Less than 1")</f>
        <v>20-25</v>
      </c>
      <c r="I1056">
        <v>3</v>
      </c>
      <c r="J1056">
        <v>5</v>
      </c>
      <c r="K1056" s="6">
        <v>8</v>
      </c>
      <c r="L1056" s="2">
        <v>6.99</v>
      </c>
      <c r="M1056" s="6">
        <v>43</v>
      </c>
      <c r="N1056" t="str" cm="1">
        <f t="array" ref="N1056">_xlfn.IFS(M1056&gt;=50,"50-60 Days", M1056&gt;=40,"40-50 Days", M1056&gt;=30, "30-40 Days", M1056&gt;=20, "20-30 Days", M1056&gt;=10, "10-20 Days", M1056&gt;=0, "0-10 Days")</f>
        <v>40-50 Days</v>
      </c>
    </row>
    <row r="1057" spans="1:14">
      <c r="A1057">
        <v>1056</v>
      </c>
      <c r="B1057" t="s">
        <v>29</v>
      </c>
      <c r="C1057" s="5">
        <v>45416</v>
      </c>
      <c r="D1057" s="8">
        <v>45416</v>
      </c>
      <c r="E1057" s="8" t="str">
        <f>IF(B1057="Inactive", EDATE(D1057,K1057), "")</f>
        <v/>
      </c>
      <c r="F1057" t="s">
        <v>10</v>
      </c>
      <c r="G1057">
        <v>2.6</v>
      </c>
      <c r="H1057" t="str" cm="1">
        <f t="array" ref="H1057">_xlfn.IFS(G1057&gt;=20,"20-25", G1057&gt;=15,"15-20", G1057&gt;=10,"10-15", G1057&gt;=5,"5-10", G1057&gt;=1,"1-5", G1057&lt;1,"Less than 1")</f>
        <v>1-5</v>
      </c>
      <c r="I1057">
        <v>7</v>
      </c>
      <c r="J1057">
        <v>3</v>
      </c>
      <c r="K1057" s="6">
        <v>12</v>
      </c>
      <c r="L1057" s="2">
        <v>6.99</v>
      </c>
      <c r="M1057" s="6">
        <v>5</v>
      </c>
      <c r="N1057" t="str" cm="1">
        <f t="array" ref="N1057">_xlfn.IFS(M1057&gt;=50,"50-60 Days", M1057&gt;=40,"40-50 Days", M1057&gt;=30, "30-40 Days", M1057&gt;=20, "20-30 Days", M1057&gt;=10, "10-20 Days", M1057&gt;=0, "0-10 Days")</f>
        <v>0-10 Days</v>
      </c>
    </row>
    <row r="1058" spans="1:14">
      <c r="A1058">
        <v>1057</v>
      </c>
      <c r="B1058" t="s">
        <v>28</v>
      </c>
      <c r="C1058" s="5">
        <v>45509</v>
      </c>
      <c r="D1058" s="8">
        <v>45509</v>
      </c>
      <c r="E1058" s="8">
        <f>IF(B1058="Inactive", EDATE(D1058,K1058), "")</f>
        <v>45631</v>
      </c>
      <c r="F1058" t="s">
        <v>14</v>
      </c>
      <c r="G1058">
        <v>24.6</v>
      </c>
      <c r="H1058" t="str" cm="1">
        <f t="array" ref="H1058">_xlfn.IFS(G1058&gt;=20,"20-25", G1058&gt;=15,"15-20", G1058&gt;=10,"10-15", G1058&gt;=5,"5-10", G1058&gt;=1,"1-5", G1058&lt;1,"Less than 1")</f>
        <v>20-25</v>
      </c>
      <c r="I1058">
        <v>4</v>
      </c>
      <c r="J1058">
        <v>1</v>
      </c>
      <c r="K1058" s="6">
        <v>4</v>
      </c>
      <c r="L1058" s="2">
        <v>3.99</v>
      </c>
      <c r="M1058" s="6">
        <v>33</v>
      </c>
      <c r="N1058" t="str" cm="1">
        <f t="array" ref="N1058">_xlfn.IFS(M1058&gt;=50,"50-60 Days", M1058&gt;=40,"40-50 Days", M1058&gt;=30, "30-40 Days", M1058&gt;=20, "20-30 Days", M1058&gt;=10, "10-20 Days", M1058&gt;=0, "0-10 Days")</f>
        <v>30-40 Days</v>
      </c>
    </row>
    <row r="1059" spans="1:14">
      <c r="A1059">
        <v>1058</v>
      </c>
      <c r="B1059" t="s">
        <v>28</v>
      </c>
      <c r="C1059" s="5">
        <v>45349</v>
      </c>
      <c r="D1059" s="8">
        <v>45349</v>
      </c>
      <c r="E1059" s="8">
        <f>IF(B1059="Inactive", EDATE(D1059,K1059), "")</f>
        <v>45715</v>
      </c>
      <c r="F1059" t="s">
        <v>12</v>
      </c>
      <c r="G1059">
        <v>2.4</v>
      </c>
      <c r="H1059" t="str" cm="1">
        <f t="array" ref="H1059">_xlfn.IFS(G1059&gt;=20,"20-25", G1059&gt;=15,"15-20", G1059&gt;=10,"10-15", G1059&gt;=5,"5-10", G1059&gt;=1,"1-5", G1059&lt;1,"Less than 1")</f>
        <v>1-5</v>
      </c>
      <c r="I1059">
        <v>0</v>
      </c>
      <c r="J1059">
        <v>4</v>
      </c>
      <c r="K1059" s="6">
        <v>12</v>
      </c>
      <c r="L1059" s="2">
        <v>1.99</v>
      </c>
      <c r="M1059" s="6">
        <v>6</v>
      </c>
      <c r="N1059" t="str" cm="1">
        <f t="array" ref="N1059">_xlfn.IFS(M1059&gt;=50,"50-60 Days", M1059&gt;=40,"40-50 Days", M1059&gt;=30, "30-40 Days", M1059&gt;=20, "20-30 Days", M1059&gt;=10, "10-20 Days", M1059&gt;=0, "0-10 Days")</f>
        <v>0-10 Days</v>
      </c>
    </row>
    <row r="1060" spans="1:14">
      <c r="A1060">
        <v>1059</v>
      </c>
      <c r="B1060" t="s">
        <v>29</v>
      </c>
      <c r="C1060" s="5">
        <v>45442</v>
      </c>
      <c r="D1060" s="8">
        <v>45442</v>
      </c>
      <c r="E1060" s="8" t="str">
        <f>IF(B1060="Inactive", EDATE(D1060,K1060), "")</f>
        <v/>
      </c>
      <c r="F1060" t="s">
        <v>12</v>
      </c>
      <c r="G1060">
        <v>16.7</v>
      </c>
      <c r="H1060" t="str" cm="1">
        <f t="array" ref="H1060">_xlfn.IFS(G1060&gt;=20,"20-25", G1060&gt;=15,"15-20", G1060&gt;=10,"10-15", G1060&gt;=5,"5-10", G1060&gt;=1,"1-5", G1060&lt;1,"Less than 1")</f>
        <v>15-20</v>
      </c>
      <c r="I1060">
        <v>4</v>
      </c>
      <c r="J1060">
        <v>2</v>
      </c>
      <c r="K1060" s="6">
        <v>10</v>
      </c>
      <c r="L1060" s="2">
        <v>1.99</v>
      </c>
      <c r="M1060" s="6">
        <v>16</v>
      </c>
      <c r="N1060" t="str" cm="1">
        <f t="array" ref="N1060">_xlfn.IFS(M1060&gt;=50,"50-60 Days", M1060&gt;=40,"40-50 Days", M1060&gt;=30, "30-40 Days", M1060&gt;=20, "20-30 Days", M1060&gt;=10, "10-20 Days", M1060&gt;=0, "0-10 Days")</f>
        <v>10-20 Days</v>
      </c>
    </row>
    <row r="1061" spans="1:14">
      <c r="A1061">
        <v>1060</v>
      </c>
      <c r="B1061" t="s">
        <v>28</v>
      </c>
      <c r="C1061" s="5">
        <v>45329</v>
      </c>
      <c r="D1061" s="8">
        <v>45329</v>
      </c>
      <c r="E1061" s="8">
        <f>IF(B1061="Inactive", EDATE(D1061,K1061), "")</f>
        <v>45419</v>
      </c>
      <c r="F1061" t="s">
        <v>12</v>
      </c>
      <c r="G1061">
        <v>18.600000000000001</v>
      </c>
      <c r="H1061" t="str" cm="1">
        <f t="array" ref="H1061">_xlfn.IFS(G1061&gt;=20,"20-25", G1061&gt;=15,"15-20", G1061&gt;=10,"10-15", G1061&gt;=5,"5-10", G1061&gt;=1,"1-5", G1061&lt;1,"Less than 1")</f>
        <v>15-20</v>
      </c>
      <c r="I1061">
        <v>7</v>
      </c>
      <c r="J1061">
        <v>1</v>
      </c>
      <c r="K1061" s="6">
        <v>3</v>
      </c>
      <c r="L1061" s="2">
        <v>1.99</v>
      </c>
      <c r="M1061" s="6">
        <v>50</v>
      </c>
      <c r="N1061" t="str" cm="1">
        <f t="array" ref="N1061">_xlfn.IFS(M1061&gt;=50,"50-60 Days", M1061&gt;=40,"40-50 Days", M1061&gt;=30, "30-40 Days", M1061&gt;=20, "20-30 Days", M1061&gt;=10, "10-20 Days", M1061&gt;=0, "0-10 Days")</f>
        <v>50-60 Days</v>
      </c>
    </row>
    <row r="1062" spans="1:14">
      <c r="A1062">
        <v>1061</v>
      </c>
      <c r="B1062" t="s">
        <v>28</v>
      </c>
      <c r="C1062" s="5">
        <v>45613</v>
      </c>
      <c r="D1062" s="8">
        <v>45613</v>
      </c>
      <c r="E1062" s="8">
        <f>IF(B1062="Inactive", EDATE(D1062,K1062), "")</f>
        <v>45674</v>
      </c>
      <c r="F1062" t="s">
        <v>12</v>
      </c>
      <c r="G1062">
        <v>10.7</v>
      </c>
      <c r="H1062" t="str" cm="1">
        <f t="array" ref="H1062">_xlfn.IFS(G1062&gt;=20,"20-25", G1062&gt;=15,"15-20", G1062&gt;=10,"10-15", G1062&gt;=5,"5-10", G1062&gt;=1,"1-5", G1062&lt;1,"Less than 1")</f>
        <v>10-15</v>
      </c>
      <c r="I1062">
        <v>4</v>
      </c>
      <c r="J1062">
        <v>2</v>
      </c>
      <c r="K1062" s="6">
        <v>2</v>
      </c>
      <c r="L1062" s="2">
        <v>1.99</v>
      </c>
      <c r="M1062" s="6">
        <v>37</v>
      </c>
      <c r="N1062" t="str" cm="1">
        <f t="array" ref="N1062">_xlfn.IFS(M1062&gt;=50,"50-60 Days", M1062&gt;=40,"40-50 Days", M1062&gt;=30, "30-40 Days", M1062&gt;=20, "20-30 Days", M1062&gt;=10, "10-20 Days", M1062&gt;=0, "0-10 Days")</f>
        <v>30-40 Days</v>
      </c>
    </row>
    <row r="1063" spans="1:14">
      <c r="A1063">
        <v>1062</v>
      </c>
      <c r="B1063" t="s">
        <v>28</v>
      </c>
      <c r="C1063" s="5">
        <v>45545</v>
      </c>
      <c r="D1063" s="8">
        <v>45545</v>
      </c>
      <c r="E1063" s="8">
        <f>IF(B1063="Inactive", EDATE(D1063,K1063), "")</f>
        <v>45726</v>
      </c>
      <c r="F1063" t="s">
        <v>14</v>
      </c>
      <c r="G1063">
        <v>8.9</v>
      </c>
      <c r="H1063" t="str" cm="1">
        <f t="array" ref="H1063">_xlfn.IFS(G1063&gt;=20,"20-25", G1063&gt;=15,"15-20", G1063&gt;=10,"10-15", G1063&gt;=5,"5-10", G1063&gt;=1,"1-5", G1063&lt;1,"Less than 1")</f>
        <v>5-10</v>
      </c>
      <c r="I1063">
        <v>2</v>
      </c>
      <c r="J1063">
        <v>1</v>
      </c>
      <c r="K1063" s="6">
        <v>6</v>
      </c>
      <c r="L1063" s="2">
        <v>3.99</v>
      </c>
      <c r="M1063" s="6">
        <v>11</v>
      </c>
      <c r="N1063" t="str" cm="1">
        <f t="array" ref="N1063">_xlfn.IFS(M1063&gt;=50,"50-60 Days", M1063&gt;=40,"40-50 Days", M1063&gt;=30, "30-40 Days", M1063&gt;=20, "20-30 Days", M1063&gt;=10, "10-20 Days", M1063&gt;=0, "0-10 Days")</f>
        <v>10-20 Days</v>
      </c>
    </row>
    <row r="1064" spans="1:14">
      <c r="A1064">
        <v>1063</v>
      </c>
      <c r="B1064" t="s">
        <v>28</v>
      </c>
      <c r="C1064" s="5">
        <v>45102</v>
      </c>
      <c r="D1064" s="8">
        <v>45102</v>
      </c>
      <c r="E1064" s="8">
        <f>IF(B1064="Inactive", EDATE(D1064,K1064), "")</f>
        <v>45194</v>
      </c>
      <c r="F1064" t="s">
        <v>14</v>
      </c>
      <c r="G1064">
        <v>11.1</v>
      </c>
      <c r="H1064" t="str" cm="1">
        <f t="array" ref="H1064">_xlfn.IFS(G1064&gt;=20,"20-25", G1064&gt;=15,"15-20", G1064&gt;=10,"10-15", G1064&gt;=5,"5-10", G1064&gt;=1,"1-5", G1064&lt;1,"Less than 1")</f>
        <v>10-15</v>
      </c>
      <c r="I1064">
        <v>0</v>
      </c>
      <c r="J1064">
        <v>0</v>
      </c>
      <c r="K1064" s="6">
        <v>3</v>
      </c>
      <c r="L1064" s="2">
        <v>3.99</v>
      </c>
      <c r="M1064" s="6">
        <v>25</v>
      </c>
      <c r="N1064" t="str" cm="1">
        <f t="array" ref="N1064">_xlfn.IFS(M1064&gt;=50,"50-60 Days", M1064&gt;=40,"40-50 Days", M1064&gt;=30, "30-40 Days", M1064&gt;=20, "20-30 Days", M1064&gt;=10, "10-20 Days", M1064&gt;=0, "0-10 Days")</f>
        <v>20-30 Days</v>
      </c>
    </row>
    <row r="1065" spans="1:14">
      <c r="A1065">
        <v>1064</v>
      </c>
      <c r="B1065" t="s">
        <v>28</v>
      </c>
      <c r="C1065" s="5">
        <v>45425</v>
      </c>
      <c r="D1065" s="8">
        <v>45425</v>
      </c>
      <c r="E1065" s="8">
        <f>IF(B1065="Inactive", EDATE(D1065,K1065), "")</f>
        <v>45760</v>
      </c>
      <c r="F1065" t="s">
        <v>10</v>
      </c>
      <c r="G1065">
        <v>11.8</v>
      </c>
      <c r="H1065" t="str" cm="1">
        <f t="array" ref="H1065">_xlfn.IFS(G1065&gt;=20,"20-25", G1065&gt;=15,"15-20", G1065&gt;=10,"10-15", G1065&gt;=5,"5-10", G1065&gt;=1,"1-5", G1065&lt;1,"Less than 1")</f>
        <v>10-15</v>
      </c>
      <c r="I1065">
        <v>6</v>
      </c>
      <c r="J1065">
        <v>5</v>
      </c>
      <c r="K1065" s="6">
        <v>11</v>
      </c>
      <c r="L1065" s="2">
        <v>6.99</v>
      </c>
      <c r="M1065" s="6">
        <v>47</v>
      </c>
      <c r="N1065" t="str" cm="1">
        <f t="array" ref="N1065">_xlfn.IFS(M1065&gt;=50,"50-60 Days", M1065&gt;=40,"40-50 Days", M1065&gt;=30, "30-40 Days", M1065&gt;=20, "20-30 Days", M1065&gt;=10, "10-20 Days", M1065&gt;=0, "0-10 Days")</f>
        <v>40-50 Days</v>
      </c>
    </row>
    <row r="1066" spans="1:14">
      <c r="A1066">
        <v>1065</v>
      </c>
      <c r="B1066" t="s">
        <v>28</v>
      </c>
      <c r="C1066" s="5">
        <v>44941</v>
      </c>
      <c r="D1066" s="8">
        <v>44941</v>
      </c>
      <c r="E1066" s="8">
        <f>IF(B1066="Inactive", EDATE(D1066,K1066), "")</f>
        <v>45184</v>
      </c>
      <c r="F1066" t="s">
        <v>14</v>
      </c>
      <c r="G1066">
        <v>17.399999999999999</v>
      </c>
      <c r="H1066" t="str" cm="1">
        <f t="array" ref="H1066">_xlfn.IFS(G1066&gt;=20,"20-25", G1066&gt;=15,"15-20", G1066&gt;=10,"10-15", G1066&gt;=5,"5-10", G1066&gt;=1,"1-5", G1066&lt;1,"Less than 1")</f>
        <v>15-20</v>
      </c>
      <c r="I1066">
        <v>6</v>
      </c>
      <c r="J1066">
        <v>2</v>
      </c>
      <c r="K1066" s="6">
        <v>8</v>
      </c>
      <c r="L1066" s="2">
        <v>3.99</v>
      </c>
      <c r="M1066" s="6">
        <v>5</v>
      </c>
      <c r="N1066" t="str" cm="1">
        <f t="array" ref="N1066">_xlfn.IFS(M1066&gt;=50,"50-60 Days", M1066&gt;=40,"40-50 Days", M1066&gt;=30, "30-40 Days", M1066&gt;=20, "20-30 Days", M1066&gt;=10, "10-20 Days", M1066&gt;=0, "0-10 Days")</f>
        <v>0-10 Days</v>
      </c>
    </row>
    <row r="1067" spans="1:14">
      <c r="A1067">
        <v>1066</v>
      </c>
      <c r="B1067" t="s">
        <v>29</v>
      </c>
      <c r="C1067" s="5">
        <v>45075</v>
      </c>
      <c r="D1067" s="8">
        <v>45075</v>
      </c>
      <c r="E1067" s="8" t="str">
        <f>IF(B1067="Inactive", EDATE(D1067,K1067), "")</f>
        <v/>
      </c>
      <c r="F1067" t="s">
        <v>12</v>
      </c>
      <c r="G1067">
        <v>20.5</v>
      </c>
      <c r="H1067" t="str" cm="1">
        <f t="array" ref="H1067">_xlfn.IFS(G1067&gt;=20,"20-25", G1067&gt;=15,"15-20", G1067&gt;=10,"10-15", G1067&gt;=5,"5-10", G1067&gt;=1,"1-5", G1067&lt;1,"Less than 1")</f>
        <v>20-25</v>
      </c>
      <c r="I1067">
        <v>3</v>
      </c>
      <c r="J1067">
        <v>0</v>
      </c>
      <c r="K1067" s="6">
        <v>3</v>
      </c>
      <c r="L1067" s="2">
        <v>1.99</v>
      </c>
      <c r="M1067" s="6">
        <v>13</v>
      </c>
      <c r="N1067" t="str" cm="1">
        <f t="array" ref="N1067">_xlfn.IFS(M1067&gt;=50,"50-60 Days", M1067&gt;=40,"40-50 Days", M1067&gt;=30, "30-40 Days", M1067&gt;=20, "20-30 Days", M1067&gt;=10, "10-20 Days", M1067&gt;=0, "0-10 Days")</f>
        <v>10-20 Days</v>
      </c>
    </row>
    <row r="1068" spans="1:14">
      <c r="A1068">
        <v>1067</v>
      </c>
      <c r="B1068" t="s">
        <v>29</v>
      </c>
      <c r="C1068" s="5">
        <v>45401</v>
      </c>
      <c r="D1068" s="8">
        <v>45401</v>
      </c>
      <c r="E1068" s="8" t="str">
        <f>IF(B1068="Inactive", EDATE(D1068,K1068), "")</f>
        <v/>
      </c>
      <c r="F1068" t="s">
        <v>10</v>
      </c>
      <c r="G1068">
        <v>11.2</v>
      </c>
      <c r="H1068" t="str" cm="1">
        <f t="array" ref="H1068">_xlfn.IFS(G1068&gt;=20,"20-25", G1068&gt;=15,"15-20", G1068&gt;=10,"10-15", G1068&gt;=5,"5-10", G1068&gt;=1,"1-5", G1068&lt;1,"Less than 1")</f>
        <v>10-15</v>
      </c>
      <c r="I1068">
        <v>8</v>
      </c>
      <c r="J1068">
        <v>1</v>
      </c>
      <c r="K1068" s="6">
        <v>6</v>
      </c>
      <c r="L1068" s="2">
        <v>6.99</v>
      </c>
      <c r="M1068" s="6">
        <v>5</v>
      </c>
      <c r="N1068" t="str" cm="1">
        <f t="array" ref="N1068">_xlfn.IFS(M1068&gt;=50,"50-60 Days", M1068&gt;=40,"40-50 Days", M1068&gt;=30, "30-40 Days", M1068&gt;=20, "20-30 Days", M1068&gt;=10, "10-20 Days", M1068&gt;=0, "0-10 Days")</f>
        <v>0-10 Days</v>
      </c>
    </row>
    <row r="1069" spans="1:14">
      <c r="A1069">
        <v>1068</v>
      </c>
      <c r="B1069" t="s">
        <v>28</v>
      </c>
      <c r="C1069" s="5">
        <v>45646</v>
      </c>
      <c r="D1069" s="8">
        <v>45646</v>
      </c>
      <c r="E1069" s="8">
        <f>IF(B1069="Inactive", EDATE(D1069,K1069), "")</f>
        <v>45981</v>
      </c>
      <c r="F1069" t="s">
        <v>12</v>
      </c>
      <c r="G1069">
        <v>10.8</v>
      </c>
      <c r="H1069" t="str" cm="1">
        <f t="array" ref="H1069">_xlfn.IFS(G1069&gt;=20,"20-25", G1069&gt;=15,"15-20", G1069&gt;=10,"10-15", G1069&gt;=5,"5-10", G1069&gt;=1,"1-5", G1069&lt;1,"Less than 1")</f>
        <v>10-15</v>
      </c>
      <c r="I1069">
        <v>1</v>
      </c>
      <c r="J1069">
        <v>1</v>
      </c>
      <c r="K1069" s="6">
        <v>11</v>
      </c>
      <c r="L1069" s="2">
        <v>1.99</v>
      </c>
      <c r="M1069" s="6">
        <v>57</v>
      </c>
      <c r="N1069" t="str" cm="1">
        <f t="array" ref="N1069">_xlfn.IFS(M1069&gt;=50,"50-60 Days", M1069&gt;=40,"40-50 Days", M1069&gt;=30, "30-40 Days", M1069&gt;=20, "20-30 Days", M1069&gt;=10, "10-20 Days", M1069&gt;=0, "0-10 Days")</f>
        <v>50-60 Days</v>
      </c>
    </row>
    <row r="1070" spans="1:14">
      <c r="A1070">
        <v>1069</v>
      </c>
      <c r="B1070" t="s">
        <v>28</v>
      </c>
      <c r="C1070" s="5">
        <v>45510</v>
      </c>
      <c r="D1070" s="8">
        <v>45510</v>
      </c>
      <c r="E1070" s="8">
        <f>IF(B1070="Inactive", EDATE(D1070,K1070), "")</f>
        <v>45844</v>
      </c>
      <c r="F1070" t="s">
        <v>14</v>
      </c>
      <c r="G1070">
        <v>12.1</v>
      </c>
      <c r="H1070" t="str" cm="1">
        <f t="array" ref="H1070">_xlfn.IFS(G1070&gt;=20,"20-25", G1070&gt;=15,"15-20", G1070&gt;=10,"10-15", G1070&gt;=5,"5-10", G1070&gt;=1,"1-5", G1070&lt;1,"Less than 1")</f>
        <v>10-15</v>
      </c>
      <c r="I1070">
        <v>7</v>
      </c>
      <c r="J1070">
        <v>4</v>
      </c>
      <c r="K1070" s="6">
        <v>11</v>
      </c>
      <c r="L1070" s="2">
        <v>3.99</v>
      </c>
      <c r="M1070" s="6">
        <v>15</v>
      </c>
      <c r="N1070" t="str" cm="1">
        <f t="array" ref="N1070">_xlfn.IFS(M1070&gt;=50,"50-60 Days", M1070&gt;=40,"40-50 Days", M1070&gt;=30, "30-40 Days", M1070&gt;=20, "20-30 Days", M1070&gt;=10, "10-20 Days", M1070&gt;=0, "0-10 Days")</f>
        <v>10-20 Days</v>
      </c>
    </row>
    <row r="1071" spans="1:14">
      <c r="A1071">
        <v>1070</v>
      </c>
      <c r="B1071" t="s">
        <v>29</v>
      </c>
      <c r="C1071" s="5">
        <v>45352</v>
      </c>
      <c r="D1071" s="8">
        <v>45352</v>
      </c>
      <c r="E1071" s="8" t="str">
        <f>IF(B1071="Inactive", EDATE(D1071,K1071), "")</f>
        <v/>
      </c>
      <c r="F1071" t="s">
        <v>14</v>
      </c>
      <c r="G1071">
        <v>8.6999999999999993</v>
      </c>
      <c r="H1071" t="str" cm="1">
        <f t="array" ref="H1071">_xlfn.IFS(G1071&gt;=20,"20-25", G1071&gt;=15,"15-20", G1071&gt;=10,"10-15", G1071&gt;=5,"5-10", G1071&gt;=1,"1-5", G1071&lt;1,"Less than 1")</f>
        <v>5-10</v>
      </c>
      <c r="I1071">
        <v>1</v>
      </c>
      <c r="J1071">
        <v>5</v>
      </c>
      <c r="K1071" s="6">
        <v>2</v>
      </c>
      <c r="L1071" s="2">
        <v>3.99</v>
      </c>
      <c r="M1071" s="6">
        <v>54</v>
      </c>
      <c r="N1071" t="str" cm="1">
        <f t="array" ref="N1071">_xlfn.IFS(M1071&gt;=50,"50-60 Days", M1071&gt;=40,"40-50 Days", M1071&gt;=30, "30-40 Days", M1071&gt;=20, "20-30 Days", M1071&gt;=10, "10-20 Days", M1071&gt;=0, "0-10 Days")</f>
        <v>50-60 Days</v>
      </c>
    </row>
    <row r="1072" spans="1:14">
      <c r="A1072">
        <v>1071</v>
      </c>
      <c r="B1072" t="s">
        <v>28</v>
      </c>
      <c r="C1072" s="5">
        <v>45532</v>
      </c>
      <c r="D1072" s="8">
        <v>45532</v>
      </c>
      <c r="E1072" s="8">
        <f>IF(B1072="Inactive", EDATE(D1072,K1072), "")</f>
        <v>45897</v>
      </c>
      <c r="F1072" t="s">
        <v>14</v>
      </c>
      <c r="G1072">
        <v>25</v>
      </c>
      <c r="H1072" t="str" cm="1">
        <f t="array" ref="H1072">_xlfn.IFS(G1072&gt;=20,"20-25", G1072&gt;=15,"15-20", G1072&gt;=10,"10-15", G1072&gt;=5,"5-10", G1072&gt;=1,"1-5", G1072&lt;1,"Less than 1")</f>
        <v>20-25</v>
      </c>
      <c r="I1072">
        <v>0</v>
      </c>
      <c r="J1072">
        <v>3</v>
      </c>
      <c r="K1072" s="6">
        <v>12</v>
      </c>
      <c r="L1072" s="2">
        <v>3.99</v>
      </c>
      <c r="M1072" s="6">
        <v>25</v>
      </c>
      <c r="N1072" t="str" cm="1">
        <f t="array" ref="N1072">_xlfn.IFS(M1072&gt;=50,"50-60 Days", M1072&gt;=40,"40-50 Days", M1072&gt;=30, "30-40 Days", M1072&gt;=20, "20-30 Days", M1072&gt;=10, "10-20 Days", M1072&gt;=0, "0-10 Days")</f>
        <v>20-30 Days</v>
      </c>
    </row>
    <row r="1073" spans="1:14">
      <c r="A1073">
        <v>1072</v>
      </c>
      <c r="B1073" t="s">
        <v>29</v>
      </c>
      <c r="C1073" s="5">
        <v>45250</v>
      </c>
      <c r="D1073" s="8">
        <v>45250</v>
      </c>
      <c r="E1073" s="8" t="str">
        <f>IF(B1073="Inactive", EDATE(D1073,K1073), "")</f>
        <v/>
      </c>
      <c r="F1073" t="s">
        <v>10</v>
      </c>
      <c r="G1073">
        <v>6.2</v>
      </c>
      <c r="H1073" t="str" cm="1">
        <f t="array" ref="H1073">_xlfn.IFS(G1073&gt;=20,"20-25", G1073&gt;=15,"15-20", G1073&gt;=10,"10-15", G1073&gt;=5,"5-10", G1073&gt;=1,"1-5", G1073&lt;1,"Less than 1")</f>
        <v>5-10</v>
      </c>
      <c r="I1073">
        <v>0</v>
      </c>
      <c r="J1073">
        <v>4</v>
      </c>
      <c r="K1073" s="6">
        <v>11</v>
      </c>
      <c r="L1073" s="2">
        <v>6.99</v>
      </c>
      <c r="M1073" s="6">
        <v>1</v>
      </c>
      <c r="N1073" t="str" cm="1">
        <f t="array" ref="N1073">_xlfn.IFS(M1073&gt;=50,"50-60 Days", M1073&gt;=40,"40-50 Days", M1073&gt;=30, "30-40 Days", M1073&gt;=20, "20-30 Days", M1073&gt;=10, "10-20 Days", M1073&gt;=0, "0-10 Days")</f>
        <v>0-10 Days</v>
      </c>
    </row>
    <row r="1074" spans="1:14">
      <c r="A1074">
        <v>1073</v>
      </c>
      <c r="B1074" t="s">
        <v>28</v>
      </c>
      <c r="C1074" s="5">
        <v>45588</v>
      </c>
      <c r="D1074" s="8">
        <v>45588</v>
      </c>
      <c r="E1074" s="8">
        <f>IF(B1074="Inactive", EDATE(D1074,K1074), "")</f>
        <v>45649</v>
      </c>
      <c r="F1074" t="s">
        <v>10</v>
      </c>
      <c r="G1074">
        <v>7.1</v>
      </c>
      <c r="H1074" t="str" cm="1">
        <f t="array" ref="H1074">_xlfn.IFS(G1074&gt;=20,"20-25", G1074&gt;=15,"15-20", G1074&gt;=10,"10-15", G1074&gt;=5,"5-10", G1074&gt;=1,"1-5", G1074&lt;1,"Less than 1")</f>
        <v>5-10</v>
      </c>
      <c r="I1074">
        <v>6</v>
      </c>
      <c r="J1074">
        <v>3</v>
      </c>
      <c r="K1074" s="6">
        <v>2</v>
      </c>
      <c r="L1074" s="2">
        <v>6.99</v>
      </c>
      <c r="M1074" s="6">
        <v>7</v>
      </c>
      <c r="N1074" t="str" cm="1">
        <f t="array" ref="N1074">_xlfn.IFS(M1074&gt;=50,"50-60 Days", M1074&gt;=40,"40-50 Days", M1074&gt;=30, "30-40 Days", M1074&gt;=20, "20-30 Days", M1074&gt;=10, "10-20 Days", M1074&gt;=0, "0-10 Days")</f>
        <v>0-10 Days</v>
      </c>
    </row>
    <row r="1075" spans="1:14">
      <c r="A1075">
        <v>1074</v>
      </c>
      <c r="B1075" t="s">
        <v>29</v>
      </c>
      <c r="C1075" s="5">
        <v>45407</v>
      </c>
      <c r="D1075" s="8">
        <v>45407</v>
      </c>
      <c r="E1075" s="8" t="str">
        <f>IF(B1075="Inactive", EDATE(D1075,K1075), "")</f>
        <v/>
      </c>
      <c r="F1075" t="s">
        <v>14</v>
      </c>
      <c r="G1075">
        <v>17.600000000000001</v>
      </c>
      <c r="H1075" t="str" cm="1">
        <f t="array" ref="H1075">_xlfn.IFS(G1075&gt;=20,"20-25", G1075&gt;=15,"15-20", G1075&gt;=10,"10-15", G1075&gt;=5,"5-10", G1075&gt;=1,"1-5", G1075&lt;1,"Less than 1")</f>
        <v>15-20</v>
      </c>
      <c r="I1075">
        <v>0</v>
      </c>
      <c r="J1075">
        <v>1</v>
      </c>
      <c r="K1075" s="6">
        <v>10</v>
      </c>
      <c r="L1075" s="2">
        <v>3.99</v>
      </c>
      <c r="M1075" s="6">
        <v>18</v>
      </c>
      <c r="N1075" t="str" cm="1">
        <f t="array" ref="N1075">_xlfn.IFS(M1075&gt;=50,"50-60 Days", M1075&gt;=40,"40-50 Days", M1075&gt;=30, "30-40 Days", M1075&gt;=20, "20-30 Days", M1075&gt;=10, "10-20 Days", M1075&gt;=0, "0-10 Days")</f>
        <v>10-20 Days</v>
      </c>
    </row>
    <row r="1076" spans="1:14">
      <c r="A1076">
        <v>1075</v>
      </c>
      <c r="B1076" t="s">
        <v>29</v>
      </c>
      <c r="C1076" s="5">
        <v>45543</v>
      </c>
      <c r="D1076" s="8">
        <v>45543</v>
      </c>
      <c r="E1076" s="8" t="str">
        <f>IF(B1076="Inactive", EDATE(D1076,K1076), "")</f>
        <v/>
      </c>
      <c r="F1076" t="s">
        <v>14</v>
      </c>
      <c r="G1076">
        <v>6.2</v>
      </c>
      <c r="H1076" t="str" cm="1">
        <f t="array" ref="H1076">_xlfn.IFS(G1076&gt;=20,"20-25", G1076&gt;=15,"15-20", G1076&gt;=10,"10-15", G1076&gt;=5,"5-10", G1076&gt;=1,"1-5", G1076&lt;1,"Less than 1")</f>
        <v>5-10</v>
      </c>
      <c r="I1076">
        <v>3</v>
      </c>
      <c r="J1076">
        <v>4</v>
      </c>
      <c r="K1076" s="6">
        <v>10</v>
      </c>
      <c r="L1076" s="2">
        <v>3.99</v>
      </c>
      <c r="M1076" s="6">
        <v>58</v>
      </c>
      <c r="N1076" t="str" cm="1">
        <f t="array" ref="N1076">_xlfn.IFS(M1076&gt;=50,"50-60 Days", M1076&gt;=40,"40-50 Days", M1076&gt;=30, "30-40 Days", M1076&gt;=20, "20-30 Days", M1076&gt;=10, "10-20 Days", M1076&gt;=0, "0-10 Days")</f>
        <v>50-60 Days</v>
      </c>
    </row>
    <row r="1077" spans="1:14">
      <c r="A1077">
        <v>1076</v>
      </c>
      <c r="B1077" t="s">
        <v>28</v>
      </c>
      <c r="C1077" s="5">
        <v>45353</v>
      </c>
      <c r="D1077" s="8">
        <v>45353</v>
      </c>
      <c r="E1077" s="8">
        <f>IF(B1077="Inactive", EDATE(D1077,K1077), "")</f>
        <v>45659</v>
      </c>
      <c r="F1077" t="s">
        <v>10</v>
      </c>
      <c r="G1077">
        <v>3.7</v>
      </c>
      <c r="H1077" t="str" cm="1">
        <f t="array" ref="H1077">_xlfn.IFS(G1077&gt;=20,"20-25", G1077&gt;=15,"15-20", G1077&gt;=10,"10-15", G1077&gt;=5,"5-10", G1077&gt;=1,"1-5", G1077&lt;1,"Less than 1")</f>
        <v>1-5</v>
      </c>
      <c r="I1077">
        <v>4</v>
      </c>
      <c r="J1077">
        <v>5</v>
      </c>
      <c r="K1077" s="6">
        <v>10</v>
      </c>
      <c r="L1077" s="2">
        <v>6.99</v>
      </c>
      <c r="M1077" s="6">
        <v>45</v>
      </c>
      <c r="N1077" t="str" cm="1">
        <f t="array" ref="N1077">_xlfn.IFS(M1077&gt;=50,"50-60 Days", M1077&gt;=40,"40-50 Days", M1077&gt;=30, "30-40 Days", M1077&gt;=20, "20-30 Days", M1077&gt;=10, "10-20 Days", M1077&gt;=0, "0-10 Days")</f>
        <v>40-50 Days</v>
      </c>
    </row>
    <row r="1078" spans="1:14">
      <c r="A1078">
        <v>1077</v>
      </c>
      <c r="B1078" t="s">
        <v>28</v>
      </c>
      <c r="C1078" s="5">
        <v>45015</v>
      </c>
      <c r="D1078" s="8">
        <v>45015</v>
      </c>
      <c r="E1078" s="8">
        <f>IF(B1078="Inactive", EDATE(D1078,K1078), "")</f>
        <v>45260</v>
      </c>
      <c r="F1078" t="s">
        <v>10</v>
      </c>
      <c r="G1078">
        <v>20</v>
      </c>
      <c r="H1078" t="str" cm="1">
        <f t="array" ref="H1078">_xlfn.IFS(G1078&gt;=20,"20-25", G1078&gt;=15,"15-20", G1078&gt;=10,"10-15", G1078&gt;=5,"5-10", G1078&gt;=1,"1-5", G1078&lt;1,"Less than 1")</f>
        <v>20-25</v>
      </c>
      <c r="I1078">
        <v>2</v>
      </c>
      <c r="J1078">
        <v>4</v>
      </c>
      <c r="K1078" s="6">
        <v>8</v>
      </c>
      <c r="L1078" s="2">
        <v>6.99</v>
      </c>
      <c r="M1078" s="6">
        <v>13</v>
      </c>
      <c r="N1078" t="str" cm="1">
        <f t="array" ref="N1078">_xlfn.IFS(M1078&gt;=50,"50-60 Days", M1078&gt;=40,"40-50 Days", M1078&gt;=30, "30-40 Days", M1078&gt;=20, "20-30 Days", M1078&gt;=10, "10-20 Days", M1078&gt;=0, "0-10 Days")</f>
        <v>10-20 Days</v>
      </c>
    </row>
    <row r="1079" spans="1:14">
      <c r="A1079">
        <v>1078</v>
      </c>
      <c r="B1079" t="s">
        <v>28</v>
      </c>
      <c r="C1079" s="5">
        <v>45352</v>
      </c>
      <c r="D1079" s="8">
        <v>45352</v>
      </c>
      <c r="E1079" s="8">
        <f>IF(B1079="Inactive", EDATE(D1079,K1079), "")</f>
        <v>45689</v>
      </c>
      <c r="F1079" t="s">
        <v>10</v>
      </c>
      <c r="G1079">
        <v>3.7</v>
      </c>
      <c r="H1079" t="str" cm="1">
        <f t="array" ref="H1079">_xlfn.IFS(G1079&gt;=20,"20-25", G1079&gt;=15,"15-20", G1079&gt;=10,"10-15", G1079&gt;=5,"5-10", G1079&gt;=1,"1-5", G1079&lt;1,"Less than 1")</f>
        <v>1-5</v>
      </c>
      <c r="I1079">
        <v>3</v>
      </c>
      <c r="J1079">
        <v>1</v>
      </c>
      <c r="K1079" s="6">
        <v>11</v>
      </c>
      <c r="L1079" s="2">
        <v>6.99</v>
      </c>
      <c r="M1079" s="6">
        <v>38</v>
      </c>
      <c r="N1079" t="str" cm="1">
        <f t="array" ref="N1079">_xlfn.IFS(M1079&gt;=50,"50-60 Days", M1079&gt;=40,"40-50 Days", M1079&gt;=30, "30-40 Days", M1079&gt;=20, "20-30 Days", M1079&gt;=10, "10-20 Days", M1079&gt;=0, "0-10 Days")</f>
        <v>30-40 Days</v>
      </c>
    </row>
    <row r="1080" spans="1:14">
      <c r="A1080">
        <v>1079</v>
      </c>
      <c r="B1080" t="s">
        <v>29</v>
      </c>
      <c r="C1080" s="5">
        <v>45194</v>
      </c>
      <c r="D1080" s="8">
        <v>45194</v>
      </c>
      <c r="E1080" s="8" t="str">
        <f>IF(B1080="Inactive", EDATE(D1080,K1080), "")</f>
        <v/>
      </c>
      <c r="F1080" t="s">
        <v>14</v>
      </c>
      <c r="G1080">
        <v>6.3</v>
      </c>
      <c r="H1080" t="str" cm="1">
        <f t="array" ref="H1080">_xlfn.IFS(G1080&gt;=20,"20-25", G1080&gt;=15,"15-20", G1080&gt;=10,"10-15", G1080&gt;=5,"5-10", G1080&gt;=1,"1-5", G1080&lt;1,"Less than 1")</f>
        <v>5-10</v>
      </c>
      <c r="I1080">
        <v>8</v>
      </c>
      <c r="J1080">
        <v>0</v>
      </c>
      <c r="K1080" s="6">
        <v>7</v>
      </c>
      <c r="L1080" s="2">
        <v>3.99</v>
      </c>
      <c r="M1080" s="6">
        <v>1</v>
      </c>
      <c r="N1080" t="str" cm="1">
        <f t="array" ref="N1080">_xlfn.IFS(M1080&gt;=50,"50-60 Days", M1080&gt;=40,"40-50 Days", M1080&gt;=30, "30-40 Days", M1080&gt;=20, "20-30 Days", M1080&gt;=10, "10-20 Days", M1080&gt;=0, "0-10 Days")</f>
        <v>0-10 Days</v>
      </c>
    </row>
    <row r="1081" spans="1:14">
      <c r="A1081">
        <v>1080</v>
      </c>
      <c r="B1081" t="s">
        <v>28</v>
      </c>
      <c r="C1081" s="5">
        <v>45367</v>
      </c>
      <c r="D1081" s="8">
        <v>45367</v>
      </c>
      <c r="E1081" s="8">
        <f>IF(B1081="Inactive", EDATE(D1081,K1081), "")</f>
        <v>45489</v>
      </c>
      <c r="F1081" t="s">
        <v>14</v>
      </c>
      <c r="G1081">
        <v>4.8</v>
      </c>
      <c r="H1081" t="str" cm="1">
        <f t="array" ref="H1081">_xlfn.IFS(G1081&gt;=20,"20-25", G1081&gt;=15,"15-20", G1081&gt;=10,"10-15", G1081&gt;=5,"5-10", G1081&gt;=1,"1-5", G1081&lt;1,"Less than 1")</f>
        <v>1-5</v>
      </c>
      <c r="I1081">
        <v>8</v>
      </c>
      <c r="J1081">
        <v>0</v>
      </c>
      <c r="K1081" s="6">
        <v>4</v>
      </c>
      <c r="L1081" s="2">
        <v>3.99</v>
      </c>
      <c r="M1081" s="6">
        <v>51</v>
      </c>
      <c r="N1081" t="str" cm="1">
        <f t="array" ref="N1081">_xlfn.IFS(M1081&gt;=50,"50-60 Days", M1081&gt;=40,"40-50 Days", M1081&gt;=30, "30-40 Days", M1081&gt;=20, "20-30 Days", M1081&gt;=10, "10-20 Days", M1081&gt;=0, "0-10 Days")</f>
        <v>50-60 Days</v>
      </c>
    </row>
    <row r="1082" spans="1:14">
      <c r="A1082">
        <v>1081</v>
      </c>
      <c r="B1082" t="s">
        <v>29</v>
      </c>
      <c r="C1082" s="5">
        <v>45290</v>
      </c>
      <c r="D1082" s="8">
        <v>45290</v>
      </c>
      <c r="E1082" s="8" t="str">
        <f>IF(B1082="Inactive", EDATE(D1082,K1082), "")</f>
        <v/>
      </c>
      <c r="F1082" t="s">
        <v>12</v>
      </c>
      <c r="G1082">
        <v>3.5</v>
      </c>
      <c r="H1082" t="str" cm="1">
        <f t="array" ref="H1082">_xlfn.IFS(G1082&gt;=20,"20-25", G1082&gt;=15,"15-20", G1082&gt;=10,"10-15", G1082&gt;=5,"5-10", G1082&gt;=1,"1-5", G1082&lt;1,"Less than 1")</f>
        <v>1-5</v>
      </c>
      <c r="I1082">
        <v>3</v>
      </c>
      <c r="J1082">
        <v>3</v>
      </c>
      <c r="K1082" s="6">
        <v>5</v>
      </c>
      <c r="L1082" s="2">
        <v>1.99</v>
      </c>
      <c r="M1082" s="6">
        <v>16</v>
      </c>
      <c r="N1082" t="str" cm="1">
        <f t="array" ref="N1082">_xlfn.IFS(M1082&gt;=50,"50-60 Days", M1082&gt;=40,"40-50 Days", M1082&gt;=30, "30-40 Days", M1082&gt;=20, "20-30 Days", M1082&gt;=10, "10-20 Days", M1082&gt;=0, "0-10 Days")</f>
        <v>10-20 Days</v>
      </c>
    </row>
    <row r="1083" spans="1:14">
      <c r="A1083">
        <v>1082</v>
      </c>
      <c r="B1083" t="s">
        <v>28</v>
      </c>
      <c r="C1083" s="5">
        <v>45612</v>
      </c>
      <c r="D1083" s="8">
        <v>45612</v>
      </c>
      <c r="E1083" s="8">
        <f>IF(B1083="Inactive", EDATE(D1083,K1083), "")</f>
        <v>45977</v>
      </c>
      <c r="F1083" t="s">
        <v>12</v>
      </c>
      <c r="G1083">
        <v>7.1</v>
      </c>
      <c r="H1083" t="str" cm="1">
        <f t="array" ref="H1083">_xlfn.IFS(G1083&gt;=20,"20-25", G1083&gt;=15,"15-20", G1083&gt;=10,"10-15", G1083&gt;=5,"5-10", G1083&gt;=1,"1-5", G1083&lt;1,"Less than 1")</f>
        <v>5-10</v>
      </c>
      <c r="I1083">
        <v>2</v>
      </c>
      <c r="J1083">
        <v>5</v>
      </c>
      <c r="K1083" s="6">
        <v>12</v>
      </c>
      <c r="L1083" s="2">
        <v>1.99</v>
      </c>
      <c r="M1083" s="6">
        <v>55</v>
      </c>
      <c r="N1083" t="str" cm="1">
        <f t="array" ref="N1083">_xlfn.IFS(M1083&gt;=50,"50-60 Days", M1083&gt;=40,"40-50 Days", M1083&gt;=30, "30-40 Days", M1083&gt;=20, "20-30 Days", M1083&gt;=10, "10-20 Days", M1083&gt;=0, "0-10 Days")</f>
        <v>50-60 Days</v>
      </c>
    </row>
    <row r="1084" spans="1:14">
      <c r="A1084">
        <v>1083</v>
      </c>
      <c r="B1084" t="s">
        <v>29</v>
      </c>
      <c r="C1084" s="5">
        <v>45035</v>
      </c>
      <c r="D1084" s="8">
        <v>45035</v>
      </c>
      <c r="E1084" s="8" t="str">
        <f>IF(B1084="Inactive", EDATE(D1084,K1084), "")</f>
        <v/>
      </c>
      <c r="F1084" t="s">
        <v>12</v>
      </c>
      <c r="G1084">
        <v>23.2</v>
      </c>
      <c r="H1084" t="str" cm="1">
        <f t="array" ref="H1084">_xlfn.IFS(G1084&gt;=20,"20-25", G1084&gt;=15,"15-20", G1084&gt;=10,"10-15", G1084&gt;=5,"5-10", G1084&gt;=1,"1-5", G1084&lt;1,"Less than 1")</f>
        <v>20-25</v>
      </c>
      <c r="I1084">
        <v>7</v>
      </c>
      <c r="J1084">
        <v>3</v>
      </c>
      <c r="K1084" s="6">
        <v>2</v>
      </c>
      <c r="L1084" s="2">
        <v>1.99</v>
      </c>
      <c r="M1084" s="6">
        <v>53</v>
      </c>
      <c r="N1084" t="str" cm="1">
        <f t="array" ref="N1084">_xlfn.IFS(M1084&gt;=50,"50-60 Days", M1084&gt;=40,"40-50 Days", M1084&gt;=30, "30-40 Days", M1084&gt;=20, "20-30 Days", M1084&gt;=10, "10-20 Days", M1084&gt;=0, "0-10 Days")</f>
        <v>50-60 Days</v>
      </c>
    </row>
    <row r="1085" spans="1:14">
      <c r="A1085">
        <v>1084</v>
      </c>
      <c r="B1085" t="s">
        <v>28</v>
      </c>
      <c r="C1085" s="5">
        <v>45047</v>
      </c>
      <c r="D1085" s="8">
        <v>45047</v>
      </c>
      <c r="E1085" s="8">
        <f>IF(B1085="Inactive", EDATE(D1085,K1085), "")</f>
        <v>45139</v>
      </c>
      <c r="F1085" t="s">
        <v>10</v>
      </c>
      <c r="G1085">
        <v>20.7</v>
      </c>
      <c r="H1085" t="str" cm="1">
        <f t="array" ref="H1085">_xlfn.IFS(G1085&gt;=20,"20-25", G1085&gt;=15,"15-20", G1085&gt;=10,"10-15", G1085&gt;=5,"5-10", G1085&gt;=1,"1-5", G1085&lt;1,"Less than 1")</f>
        <v>20-25</v>
      </c>
      <c r="I1085">
        <v>0</v>
      </c>
      <c r="J1085">
        <v>4</v>
      </c>
      <c r="K1085" s="6">
        <v>3</v>
      </c>
      <c r="L1085" s="2">
        <v>6.99</v>
      </c>
      <c r="M1085" s="6">
        <v>6</v>
      </c>
      <c r="N1085" t="str" cm="1">
        <f t="array" ref="N1085">_xlfn.IFS(M1085&gt;=50,"50-60 Days", M1085&gt;=40,"40-50 Days", M1085&gt;=30, "30-40 Days", M1085&gt;=20, "20-30 Days", M1085&gt;=10, "10-20 Days", M1085&gt;=0, "0-10 Days")</f>
        <v>0-10 Days</v>
      </c>
    </row>
    <row r="1086" spans="1:14">
      <c r="A1086">
        <v>1085</v>
      </c>
      <c r="B1086" t="s">
        <v>28</v>
      </c>
      <c r="C1086" s="5">
        <v>45437</v>
      </c>
      <c r="D1086" s="8">
        <v>45437</v>
      </c>
      <c r="E1086" s="8">
        <f>IF(B1086="Inactive", EDATE(D1086,K1086), "")</f>
        <v>45682</v>
      </c>
      <c r="F1086" t="s">
        <v>12</v>
      </c>
      <c r="G1086">
        <v>4.3</v>
      </c>
      <c r="H1086" t="str" cm="1">
        <f t="array" ref="H1086">_xlfn.IFS(G1086&gt;=20,"20-25", G1086&gt;=15,"15-20", G1086&gt;=10,"10-15", G1086&gt;=5,"5-10", G1086&gt;=1,"1-5", G1086&lt;1,"Less than 1")</f>
        <v>1-5</v>
      </c>
      <c r="I1086">
        <v>4</v>
      </c>
      <c r="J1086">
        <v>5</v>
      </c>
      <c r="K1086" s="6">
        <v>8</v>
      </c>
      <c r="L1086" s="2">
        <v>1.99</v>
      </c>
      <c r="M1086" s="6">
        <v>28</v>
      </c>
      <c r="N1086" t="str" cm="1">
        <f t="array" ref="N1086">_xlfn.IFS(M1086&gt;=50,"50-60 Days", M1086&gt;=40,"40-50 Days", M1086&gt;=30, "30-40 Days", M1086&gt;=20, "20-30 Days", M1086&gt;=10, "10-20 Days", M1086&gt;=0, "0-10 Days")</f>
        <v>20-30 Days</v>
      </c>
    </row>
    <row r="1087" spans="1:14">
      <c r="A1087">
        <v>1086</v>
      </c>
      <c r="B1087" t="s">
        <v>28</v>
      </c>
      <c r="C1087" s="5">
        <v>45133</v>
      </c>
      <c r="D1087" s="8">
        <v>45133</v>
      </c>
      <c r="E1087" s="8">
        <f>IF(B1087="Inactive", EDATE(D1087,K1087), "")</f>
        <v>45225</v>
      </c>
      <c r="F1087" t="s">
        <v>10</v>
      </c>
      <c r="G1087">
        <v>4.3</v>
      </c>
      <c r="H1087" t="str" cm="1">
        <f t="array" ref="H1087">_xlfn.IFS(G1087&gt;=20,"20-25", G1087&gt;=15,"15-20", G1087&gt;=10,"10-15", G1087&gt;=5,"5-10", G1087&gt;=1,"1-5", G1087&lt;1,"Less than 1")</f>
        <v>1-5</v>
      </c>
      <c r="I1087">
        <v>5</v>
      </c>
      <c r="J1087">
        <v>2</v>
      </c>
      <c r="K1087" s="6">
        <v>3</v>
      </c>
      <c r="L1087" s="2">
        <v>6.99</v>
      </c>
      <c r="M1087" s="6">
        <v>52</v>
      </c>
      <c r="N1087" t="str" cm="1">
        <f t="array" ref="N1087">_xlfn.IFS(M1087&gt;=50,"50-60 Days", M1087&gt;=40,"40-50 Days", M1087&gt;=30, "30-40 Days", M1087&gt;=20, "20-30 Days", M1087&gt;=10, "10-20 Days", M1087&gt;=0, "0-10 Days")</f>
        <v>50-60 Days</v>
      </c>
    </row>
    <row r="1088" spans="1:14">
      <c r="A1088">
        <v>1087</v>
      </c>
      <c r="B1088" t="s">
        <v>29</v>
      </c>
      <c r="C1088" s="5">
        <v>45276</v>
      </c>
      <c r="D1088" s="8">
        <v>45276</v>
      </c>
      <c r="E1088" s="8" t="str">
        <f>IF(B1088="Inactive", EDATE(D1088,K1088), "")</f>
        <v/>
      </c>
      <c r="F1088" t="s">
        <v>14</v>
      </c>
      <c r="G1088">
        <v>19.3</v>
      </c>
      <c r="H1088" t="str" cm="1">
        <f t="array" ref="H1088">_xlfn.IFS(G1088&gt;=20,"20-25", G1088&gt;=15,"15-20", G1088&gt;=10,"10-15", G1088&gt;=5,"5-10", G1088&gt;=1,"1-5", G1088&lt;1,"Less than 1")</f>
        <v>15-20</v>
      </c>
      <c r="I1088">
        <v>0</v>
      </c>
      <c r="J1088">
        <v>1</v>
      </c>
      <c r="K1088" s="6">
        <v>9</v>
      </c>
      <c r="L1088" s="2">
        <v>3.99</v>
      </c>
      <c r="M1088" s="6">
        <v>53</v>
      </c>
      <c r="N1088" t="str" cm="1">
        <f t="array" ref="N1088">_xlfn.IFS(M1088&gt;=50,"50-60 Days", M1088&gt;=40,"40-50 Days", M1088&gt;=30, "30-40 Days", M1088&gt;=20, "20-30 Days", M1088&gt;=10, "10-20 Days", M1088&gt;=0, "0-10 Days")</f>
        <v>50-60 Days</v>
      </c>
    </row>
    <row r="1089" spans="1:14">
      <c r="A1089">
        <v>1088</v>
      </c>
      <c r="B1089" t="s">
        <v>28</v>
      </c>
      <c r="C1089" s="5">
        <v>45296</v>
      </c>
      <c r="D1089" s="8">
        <v>45296</v>
      </c>
      <c r="E1089" s="8">
        <f>IF(B1089="Inactive", EDATE(D1089,K1089), "")</f>
        <v>45631</v>
      </c>
      <c r="F1089" t="s">
        <v>14</v>
      </c>
      <c r="G1089">
        <v>4.7</v>
      </c>
      <c r="H1089" t="str" cm="1">
        <f t="array" ref="H1089">_xlfn.IFS(G1089&gt;=20,"20-25", G1089&gt;=15,"15-20", G1089&gt;=10,"10-15", G1089&gt;=5,"5-10", G1089&gt;=1,"1-5", G1089&lt;1,"Less than 1")</f>
        <v>1-5</v>
      </c>
      <c r="I1089">
        <v>4</v>
      </c>
      <c r="J1089">
        <v>2</v>
      </c>
      <c r="K1089" s="6">
        <v>11</v>
      </c>
      <c r="L1089" s="2">
        <v>3.99</v>
      </c>
      <c r="M1089" s="6">
        <v>45</v>
      </c>
      <c r="N1089" t="str" cm="1">
        <f t="array" ref="N1089">_xlfn.IFS(M1089&gt;=50,"50-60 Days", M1089&gt;=40,"40-50 Days", M1089&gt;=30, "30-40 Days", M1089&gt;=20, "20-30 Days", M1089&gt;=10, "10-20 Days", M1089&gt;=0, "0-10 Days")</f>
        <v>40-50 Days</v>
      </c>
    </row>
    <row r="1090" spans="1:14">
      <c r="A1090">
        <v>1089</v>
      </c>
      <c r="B1090" t="s">
        <v>28</v>
      </c>
      <c r="C1090" s="5">
        <v>45366</v>
      </c>
      <c r="D1090" s="8">
        <v>45366</v>
      </c>
      <c r="E1090" s="8">
        <f>IF(B1090="Inactive", EDATE(D1090,K1090), "")</f>
        <v>45550</v>
      </c>
      <c r="F1090" t="s">
        <v>10</v>
      </c>
      <c r="G1090">
        <v>4.2</v>
      </c>
      <c r="H1090" t="str" cm="1">
        <f t="array" ref="H1090">_xlfn.IFS(G1090&gt;=20,"20-25", G1090&gt;=15,"15-20", G1090&gt;=10,"10-15", G1090&gt;=5,"5-10", G1090&gt;=1,"1-5", G1090&lt;1,"Less than 1")</f>
        <v>1-5</v>
      </c>
      <c r="I1090">
        <v>8</v>
      </c>
      <c r="J1090">
        <v>3</v>
      </c>
      <c r="K1090" s="6">
        <v>6</v>
      </c>
      <c r="L1090" s="2">
        <v>6.99</v>
      </c>
      <c r="M1090" s="6">
        <v>50</v>
      </c>
      <c r="N1090" t="str" cm="1">
        <f t="array" ref="N1090">_xlfn.IFS(M1090&gt;=50,"50-60 Days", M1090&gt;=40,"40-50 Days", M1090&gt;=30, "30-40 Days", M1090&gt;=20, "20-30 Days", M1090&gt;=10, "10-20 Days", M1090&gt;=0, "0-10 Days")</f>
        <v>50-60 Days</v>
      </c>
    </row>
    <row r="1091" spans="1:14">
      <c r="A1091">
        <v>1090</v>
      </c>
      <c r="B1091" t="s">
        <v>29</v>
      </c>
      <c r="C1091" s="5">
        <v>45380</v>
      </c>
      <c r="D1091" s="8">
        <v>45380</v>
      </c>
      <c r="E1091" s="8" t="str">
        <f>IF(B1091="Inactive", EDATE(D1091,K1091), "")</f>
        <v/>
      </c>
      <c r="F1091" t="s">
        <v>14</v>
      </c>
      <c r="G1091">
        <v>22.5</v>
      </c>
      <c r="H1091" t="str" cm="1">
        <f t="array" ref="H1091">_xlfn.IFS(G1091&gt;=20,"20-25", G1091&gt;=15,"15-20", G1091&gt;=10,"10-15", G1091&gt;=5,"5-10", G1091&gt;=1,"1-5", G1091&lt;1,"Less than 1")</f>
        <v>20-25</v>
      </c>
      <c r="I1091">
        <v>8</v>
      </c>
      <c r="J1091">
        <v>5</v>
      </c>
      <c r="K1091" s="6">
        <v>9</v>
      </c>
      <c r="L1091" s="2">
        <v>3.99</v>
      </c>
      <c r="M1091" s="6">
        <v>23</v>
      </c>
      <c r="N1091" t="str" cm="1">
        <f t="array" ref="N1091">_xlfn.IFS(M1091&gt;=50,"50-60 Days", M1091&gt;=40,"40-50 Days", M1091&gt;=30, "30-40 Days", M1091&gt;=20, "20-30 Days", M1091&gt;=10, "10-20 Days", M1091&gt;=0, "0-10 Days")</f>
        <v>20-30 Days</v>
      </c>
    </row>
    <row r="1092" spans="1:14">
      <c r="A1092">
        <v>1091</v>
      </c>
      <c r="B1092" t="s">
        <v>29</v>
      </c>
      <c r="C1092" s="5">
        <v>45338</v>
      </c>
      <c r="D1092" s="8">
        <v>45338</v>
      </c>
      <c r="E1092" s="8" t="str">
        <f>IF(B1092="Inactive", EDATE(D1092,K1092), "")</f>
        <v/>
      </c>
      <c r="F1092" t="s">
        <v>12</v>
      </c>
      <c r="G1092">
        <v>18.100000000000001</v>
      </c>
      <c r="H1092" t="str" cm="1">
        <f t="array" ref="H1092">_xlfn.IFS(G1092&gt;=20,"20-25", G1092&gt;=15,"15-20", G1092&gt;=10,"10-15", G1092&gt;=5,"5-10", G1092&gt;=1,"1-5", G1092&lt;1,"Less than 1")</f>
        <v>15-20</v>
      </c>
      <c r="I1092">
        <v>8</v>
      </c>
      <c r="J1092">
        <v>0</v>
      </c>
      <c r="K1092" s="6">
        <v>1</v>
      </c>
      <c r="L1092" s="2">
        <v>1.99</v>
      </c>
      <c r="M1092" s="6">
        <v>5</v>
      </c>
      <c r="N1092" t="str" cm="1">
        <f t="array" ref="N1092">_xlfn.IFS(M1092&gt;=50,"50-60 Days", M1092&gt;=40,"40-50 Days", M1092&gt;=30, "30-40 Days", M1092&gt;=20, "20-30 Days", M1092&gt;=10, "10-20 Days", M1092&gt;=0, "0-10 Days")</f>
        <v>0-10 Days</v>
      </c>
    </row>
    <row r="1093" spans="1:14">
      <c r="A1093">
        <v>1092</v>
      </c>
      <c r="B1093" t="s">
        <v>28</v>
      </c>
      <c r="C1093" s="5">
        <v>45515</v>
      </c>
      <c r="D1093" s="8">
        <v>45515</v>
      </c>
      <c r="E1093" s="8">
        <f>IF(B1093="Inactive", EDATE(D1093,K1093), "")</f>
        <v>45819</v>
      </c>
      <c r="F1093" t="s">
        <v>12</v>
      </c>
      <c r="G1093">
        <v>2</v>
      </c>
      <c r="H1093" t="str" cm="1">
        <f t="array" ref="H1093">_xlfn.IFS(G1093&gt;=20,"20-25", G1093&gt;=15,"15-20", G1093&gt;=10,"10-15", G1093&gt;=5,"5-10", G1093&gt;=1,"1-5", G1093&lt;1,"Less than 1")</f>
        <v>1-5</v>
      </c>
      <c r="I1093">
        <v>0</v>
      </c>
      <c r="J1093">
        <v>5</v>
      </c>
      <c r="K1093" s="6">
        <v>10</v>
      </c>
      <c r="L1093" s="2">
        <v>1.99</v>
      </c>
      <c r="M1093" s="6">
        <v>59</v>
      </c>
      <c r="N1093" t="str" cm="1">
        <f t="array" ref="N1093">_xlfn.IFS(M1093&gt;=50,"50-60 Days", M1093&gt;=40,"40-50 Days", M1093&gt;=30, "30-40 Days", M1093&gt;=20, "20-30 Days", M1093&gt;=10, "10-20 Days", M1093&gt;=0, "0-10 Days")</f>
        <v>50-60 Days</v>
      </c>
    </row>
    <row r="1094" spans="1:14">
      <c r="A1094">
        <v>1093</v>
      </c>
      <c r="B1094" t="s">
        <v>28</v>
      </c>
      <c r="C1094" s="5">
        <v>45493</v>
      </c>
      <c r="D1094" s="8">
        <v>45493</v>
      </c>
      <c r="E1094" s="8">
        <f>IF(B1094="Inactive", EDATE(D1094,K1094), "")</f>
        <v>45858</v>
      </c>
      <c r="F1094" t="s">
        <v>12</v>
      </c>
      <c r="G1094">
        <v>24.3</v>
      </c>
      <c r="H1094" t="str" cm="1">
        <f t="array" ref="H1094">_xlfn.IFS(G1094&gt;=20,"20-25", G1094&gt;=15,"15-20", G1094&gt;=10,"10-15", G1094&gt;=5,"5-10", G1094&gt;=1,"1-5", G1094&lt;1,"Less than 1")</f>
        <v>20-25</v>
      </c>
      <c r="I1094">
        <v>6</v>
      </c>
      <c r="J1094">
        <v>3</v>
      </c>
      <c r="K1094" s="6">
        <v>12</v>
      </c>
      <c r="L1094" s="2">
        <v>1.99</v>
      </c>
      <c r="M1094" s="6">
        <v>56</v>
      </c>
      <c r="N1094" t="str" cm="1">
        <f t="array" ref="N1094">_xlfn.IFS(M1094&gt;=50,"50-60 Days", M1094&gt;=40,"40-50 Days", M1094&gt;=30, "30-40 Days", M1094&gt;=20, "20-30 Days", M1094&gt;=10, "10-20 Days", M1094&gt;=0, "0-10 Days")</f>
        <v>50-60 Days</v>
      </c>
    </row>
    <row r="1095" spans="1:14">
      <c r="A1095">
        <v>1094</v>
      </c>
      <c r="B1095" t="s">
        <v>28</v>
      </c>
      <c r="C1095" s="5">
        <v>45077</v>
      </c>
      <c r="D1095" s="8">
        <v>45077</v>
      </c>
      <c r="E1095" s="8">
        <f>IF(B1095="Inactive", EDATE(D1095,K1095), "")</f>
        <v>45291</v>
      </c>
      <c r="F1095" t="s">
        <v>14</v>
      </c>
      <c r="G1095">
        <v>22.8</v>
      </c>
      <c r="H1095" t="str" cm="1">
        <f t="array" ref="H1095">_xlfn.IFS(G1095&gt;=20,"20-25", G1095&gt;=15,"15-20", G1095&gt;=10,"10-15", G1095&gt;=5,"5-10", G1095&gt;=1,"1-5", G1095&lt;1,"Less than 1")</f>
        <v>20-25</v>
      </c>
      <c r="I1095">
        <v>0</v>
      </c>
      <c r="J1095">
        <v>2</v>
      </c>
      <c r="K1095" s="6">
        <v>7</v>
      </c>
      <c r="L1095" s="2">
        <v>3.99</v>
      </c>
      <c r="M1095" s="6">
        <v>57</v>
      </c>
      <c r="N1095" t="str" cm="1">
        <f t="array" ref="N1095">_xlfn.IFS(M1095&gt;=50,"50-60 Days", M1095&gt;=40,"40-50 Days", M1095&gt;=30, "30-40 Days", M1095&gt;=20, "20-30 Days", M1095&gt;=10, "10-20 Days", M1095&gt;=0, "0-10 Days")</f>
        <v>50-60 Days</v>
      </c>
    </row>
    <row r="1096" spans="1:14">
      <c r="A1096">
        <v>1095</v>
      </c>
      <c r="B1096" t="s">
        <v>29</v>
      </c>
      <c r="C1096" s="5">
        <v>45594</v>
      </c>
      <c r="D1096" s="8">
        <v>45594</v>
      </c>
      <c r="E1096" s="8" t="str">
        <f>IF(B1096="Inactive", EDATE(D1096,K1096), "")</f>
        <v/>
      </c>
      <c r="F1096" t="s">
        <v>10</v>
      </c>
      <c r="G1096">
        <v>11.4</v>
      </c>
      <c r="H1096" t="str" cm="1">
        <f t="array" ref="H1096">_xlfn.IFS(G1096&gt;=20,"20-25", G1096&gt;=15,"15-20", G1096&gt;=10,"10-15", G1096&gt;=5,"5-10", G1096&gt;=1,"1-5", G1096&lt;1,"Less than 1")</f>
        <v>10-15</v>
      </c>
      <c r="I1096">
        <v>3</v>
      </c>
      <c r="J1096">
        <v>4</v>
      </c>
      <c r="K1096" s="6">
        <v>9</v>
      </c>
      <c r="L1096" s="2">
        <v>6.99</v>
      </c>
      <c r="M1096" s="6">
        <v>39</v>
      </c>
      <c r="N1096" t="str" cm="1">
        <f t="array" ref="N1096">_xlfn.IFS(M1096&gt;=50,"50-60 Days", M1096&gt;=40,"40-50 Days", M1096&gt;=30, "30-40 Days", M1096&gt;=20, "20-30 Days", M1096&gt;=10, "10-20 Days", M1096&gt;=0, "0-10 Days")</f>
        <v>30-40 Days</v>
      </c>
    </row>
    <row r="1097" spans="1:14">
      <c r="A1097">
        <v>1096</v>
      </c>
      <c r="B1097" t="s">
        <v>28</v>
      </c>
      <c r="C1097" s="5">
        <v>44964</v>
      </c>
      <c r="D1097" s="8">
        <v>44964</v>
      </c>
      <c r="E1097" s="8">
        <f>IF(B1097="Inactive", EDATE(D1097,K1097), "")</f>
        <v>45206</v>
      </c>
      <c r="F1097" t="s">
        <v>14</v>
      </c>
      <c r="G1097">
        <v>22.2</v>
      </c>
      <c r="H1097" t="str" cm="1">
        <f t="array" ref="H1097">_xlfn.IFS(G1097&gt;=20,"20-25", G1097&gt;=15,"15-20", G1097&gt;=10,"10-15", G1097&gt;=5,"5-10", G1097&gt;=1,"1-5", G1097&lt;1,"Less than 1")</f>
        <v>20-25</v>
      </c>
      <c r="I1097">
        <v>6</v>
      </c>
      <c r="J1097">
        <v>1</v>
      </c>
      <c r="K1097" s="6">
        <v>8</v>
      </c>
      <c r="L1097" s="2">
        <v>3.99</v>
      </c>
      <c r="M1097" s="6">
        <v>56</v>
      </c>
      <c r="N1097" t="str" cm="1">
        <f t="array" ref="N1097">_xlfn.IFS(M1097&gt;=50,"50-60 Days", M1097&gt;=40,"40-50 Days", M1097&gt;=30, "30-40 Days", M1097&gt;=20, "20-30 Days", M1097&gt;=10, "10-20 Days", M1097&gt;=0, "0-10 Days")</f>
        <v>50-60 Days</v>
      </c>
    </row>
    <row r="1098" spans="1:14">
      <c r="A1098">
        <v>1097</v>
      </c>
      <c r="B1098" t="s">
        <v>28</v>
      </c>
      <c r="C1098" s="5">
        <v>45022</v>
      </c>
      <c r="D1098" s="8">
        <v>45022</v>
      </c>
      <c r="E1098" s="8">
        <f>IF(B1098="Inactive", EDATE(D1098,K1098), "")</f>
        <v>45266</v>
      </c>
      <c r="F1098" t="s">
        <v>10</v>
      </c>
      <c r="G1098">
        <v>10.1</v>
      </c>
      <c r="H1098" t="str" cm="1">
        <f t="array" ref="H1098">_xlfn.IFS(G1098&gt;=20,"20-25", G1098&gt;=15,"15-20", G1098&gt;=10,"10-15", G1098&gt;=5,"5-10", G1098&gt;=1,"1-5", G1098&lt;1,"Less than 1")</f>
        <v>10-15</v>
      </c>
      <c r="I1098">
        <v>2</v>
      </c>
      <c r="J1098">
        <v>4</v>
      </c>
      <c r="K1098" s="6">
        <v>8</v>
      </c>
      <c r="L1098" s="2">
        <v>6.99</v>
      </c>
      <c r="M1098" s="6">
        <v>34</v>
      </c>
      <c r="N1098" t="str" cm="1">
        <f t="array" ref="N1098">_xlfn.IFS(M1098&gt;=50,"50-60 Days", M1098&gt;=40,"40-50 Days", M1098&gt;=30, "30-40 Days", M1098&gt;=20, "20-30 Days", M1098&gt;=10, "10-20 Days", M1098&gt;=0, "0-10 Days")</f>
        <v>30-40 Days</v>
      </c>
    </row>
    <row r="1099" spans="1:14">
      <c r="A1099">
        <v>1098</v>
      </c>
      <c r="B1099" t="s">
        <v>28</v>
      </c>
      <c r="C1099" s="5">
        <v>45479</v>
      </c>
      <c r="D1099" s="8">
        <v>45479</v>
      </c>
      <c r="E1099" s="8">
        <f>IF(B1099="Inactive", EDATE(D1099,K1099), "")</f>
        <v>45844</v>
      </c>
      <c r="F1099" t="s">
        <v>10</v>
      </c>
      <c r="G1099">
        <v>8.1999999999999993</v>
      </c>
      <c r="H1099" t="str" cm="1">
        <f t="array" ref="H1099">_xlfn.IFS(G1099&gt;=20,"20-25", G1099&gt;=15,"15-20", G1099&gt;=10,"10-15", G1099&gt;=5,"5-10", G1099&gt;=1,"1-5", G1099&lt;1,"Less than 1")</f>
        <v>5-10</v>
      </c>
      <c r="I1099">
        <v>5</v>
      </c>
      <c r="J1099">
        <v>5</v>
      </c>
      <c r="K1099" s="6">
        <v>12</v>
      </c>
      <c r="L1099" s="2">
        <v>6.99</v>
      </c>
      <c r="M1099" s="6">
        <v>10</v>
      </c>
      <c r="N1099" t="str" cm="1">
        <f t="array" ref="N1099">_xlfn.IFS(M1099&gt;=50,"50-60 Days", M1099&gt;=40,"40-50 Days", M1099&gt;=30, "30-40 Days", M1099&gt;=20, "20-30 Days", M1099&gt;=10, "10-20 Days", M1099&gt;=0, "0-10 Days")</f>
        <v>10-20 Days</v>
      </c>
    </row>
    <row r="1100" spans="1:14">
      <c r="A1100">
        <v>1099</v>
      </c>
      <c r="B1100" t="s">
        <v>29</v>
      </c>
      <c r="C1100" s="5">
        <v>45040</v>
      </c>
      <c r="D1100" s="8">
        <v>45040</v>
      </c>
      <c r="E1100" s="8" t="str">
        <f>IF(B1100="Inactive", EDATE(D1100,K1100), "")</f>
        <v/>
      </c>
      <c r="F1100" t="s">
        <v>10</v>
      </c>
      <c r="G1100">
        <v>6.4</v>
      </c>
      <c r="H1100" t="str" cm="1">
        <f t="array" ref="H1100">_xlfn.IFS(G1100&gt;=20,"20-25", G1100&gt;=15,"15-20", G1100&gt;=10,"10-15", G1100&gt;=5,"5-10", G1100&gt;=1,"1-5", G1100&lt;1,"Less than 1")</f>
        <v>5-10</v>
      </c>
      <c r="I1100">
        <v>4</v>
      </c>
      <c r="J1100">
        <v>5</v>
      </c>
      <c r="K1100" s="6">
        <v>6</v>
      </c>
      <c r="L1100" s="2">
        <v>6.99</v>
      </c>
      <c r="M1100" s="6">
        <v>27</v>
      </c>
      <c r="N1100" t="str" cm="1">
        <f t="array" ref="N1100">_xlfn.IFS(M1100&gt;=50,"50-60 Days", M1100&gt;=40,"40-50 Days", M1100&gt;=30, "30-40 Days", M1100&gt;=20, "20-30 Days", M1100&gt;=10, "10-20 Days", M1100&gt;=0, "0-10 Days")</f>
        <v>20-30 Days</v>
      </c>
    </row>
    <row r="1101" spans="1:14">
      <c r="A1101">
        <v>1100</v>
      </c>
      <c r="B1101" t="s">
        <v>28</v>
      </c>
      <c r="C1101" s="5">
        <v>44975</v>
      </c>
      <c r="D1101" s="8">
        <v>44975</v>
      </c>
      <c r="E1101" s="8">
        <f>IF(B1101="Inactive", EDATE(D1101,K1101), "")</f>
        <v>45034</v>
      </c>
      <c r="F1101" t="s">
        <v>10</v>
      </c>
      <c r="G1101">
        <v>21.1</v>
      </c>
      <c r="H1101" t="str" cm="1">
        <f t="array" ref="H1101">_xlfn.IFS(G1101&gt;=20,"20-25", G1101&gt;=15,"15-20", G1101&gt;=10,"10-15", G1101&gt;=5,"5-10", G1101&gt;=1,"1-5", G1101&lt;1,"Less than 1")</f>
        <v>20-25</v>
      </c>
      <c r="I1101">
        <v>4</v>
      </c>
      <c r="J1101">
        <v>5</v>
      </c>
      <c r="K1101" s="6">
        <v>2</v>
      </c>
      <c r="L1101" s="2">
        <v>6.99</v>
      </c>
      <c r="M1101" s="6">
        <v>32</v>
      </c>
      <c r="N1101" t="str" cm="1">
        <f t="array" ref="N1101">_xlfn.IFS(M1101&gt;=50,"50-60 Days", M1101&gt;=40,"40-50 Days", M1101&gt;=30, "30-40 Days", M1101&gt;=20, "20-30 Days", M1101&gt;=10, "10-20 Days", M1101&gt;=0, "0-10 Days")</f>
        <v>30-40 Days</v>
      </c>
    </row>
    <row r="1102" spans="1:14">
      <c r="A1102">
        <v>1101</v>
      </c>
      <c r="B1102" t="s">
        <v>29</v>
      </c>
      <c r="C1102" s="5">
        <v>45522</v>
      </c>
      <c r="D1102" s="8">
        <v>45522</v>
      </c>
      <c r="E1102" s="8" t="str">
        <f>IF(B1102="Inactive", EDATE(D1102,K1102), "")</f>
        <v/>
      </c>
      <c r="F1102" t="s">
        <v>10</v>
      </c>
      <c r="G1102">
        <v>11.5</v>
      </c>
      <c r="H1102" t="str" cm="1">
        <f t="array" ref="H1102">_xlfn.IFS(G1102&gt;=20,"20-25", G1102&gt;=15,"15-20", G1102&gt;=10,"10-15", G1102&gt;=5,"5-10", G1102&gt;=1,"1-5", G1102&lt;1,"Less than 1")</f>
        <v>10-15</v>
      </c>
      <c r="I1102">
        <v>0</v>
      </c>
      <c r="J1102">
        <v>3</v>
      </c>
      <c r="K1102" s="6">
        <v>3</v>
      </c>
      <c r="L1102" s="2">
        <v>6.99</v>
      </c>
      <c r="M1102" s="6">
        <v>21</v>
      </c>
      <c r="N1102" t="str" cm="1">
        <f t="array" ref="N1102">_xlfn.IFS(M1102&gt;=50,"50-60 Days", M1102&gt;=40,"40-50 Days", M1102&gt;=30, "30-40 Days", M1102&gt;=20, "20-30 Days", M1102&gt;=10, "10-20 Days", M1102&gt;=0, "0-10 Days")</f>
        <v>20-30 Days</v>
      </c>
    </row>
    <row r="1103" spans="1:14">
      <c r="A1103">
        <v>1102</v>
      </c>
      <c r="B1103" t="s">
        <v>28</v>
      </c>
      <c r="C1103" s="5">
        <v>45513</v>
      </c>
      <c r="D1103" s="8">
        <v>45513</v>
      </c>
      <c r="E1103" s="8">
        <f>IF(B1103="Inactive", EDATE(D1103,K1103), "")</f>
        <v>45878</v>
      </c>
      <c r="F1103" t="s">
        <v>10</v>
      </c>
      <c r="G1103">
        <v>21.2</v>
      </c>
      <c r="H1103" t="str" cm="1">
        <f t="array" ref="H1103">_xlfn.IFS(G1103&gt;=20,"20-25", G1103&gt;=15,"15-20", G1103&gt;=10,"10-15", G1103&gt;=5,"5-10", G1103&gt;=1,"1-5", G1103&lt;1,"Less than 1")</f>
        <v>20-25</v>
      </c>
      <c r="I1103">
        <v>3</v>
      </c>
      <c r="J1103">
        <v>2</v>
      </c>
      <c r="K1103" s="6">
        <v>12</v>
      </c>
      <c r="L1103" s="2">
        <v>6.99</v>
      </c>
      <c r="M1103" s="6">
        <v>19</v>
      </c>
      <c r="N1103" t="str" cm="1">
        <f t="array" ref="N1103">_xlfn.IFS(M1103&gt;=50,"50-60 Days", M1103&gt;=40,"40-50 Days", M1103&gt;=30, "30-40 Days", M1103&gt;=20, "20-30 Days", M1103&gt;=10, "10-20 Days", M1103&gt;=0, "0-10 Days")</f>
        <v>10-20 Days</v>
      </c>
    </row>
    <row r="1104" spans="1:14">
      <c r="A1104">
        <v>1103</v>
      </c>
      <c r="B1104" t="s">
        <v>28</v>
      </c>
      <c r="C1104" s="5">
        <v>45455</v>
      </c>
      <c r="D1104" s="8">
        <v>45455</v>
      </c>
      <c r="E1104" s="8">
        <f>IF(B1104="Inactive", EDATE(D1104,K1104), "")</f>
        <v>45547</v>
      </c>
      <c r="F1104" t="s">
        <v>10</v>
      </c>
      <c r="G1104">
        <v>18</v>
      </c>
      <c r="H1104" t="str" cm="1">
        <f t="array" ref="H1104">_xlfn.IFS(G1104&gt;=20,"20-25", G1104&gt;=15,"15-20", G1104&gt;=10,"10-15", G1104&gt;=5,"5-10", G1104&gt;=1,"1-5", G1104&lt;1,"Less than 1")</f>
        <v>15-20</v>
      </c>
      <c r="I1104">
        <v>8</v>
      </c>
      <c r="J1104">
        <v>5</v>
      </c>
      <c r="K1104" s="6">
        <v>3</v>
      </c>
      <c r="L1104" s="2">
        <v>6.99</v>
      </c>
      <c r="M1104" s="6">
        <v>15</v>
      </c>
      <c r="N1104" t="str" cm="1">
        <f t="array" ref="N1104">_xlfn.IFS(M1104&gt;=50,"50-60 Days", M1104&gt;=40,"40-50 Days", M1104&gt;=30, "30-40 Days", M1104&gt;=20, "20-30 Days", M1104&gt;=10, "10-20 Days", M1104&gt;=0, "0-10 Days")</f>
        <v>10-20 Days</v>
      </c>
    </row>
    <row r="1105" spans="1:14">
      <c r="A1105">
        <v>1104</v>
      </c>
      <c r="B1105" t="s">
        <v>28</v>
      </c>
      <c r="C1105" s="5">
        <v>45362</v>
      </c>
      <c r="D1105" s="8">
        <v>45362</v>
      </c>
      <c r="E1105" s="8">
        <f>IF(B1105="Inactive", EDATE(D1105,K1105), "")</f>
        <v>45515</v>
      </c>
      <c r="F1105" t="s">
        <v>10</v>
      </c>
      <c r="G1105">
        <v>20.7</v>
      </c>
      <c r="H1105" t="str" cm="1">
        <f t="array" ref="H1105">_xlfn.IFS(G1105&gt;=20,"20-25", G1105&gt;=15,"15-20", G1105&gt;=10,"10-15", G1105&gt;=5,"5-10", G1105&gt;=1,"1-5", G1105&lt;1,"Less than 1")</f>
        <v>20-25</v>
      </c>
      <c r="I1105">
        <v>5</v>
      </c>
      <c r="J1105">
        <v>3</v>
      </c>
      <c r="K1105" s="6">
        <v>5</v>
      </c>
      <c r="L1105" s="2">
        <v>6.99</v>
      </c>
      <c r="M1105" s="6">
        <v>6</v>
      </c>
      <c r="N1105" t="str" cm="1">
        <f t="array" ref="N1105">_xlfn.IFS(M1105&gt;=50,"50-60 Days", M1105&gt;=40,"40-50 Days", M1105&gt;=30, "30-40 Days", M1105&gt;=20, "20-30 Days", M1105&gt;=10, "10-20 Days", M1105&gt;=0, "0-10 Days")</f>
        <v>0-10 Days</v>
      </c>
    </row>
    <row r="1106" spans="1:14">
      <c r="A1106">
        <v>1105</v>
      </c>
      <c r="B1106" t="s">
        <v>28</v>
      </c>
      <c r="C1106" s="5">
        <v>45006</v>
      </c>
      <c r="D1106" s="8">
        <v>45006</v>
      </c>
      <c r="E1106" s="8">
        <f>IF(B1106="Inactive", EDATE(D1106,K1106), "")</f>
        <v>45067</v>
      </c>
      <c r="F1106" t="s">
        <v>14</v>
      </c>
      <c r="G1106">
        <v>2.8</v>
      </c>
      <c r="H1106" t="str" cm="1">
        <f t="array" ref="H1106">_xlfn.IFS(G1106&gt;=20,"20-25", G1106&gt;=15,"15-20", G1106&gt;=10,"10-15", G1106&gt;=5,"5-10", G1106&gt;=1,"1-5", G1106&lt;1,"Less than 1")</f>
        <v>1-5</v>
      </c>
      <c r="I1106">
        <v>6</v>
      </c>
      <c r="J1106">
        <v>1</v>
      </c>
      <c r="K1106" s="6">
        <v>2</v>
      </c>
      <c r="L1106" s="2">
        <v>3.99</v>
      </c>
      <c r="M1106" s="6">
        <v>30</v>
      </c>
      <c r="N1106" t="str" cm="1">
        <f t="array" ref="N1106">_xlfn.IFS(M1106&gt;=50,"50-60 Days", M1106&gt;=40,"40-50 Days", M1106&gt;=30, "30-40 Days", M1106&gt;=20, "20-30 Days", M1106&gt;=10, "10-20 Days", M1106&gt;=0, "0-10 Days")</f>
        <v>30-40 Days</v>
      </c>
    </row>
    <row r="1107" spans="1:14">
      <c r="A1107">
        <v>1106</v>
      </c>
      <c r="B1107" t="s">
        <v>28</v>
      </c>
      <c r="C1107" s="5">
        <v>45197</v>
      </c>
      <c r="D1107" s="8">
        <v>45197</v>
      </c>
      <c r="E1107" s="8">
        <f>IF(B1107="Inactive", EDATE(D1107,K1107), "")</f>
        <v>45563</v>
      </c>
      <c r="F1107" t="s">
        <v>14</v>
      </c>
      <c r="G1107">
        <v>10.4</v>
      </c>
      <c r="H1107" t="str" cm="1">
        <f t="array" ref="H1107">_xlfn.IFS(G1107&gt;=20,"20-25", G1107&gt;=15,"15-20", G1107&gt;=10,"10-15", G1107&gt;=5,"5-10", G1107&gt;=1,"1-5", G1107&lt;1,"Less than 1")</f>
        <v>10-15</v>
      </c>
      <c r="I1107">
        <v>8</v>
      </c>
      <c r="J1107">
        <v>4</v>
      </c>
      <c r="K1107" s="6">
        <v>12</v>
      </c>
      <c r="L1107" s="2">
        <v>3.99</v>
      </c>
      <c r="M1107" s="6">
        <v>49</v>
      </c>
      <c r="N1107" t="str" cm="1">
        <f t="array" ref="N1107">_xlfn.IFS(M1107&gt;=50,"50-60 Days", M1107&gt;=40,"40-50 Days", M1107&gt;=30, "30-40 Days", M1107&gt;=20, "20-30 Days", M1107&gt;=10, "10-20 Days", M1107&gt;=0, "0-10 Days")</f>
        <v>40-50 Days</v>
      </c>
    </row>
    <row r="1108" spans="1:14">
      <c r="A1108">
        <v>1107</v>
      </c>
      <c r="B1108" t="s">
        <v>29</v>
      </c>
      <c r="C1108" s="5">
        <v>45353</v>
      </c>
      <c r="D1108" s="8">
        <v>45353</v>
      </c>
      <c r="E1108" s="8" t="str">
        <f>IF(B1108="Inactive", EDATE(D1108,K1108), "")</f>
        <v/>
      </c>
      <c r="F1108" t="s">
        <v>10</v>
      </c>
      <c r="G1108">
        <v>16.100000000000001</v>
      </c>
      <c r="H1108" t="str" cm="1">
        <f t="array" ref="H1108">_xlfn.IFS(G1108&gt;=20,"20-25", G1108&gt;=15,"15-20", G1108&gt;=10,"10-15", G1108&gt;=5,"5-10", G1108&gt;=1,"1-5", G1108&lt;1,"Less than 1")</f>
        <v>15-20</v>
      </c>
      <c r="I1108">
        <v>7</v>
      </c>
      <c r="J1108">
        <v>5</v>
      </c>
      <c r="K1108" s="6">
        <v>11</v>
      </c>
      <c r="L1108" s="2">
        <v>6.99</v>
      </c>
      <c r="M1108" s="6">
        <v>59</v>
      </c>
      <c r="N1108" t="str" cm="1">
        <f t="array" ref="N1108">_xlfn.IFS(M1108&gt;=50,"50-60 Days", M1108&gt;=40,"40-50 Days", M1108&gt;=30, "30-40 Days", M1108&gt;=20, "20-30 Days", M1108&gt;=10, "10-20 Days", M1108&gt;=0, "0-10 Days")</f>
        <v>50-60 Days</v>
      </c>
    </row>
    <row r="1109" spans="1:14">
      <c r="A1109">
        <v>1108</v>
      </c>
      <c r="B1109" t="s">
        <v>28</v>
      </c>
      <c r="C1109" s="5">
        <v>45648</v>
      </c>
      <c r="D1109" s="8">
        <v>45648</v>
      </c>
      <c r="E1109" s="8">
        <f>IF(B1109="Inactive", EDATE(D1109,K1109), "")</f>
        <v>45769</v>
      </c>
      <c r="F1109" t="s">
        <v>12</v>
      </c>
      <c r="G1109">
        <v>12.9</v>
      </c>
      <c r="H1109" t="str" cm="1">
        <f t="array" ref="H1109">_xlfn.IFS(G1109&gt;=20,"20-25", G1109&gt;=15,"15-20", G1109&gt;=10,"10-15", G1109&gt;=5,"5-10", G1109&gt;=1,"1-5", G1109&lt;1,"Less than 1")</f>
        <v>10-15</v>
      </c>
      <c r="I1109">
        <v>7</v>
      </c>
      <c r="J1109">
        <v>5</v>
      </c>
      <c r="K1109" s="6">
        <v>4</v>
      </c>
      <c r="L1109" s="2">
        <v>1.99</v>
      </c>
      <c r="M1109" s="6">
        <v>29</v>
      </c>
      <c r="N1109" t="str" cm="1">
        <f t="array" ref="N1109">_xlfn.IFS(M1109&gt;=50,"50-60 Days", M1109&gt;=40,"40-50 Days", M1109&gt;=30, "30-40 Days", M1109&gt;=20, "20-30 Days", M1109&gt;=10, "10-20 Days", M1109&gt;=0, "0-10 Days")</f>
        <v>20-30 Days</v>
      </c>
    </row>
    <row r="1110" spans="1:14">
      <c r="A1110">
        <v>1109</v>
      </c>
      <c r="B1110" t="s">
        <v>28</v>
      </c>
      <c r="C1110" s="5">
        <v>45087</v>
      </c>
      <c r="D1110" s="8">
        <v>45087</v>
      </c>
      <c r="E1110" s="8">
        <f>IF(B1110="Inactive", EDATE(D1110,K1110), "")</f>
        <v>45453</v>
      </c>
      <c r="F1110" t="s">
        <v>10</v>
      </c>
      <c r="G1110">
        <v>3.4</v>
      </c>
      <c r="H1110" t="str" cm="1">
        <f t="array" ref="H1110">_xlfn.IFS(G1110&gt;=20,"20-25", G1110&gt;=15,"15-20", G1110&gt;=10,"10-15", G1110&gt;=5,"5-10", G1110&gt;=1,"1-5", G1110&lt;1,"Less than 1")</f>
        <v>1-5</v>
      </c>
      <c r="I1110">
        <v>3</v>
      </c>
      <c r="J1110">
        <v>3</v>
      </c>
      <c r="K1110" s="6">
        <v>12</v>
      </c>
      <c r="L1110" s="2">
        <v>6.99</v>
      </c>
      <c r="M1110" s="6">
        <v>30</v>
      </c>
      <c r="N1110" t="str" cm="1">
        <f t="array" ref="N1110">_xlfn.IFS(M1110&gt;=50,"50-60 Days", M1110&gt;=40,"40-50 Days", M1110&gt;=30, "30-40 Days", M1110&gt;=20, "20-30 Days", M1110&gt;=10, "10-20 Days", M1110&gt;=0, "0-10 Days")</f>
        <v>30-40 Days</v>
      </c>
    </row>
    <row r="1111" spans="1:14">
      <c r="A1111">
        <v>1110</v>
      </c>
      <c r="B1111" t="s">
        <v>28</v>
      </c>
      <c r="C1111" s="5">
        <v>45050</v>
      </c>
      <c r="D1111" s="8">
        <v>45050</v>
      </c>
      <c r="E1111" s="8">
        <f>IF(B1111="Inactive", EDATE(D1111,K1111), "")</f>
        <v>45295</v>
      </c>
      <c r="F1111" t="s">
        <v>10</v>
      </c>
      <c r="G1111">
        <v>23.1</v>
      </c>
      <c r="H1111" t="str" cm="1">
        <f t="array" ref="H1111">_xlfn.IFS(G1111&gt;=20,"20-25", G1111&gt;=15,"15-20", G1111&gt;=10,"10-15", G1111&gt;=5,"5-10", G1111&gt;=1,"1-5", G1111&lt;1,"Less than 1")</f>
        <v>20-25</v>
      </c>
      <c r="I1111">
        <v>1</v>
      </c>
      <c r="J1111">
        <v>4</v>
      </c>
      <c r="K1111" s="6">
        <v>8</v>
      </c>
      <c r="L1111" s="2">
        <v>6.99</v>
      </c>
      <c r="M1111" s="6">
        <v>54</v>
      </c>
      <c r="N1111" t="str" cm="1">
        <f t="array" ref="N1111">_xlfn.IFS(M1111&gt;=50,"50-60 Days", M1111&gt;=40,"40-50 Days", M1111&gt;=30, "30-40 Days", M1111&gt;=20, "20-30 Days", M1111&gt;=10, "10-20 Days", M1111&gt;=0, "0-10 Days")</f>
        <v>50-60 Days</v>
      </c>
    </row>
    <row r="1112" spans="1:14">
      <c r="A1112">
        <v>1111</v>
      </c>
      <c r="B1112" t="s">
        <v>28</v>
      </c>
      <c r="C1112" s="5">
        <v>45310</v>
      </c>
      <c r="D1112" s="8">
        <v>45310</v>
      </c>
      <c r="E1112" s="8">
        <f>IF(B1112="Inactive", EDATE(D1112,K1112), "")</f>
        <v>45523</v>
      </c>
      <c r="F1112" t="s">
        <v>14</v>
      </c>
      <c r="G1112">
        <v>1.5</v>
      </c>
      <c r="H1112" t="str" cm="1">
        <f t="array" ref="H1112">_xlfn.IFS(G1112&gt;=20,"20-25", G1112&gt;=15,"15-20", G1112&gt;=10,"10-15", G1112&gt;=5,"5-10", G1112&gt;=1,"1-5", G1112&lt;1,"Less than 1")</f>
        <v>1-5</v>
      </c>
      <c r="I1112">
        <v>2</v>
      </c>
      <c r="J1112">
        <v>0</v>
      </c>
      <c r="K1112" s="6">
        <v>7</v>
      </c>
      <c r="L1112" s="2">
        <v>3.99</v>
      </c>
      <c r="M1112" s="6">
        <v>23</v>
      </c>
      <c r="N1112" t="str" cm="1">
        <f t="array" ref="N1112">_xlfn.IFS(M1112&gt;=50,"50-60 Days", M1112&gt;=40,"40-50 Days", M1112&gt;=30, "30-40 Days", M1112&gt;=20, "20-30 Days", M1112&gt;=10, "10-20 Days", M1112&gt;=0, "0-10 Days")</f>
        <v>20-30 Days</v>
      </c>
    </row>
    <row r="1113" spans="1:14">
      <c r="A1113">
        <v>1112</v>
      </c>
      <c r="B1113" t="s">
        <v>29</v>
      </c>
      <c r="C1113" s="5">
        <v>44976</v>
      </c>
      <c r="D1113" s="8">
        <v>44976</v>
      </c>
      <c r="E1113" s="8" t="str">
        <f>IF(B1113="Inactive", EDATE(D1113,K1113), "")</f>
        <v/>
      </c>
      <c r="F1113" t="s">
        <v>14</v>
      </c>
      <c r="G1113">
        <v>12.4</v>
      </c>
      <c r="H1113" t="str" cm="1">
        <f t="array" ref="H1113">_xlfn.IFS(G1113&gt;=20,"20-25", G1113&gt;=15,"15-20", G1113&gt;=10,"10-15", G1113&gt;=5,"5-10", G1113&gt;=1,"1-5", G1113&lt;1,"Less than 1")</f>
        <v>10-15</v>
      </c>
      <c r="I1113">
        <v>2</v>
      </c>
      <c r="J1113">
        <v>1</v>
      </c>
      <c r="K1113" s="6">
        <v>7</v>
      </c>
      <c r="L1113" s="2">
        <v>3.99</v>
      </c>
      <c r="M1113" s="6">
        <v>50</v>
      </c>
      <c r="N1113" t="str" cm="1">
        <f t="array" ref="N1113">_xlfn.IFS(M1113&gt;=50,"50-60 Days", M1113&gt;=40,"40-50 Days", M1113&gt;=30, "30-40 Days", M1113&gt;=20, "20-30 Days", M1113&gt;=10, "10-20 Days", M1113&gt;=0, "0-10 Days")</f>
        <v>50-60 Days</v>
      </c>
    </row>
    <row r="1114" spans="1:14">
      <c r="A1114">
        <v>1113</v>
      </c>
      <c r="B1114" t="s">
        <v>29</v>
      </c>
      <c r="C1114" s="5">
        <v>44996</v>
      </c>
      <c r="D1114" s="8">
        <v>44996</v>
      </c>
      <c r="E1114" s="8" t="str">
        <f>IF(B1114="Inactive", EDATE(D1114,K1114), "")</f>
        <v/>
      </c>
      <c r="F1114" t="s">
        <v>14</v>
      </c>
      <c r="G1114">
        <v>5.8</v>
      </c>
      <c r="H1114" t="str" cm="1">
        <f t="array" ref="H1114">_xlfn.IFS(G1114&gt;=20,"20-25", G1114&gt;=15,"15-20", G1114&gt;=10,"10-15", G1114&gt;=5,"5-10", G1114&gt;=1,"1-5", G1114&lt;1,"Less than 1")</f>
        <v>5-10</v>
      </c>
      <c r="I1114">
        <v>7</v>
      </c>
      <c r="J1114">
        <v>0</v>
      </c>
      <c r="K1114" s="6">
        <v>7</v>
      </c>
      <c r="L1114" s="2">
        <v>3.99</v>
      </c>
      <c r="M1114" s="6">
        <v>7</v>
      </c>
      <c r="N1114" t="str" cm="1">
        <f t="array" ref="N1114">_xlfn.IFS(M1114&gt;=50,"50-60 Days", M1114&gt;=40,"40-50 Days", M1114&gt;=30, "30-40 Days", M1114&gt;=20, "20-30 Days", M1114&gt;=10, "10-20 Days", M1114&gt;=0, "0-10 Days")</f>
        <v>0-10 Days</v>
      </c>
    </row>
    <row r="1115" spans="1:14">
      <c r="A1115">
        <v>1114</v>
      </c>
      <c r="B1115" t="s">
        <v>29</v>
      </c>
      <c r="C1115" s="5">
        <v>45313</v>
      </c>
      <c r="D1115" s="8">
        <v>45313</v>
      </c>
      <c r="E1115" s="8" t="str">
        <f>IF(B1115="Inactive", EDATE(D1115,K1115), "")</f>
        <v/>
      </c>
      <c r="F1115" t="s">
        <v>12</v>
      </c>
      <c r="G1115">
        <v>12.3</v>
      </c>
      <c r="H1115" t="str" cm="1">
        <f t="array" ref="H1115">_xlfn.IFS(G1115&gt;=20,"20-25", G1115&gt;=15,"15-20", G1115&gt;=10,"10-15", G1115&gt;=5,"5-10", G1115&gt;=1,"1-5", G1115&lt;1,"Less than 1")</f>
        <v>10-15</v>
      </c>
      <c r="I1115">
        <v>4</v>
      </c>
      <c r="J1115">
        <v>4</v>
      </c>
      <c r="K1115" s="6">
        <v>9</v>
      </c>
      <c r="L1115" s="2">
        <v>1.99</v>
      </c>
      <c r="M1115" s="6">
        <v>28</v>
      </c>
      <c r="N1115" t="str" cm="1">
        <f t="array" ref="N1115">_xlfn.IFS(M1115&gt;=50,"50-60 Days", M1115&gt;=40,"40-50 Days", M1115&gt;=30, "30-40 Days", M1115&gt;=20, "20-30 Days", M1115&gt;=10, "10-20 Days", M1115&gt;=0, "0-10 Days")</f>
        <v>20-30 Days</v>
      </c>
    </row>
    <row r="1116" spans="1:14">
      <c r="A1116">
        <v>1115</v>
      </c>
      <c r="B1116" t="s">
        <v>29</v>
      </c>
      <c r="C1116" s="5">
        <v>45610</v>
      </c>
      <c r="D1116" s="8">
        <v>45610</v>
      </c>
      <c r="E1116" s="8" t="str">
        <f>IF(B1116="Inactive", EDATE(D1116,K1116), "")</f>
        <v/>
      </c>
      <c r="F1116" t="s">
        <v>14</v>
      </c>
      <c r="G1116">
        <v>19.2</v>
      </c>
      <c r="H1116" t="str" cm="1">
        <f t="array" ref="H1116">_xlfn.IFS(G1116&gt;=20,"20-25", G1116&gt;=15,"15-20", G1116&gt;=10,"10-15", G1116&gt;=5,"5-10", G1116&gt;=1,"1-5", G1116&lt;1,"Less than 1")</f>
        <v>15-20</v>
      </c>
      <c r="I1116">
        <v>8</v>
      </c>
      <c r="J1116">
        <v>5</v>
      </c>
      <c r="K1116" s="6">
        <v>3</v>
      </c>
      <c r="L1116" s="2">
        <v>3.99</v>
      </c>
      <c r="M1116" s="6">
        <v>29</v>
      </c>
      <c r="N1116" t="str" cm="1">
        <f t="array" ref="N1116">_xlfn.IFS(M1116&gt;=50,"50-60 Days", M1116&gt;=40,"40-50 Days", M1116&gt;=30, "30-40 Days", M1116&gt;=20, "20-30 Days", M1116&gt;=10, "10-20 Days", M1116&gt;=0, "0-10 Days")</f>
        <v>20-30 Days</v>
      </c>
    </row>
    <row r="1117" spans="1:14">
      <c r="A1117">
        <v>1116</v>
      </c>
      <c r="B1117" t="s">
        <v>29</v>
      </c>
      <c r="C1117" s="5">
        <v>45565</v>
      </c>
      <c r="D1117" s="8">
        <v>45565</v>
      </c>
      <c r="E1117" s="8" t="str">
        <f>IF(B1117="Inactive", EDATE(D1117,K1117), "")</f>
        <v/>
      </c>
      <c r="F1117" t="s">
        <v>14</v>
      </c>
      <c r="G1117">
        <v>21.7</v>
      </c>
      <c r="H1117" t="str" cm="1">
        <f t="array" ref="H1117">_xlfn.IFS(G1117&gt;=20,"20-25", G1117&gt;=15,"15-20", G1117&gt;=10,"10-15", G1117&gt;=5,"5-10", G1117&gt;=1,"1-5", G1117&lt;1,"Less than 1")</f>
        <v>20-25</v>
      </c>
      <c r="I1117">
        <v>5</v>
      </c>
      <c r="J1117">
        <v>0</v>
      </c>
      <c r="K1117" s="6">
        <v>4</v>
      </c>
      <c r="L1117" s="2">
        <v>3.99</v>
      </c>
      <c r="M1117" s="6">
        <v>51</v>
      </c>
      <c r="N1117" t="str" cm="1">
        <f t="array" ref="N1117">_xlfn.IFS(M1117&gt;=50,"50-60 Days", M1117&gt;=40,"40-50 Days", M1117&gt;=30, "30-40 Days", M1117&gt;=20, "20-30 Days", M1117&gt;=10, "10-20 Days", M1117&gt;=0, "0-10 Days")</f>
        <v>50-60 Days</v>
      </c>
    </row>
    <row r="1118" spans="1:14">
      <c r="A1118">
        <v>1117</v>
      </c>
      <c r="B1118" t="s">
        <v>28</v>
      </c>
      <c r="C1118" s="5">
        <v>45613</v>
      </c>
      <c r="D1118" s="8">
        <v>45613</v>
      </c>
      <c r="E1118" s="8">
        <f>IF(B1118="Inactive", EDATE(D1118,K1118), "")</f>
        <v>45886</v>
      </c>
      <c r="F1118" t="s">
        <v>14</v>
      </c>
      <c r="G1118">
        <v>6.2</v>
      </c>
      <c r="H1118" t="str" cm="1">
        <f t="array" ref="H1118">_xlfn.IFS(G1118&gt;=20,"20-25", G1118&gt;=15,"15-20", G1118&gt;=10,"10-15", G1118&gt;=5,"5-10", G1118&gt;=1,"1-5", G1118&lt;1,"Less than 1")</f>
        <v>5-10</v>
      </c>
      <c r="I1118">
        <v>6</v>
      </c>
      <c r="J1118">
        <v>2</v>
      </c>
      <c r="K1118" s="6">
        <v>9</v>
      </c>
      <c r="L1118" s="2">
        <v>3.99</v>
      </c>
      <c r="M1118" s="6">
        <v>34</v>
      </c>
      <c r="N1118" t="str" cm="1">
        <f t="array" ref="N1118">_xlfn.IFS(M1118&gt;=50,"50-60 Days", M1118&gt;=40,"40-50 Days", M1118&gt;=30, "30-40 Days", M1118&gt;=20, "20-30 Days", M1118&gt;=10, "10-20 Days", M1118&gt;=0, "0-10 Days")</f>
        <v>30-40 Days</v>
      </c>
    </row>
    <row r="1119" spans="1:14">
      <c r="A1119">
        <v>1118</v>
      </c>
      <c r="B1119" t="s">
        <v>29</v>
      </c>
      <c r="C1119" s="5">
        <v>45651</v>
      </c>
      <c r="D1119" s="8">
        <v>45651</v>
      </c>
      <c r="E1119" s="8" t="str">
        <f>IF(B1119="Inactive", EDATE(D1119,K1119), "")</f>
        <v/>
      </c>
      <c r="F1119" t="s">
        <v>14</v>
      </c>
      <c r="G1119">
        <v>16.3</v>
      </c>
      <c r="H1119" t="str" cm="1">
        <f t="array" ref="H1119">_xlfn.IFS(G1119&gt;=20,"20-25", G1119&gt;=15,"15-20", G1119&gt;=10,"10-15", G1119&gt;=5,"5-10", G1119&gt;=1,"1-5", G1119&lt;1,"Less than 1")</f>
        <v>15-20</v>
      </c>
      <c r="I1119">
        <v>2</v>
      </c>
      <c r="J1119">
        <v>5</v>
      </c>
      <c r="K1119" s="6">
        <v>6</v>
      </c>
      <c r="L1119" s="2">
        <v>3.99</v>
      </c>
      <c r="M1119" s="6">
        <v>1</v>
      </c>
      <c r="N1119" t="str" cm="1">
        <f t="array" ref="N1119">_xlfn.IFS(M1119&gt;=50,"50-60 Days", M1119&gt;=40,"40-50 Days", M1119&gt;=30, "30-40 Days", M1119&gt;=20, "20-30 Days", M1119&gt;=10, "10-20 Days", M1119&gt;=0, "0-10 Days")</f>
        <v>0-10 Days</v>
      </c>
    </row>
    <row r="1120" spans="1:14">
      <c r="A1120">
        <v>1119</v>
      </c>
      <c r="B1120" t="s">
        <v>29</v>
      </c>
      <c r="C1120" s="5">
        <v>45481</v>
      </c>
      <c r="D1120" s="8">
        <v>45481</v>
      </c>
      <c r="E1120" s="8" t="str">
        <f>IF(B1120="Inactive", EDATE(D1120,K1120), "")</f>
        <v/>
      </c>
      <c r="F1120" t="s">
        <v>14</v>
      </c>
      <c r="G1120">
        <v>16.3</v>
      </c>
      <c r="H1120" t="str" cm="1">
        <f t="array" ref="H1120">_xlfn.IFS(G1120&gt;=20,"20-25", G1120&gt;=15,"15-20", G1120&gt;=10,"10-15", G1120&gt;=5,"5-10", G1120&gt;=1,"1-5", G1120&lt;1,"Less than 1")</f>
        <v>15-20</v>
      </c>
      <c r="I1120">
        <v>8</v>
      </c>
      <c r="J1120">
        <v>0</v>
      </c>
      <c r="K1120" s="6">
        <v>12</v>
      </c>
      <c r="L1120" s="2">
        <v>3.99</v>
      </c>
      <c r="M1120" s="6">
        <v>12</v>
      </c>
      <c r="N1120" t="str" cm="1">
        <f t="array" ref="N1120">_xlfn.IFS(M1120&gt;=50,"50-60 Days", M1120&gt;=40,"40-50 Days", M1120&gt;=30, "30-40 Days", M1120&gt;=20, "20-30 Days", M1120&gt;=10, "10-20 Days", M1120&gt;=0, "0-10 Days")</f>
        <v>10-20 Days</v>
      </c>
    </row>
    <row r="1121" spans="1:14">
      <c r="A1121">
        <v>1120</v>
      </c>
      <c r="B1121" t="s">
        <v>28</v>
      </c>
      <c r="C1121" s="5">
        <v>44946</v>
      </c>
      <c r="D1121" s="8">
        <v>44946</v>
      </c>
      <c r="E1121" s="8">
        <f>IF(B1121="Inactive", EDATE(D1121,K1121), "")</f>
        <v>45005</v>
      </c>
      <c r="F1121" t="s">
        <v>10</v>
      </c>
      <c r="G1121">
        <v>24</v>
      </c>
      <c r="H1121" t="str" cm="1">
        <f t="array" ref="H1121">_xlfn.IFS(G1121&gt;=20,"20-25", G1121&gt;=15,"15-20", G1121&gt;=10,"10-15", G1121&gt;=5,"5-10", G1121&gt;=1,"1-5", G1121&lt;1,"Less than 1")</f>
        <v>20-25</v>
      </c>
      <c r="I1121">
        <v>8</v>
      </c>
      <c r="J1121">
        <v>1</v>
      </c>
      <c r="K1121" s="6">
        <v>2</v>
      </c>
      <c r="L1121" s="2">
        <v>6.99</v>
      </c>
      <c r="M1121" s="6">
        <v>48</v>
      </c>
      <c r="N1121" t="str" cm="1">
        <f t="array" ref="N1121">_xlfn.IFS(M1121&gt;=50,"50-60 Days", M1121&gt;=40,"40-50 Days", M1121&gt;=30, "30-40 Days", M1121&gt;=20, "20-30 Days", M1121&gt;=10, "10-20 Days", M1121&gt;=0, "0-10 Days")</f>
        <v>40-50 Days</v>
      </c>
    </row>
    <row r="1122" spans="1:14">
      <c r="A1122">
        <v>1121</v>
      </c>
      <c r="B1122" t="s">
        <v>28</v>
      </c>
      <c r="C1122" s="5">
        <v>45649</v>
      </c>
      <c r="D1122" s="8">
        <v>45649</v>
      </c>
      <c r="E1122" s="8">
        <f>IF(B1122="Inactive", EDATE(D1122,K1122), "")</f>
        <v>46014</v>
      </c>
      <c r="F1122" t="s">
        <v>12</v>
      </c>
      <c r="G1122">
        <v>4.9000000000000004</v>
      </c>
      <c r="H1122" t="str" cm="1">
        <f t="array" ref="H1122">_xlfn.IFS(G1122&gt;=20,"20-25", G1122&gt;=15,"15-20", G1122&gt;=10,"10-15", G1122&gt;=5,"5-10", G1122&gt;=1,"1-5", G1122&lt;1,"Less than 1")</f>
        <v>1-5</v>
      </c>
      <c r="I1122">
        <v>0</v>
      </c>
      <c r="J1122">
        <v>2</v>
      </c>
      <c r="K1122" s="6">
        <v>12</v>
      </c>
      <c r="L1122" s="2">
        <v>1.99</v>
      </c>
      <c r="M1122" s="6">
        <v>50</v>
      </c>
      <c r="N1122" t="str" cm="1">
        <f t="array" ref="N1122">_xlfn.IFS(M1122&gt;=50,"50-60 Days", M1122&gt;=40,"40-50 Days", M1122&gt;=30, "30-40 Days", M1122&gt;=20, "20-30 Days", M1122&gt;=10, "10-20 Days", M1122&gt;=0, "0-10 Days")</f>
        <v>50-60 Days</v>
      </c>
    </row>
    <row r="1123" spans="1:14">
      <c r="A1123">
        <v>1122</v>
      </c>
      <c r="B1123" t="s">
        <v>28</v>
      </c>
      <c r="C1123" s="5">
        <v>44973</v>
      </c>
      <c r="D1123" s="8">
        <v>44973</v>
      </c>
      <c r="E1123" s="8">
        <f>IF(B1123="Inactive", EDATE(D1123,K1123), "")</f>
        <v>45276</v>
      </c>
      <c r="F1123" t="s">
        <v>10</v>
      </c>
      <c r="G1123">
        <v>2.6</v>
      </c>
      <c r="H1123" t="str" cm="1">
        <f t="array" ref="H1123">_xlfn.IFS(G1123&gt;=20,"20-25", G1123&gt;=15,"15-20", G1123&gt;=10,"10-15", G1123&gt;=5,"5-10", G1123&gt;=1,"1-5", G1123&lt;1,"Less than 1")</f>
        <v>1-5</v>
      </c>
      <c r="I1123">
        <v>8</v>
      </c>
      <c r="J1123">
        <v>4</v>
      </c>
      <c r="K1123" s="6">
        <v>10</v>
      </c>
      <c r="L1123" s="2">
        <v>6.99</v>
      </c>
      <c r="M1123" s="6">
        <v>20</v>
      </c>
      <c r="N1123" t="str" cm="1">
        <f t="array" ref="N1123">_xlfn.IFS(M1123&gt;=50,"50-60 Days", M1123&gt;=40,"40-50 Days", M1123&gt;=30, "30-40 Days", M1123&gt;=20, "20-30 Days", M1123&gt;=10, "10-20 Days", M1123&gt;=0, "0-10 Days")</f>
        <v>20-30 Days</v>
      </c>
    </row>
    <row r="1124" spans="1:14">
      <c r="A1124">
        <v>1123</v>
      </c>
      <c r="B1124" t="s">
        <v>29</v>
      </c>
      <c r="C1124" s="5">
        <v>45251</v>
      </c>
      <c r="D1124" s="8">
        <v>45251</v>
      </c>
      <c r="E1124" s="8" t="str">
        <f>IF(B1124="Inactive", EDATE(D1124,K1124), "")</f>
        <v/>
      </c>
      <c r="F1124" t="s">
        <v>14</v>
      </c>
      <c r="G1124">
        <v>8.8000000000000007</v>
      </c>
      <c r="H1124" t="str" cm="1">
        <f t="array" ref="H1124">_xlfn.IFS(G1124&gt;=20,"20-25", G1124&gt;=15,"15-20", G1124&gt;=10,"10-15", G1124&gt;=5,"5-10", G1124&gt;=1,"1-5", G1124&lt;1,"Less than 1")</f>
        <v>5-10</v>
      </c>
      <c r="I1124">
        <v>2</v>
      </c>
      <c r="J1124">
        <v>3</v>
      </c>
      <c r="K1124" s="6">
        <v>1</v>
      </c>
      <c r="L1124" s="2">
        <v>3.99</v>
      </c>
      <c r="M1124" s="6">
        <v>1</v>
      </c>
      <c r="N1124" t="str" cm="1">
        <f t="array" ref="N1124">_xlfn.IFS(M1124&gt;=50,"50-60 Days", M1124&gt;=40,"40-50 Days", M1124&gt;=30, "30-40 Days", M1124&gt;=20, "20-30 Days", M1124&gt;=10, "10-20 Days", M1124&gt;=0, "0-10 Days")</f>
        <v>0-10 Days</v>
      </c>
    </row>
    <row r="1125" spans="1:14">
      <c r="A1125">
        <v>1124</v>
      </c>
      <c r="B1125" t="s">
        <v>28</v>
      </c>
      <c r="C1125" s="5">
        <v>45114</v>
      </c>
      <c r="D1125" s="8">
        <v>45114</v>
      </c>
      <c r="E1125" s="8">
        <f>IF(B1125="Inactive", EDATE(D1125,K1125), "")</f>
        <v>45298</v>
      </c>
      <c r="F1125" t="s">
        <v>14</v>
      </c>
      <c r="G1125">
        <v>2.7</v>
      </c>
      <c r="H1125" t="str" cm="1">
        <f t="array" ref="H1125">_xlfn.IFS(G1125&gt;=20,"20-25", G1125&gt;=15,"15-20", G1125&gt;=10,"10-15", G1125&gt;=5,"5-10", G1125&gt;=1,"1-5", G1125&lt;1,"Less than 1")</f>
        <v>1-5</v>
      </c>
      <c r="I1125">
        <v>1</v>
      </c>
      <c r="J1125">
        <v>4</v>
      </c>
      <c r="K1125" s="6">
        <v>6</v>
      </c>
      <c r="L1125" s="2">
        <v>3.99</v>
      </c>
      <c r="M1125" s="6">
        <v>10</v>
      </c>
      <c r="N1125" t="str" cm="1">
        <f t="array" ref="N1125">_xlfn.IFS(M1125&gt;=50,"50-60 Days", M1125&gt;=40,"40-50 Days", M1125&gt;=30, "30-40 Days", M1125&gt;=20, "20-30 Days", M1125&gt;=10, "10-20 Days", M1125&gt;=0, "0-10 Days")</f>
        <v>10-20 Days</v>
      </c>
    </row>
    <row r="1126" spans="1:14">
      <c r="A1126">
        <v>1125</v>
      </c>
      <c r="B1126" t="s">
        <v>28</v>
      </c>
      <c r="C1126" s="5">
        <v>45260</v>
      </c>
      <c r="D1126" s="8">
        <v>45260</v>
      </c>
      <c r="E1126" s="8">
        <f>IF(B1126="Inactive", EDATE(D1126,K1126), "")</f>
        <v>45321</v>
      </c>
      <c r="F1126" t="s">
        <v>14</v>
      </c>
      <c r="G1126">
        <v>4.3</v>
      </c>
      <c r="H1126" t="str" cm="1">
        <f t="array" ref="H1126">_xlfn.IFS(G1126&gt;=20,"20-25", G1126&gt;=15,"15-20", G1126&gt;=10,"10-15", G1126&gt;=5,"5-10", G1126&gt;=1,"1-5", G1126&lt;1,"Less than 1")</f>
        <v>1-5</v>
      </c>
      <c r="I1126">
        <v>6</v>
      </c>
      <c r="J1126">
        <v>5</v>
      </c>
      <c r="K1126" s="6">
        <v>2</v>
      </c>
      <c r="L1126" s="2">
        <v>3.99</v>
      </c>
      <c r="M1126" s="6">
        <v>10</v>
      </c>
      <c r="N1126" t="str" cm="1">
        <f t="array" ref="N1126">_xlfn.IFS(M1126&gt;=50,"50-60 Days", M1126&gt;=40,"40-50 Days", M1126&gt;=30, "30-40 Days", M1126&gt;=20, "20-30 Days", M1126&gt;=10, "10-20 Days", M1126&gt;=0, "0-10 Days")</f>
        <v>10-20 Days</v>
      </c>
    </row>
    <row r="1127" spans="1:14">
      <c r="A1127">
        <v>1126</v>
      </c>
      <c r="B1127" t="s">
        <v>28</v>
      </c>
      <c r="C1127" s="5">
        <v>45349</v>
      </c>
      <c r="D1127" s="8">
        <v>45349</v>
      </c>
      <c r="E1127" s="8">
        <f>IF(B1127="Inactive", EDATE(D1127,K1127), "")</f>
        <v>45378</v>
      </c>
      <c r="F1127" t="s">
        <v>12</v>
      </c>
      <c r="G1127">
        <v>18</v>
      </c>
      <c r="H1127" t="str" cm="1">
        <f t="array" ref="H1127">_xlfn.IFS(G1127&gt;=20,"20-25", G1127&gt;=15,"15-20", G1127&gt;=10,"10-15", G1127&gt;=5,"5-10", G1127&gt;=1,"1-5", G1127&lt;1,"Less than 1")</f>
        <v>15-20</v>
      </c>
      <c r="I1127">
        <v>4</v>
      </c>
      <c r="J1127">
        <v>3</v>
      </c>
      <c r="K1127" s="6">
        <v>1</v>
      </c>
      <c r="L1127" s="2">
        <v>1.99</v>
      </c>
      <c r="M1127" s="6">
        <v>6</v>
      </c>
      <c r="N1127" t="str" cm="1">
        <f t="array" ref="N1127">_xlfn.IFS(M1127&gt;=50,"50-60 Days", M1127&gt;=40,"40-50 Days", M1127&gt;=30, "30-40 Days", M1127&gt;=20, "20-30 Days", M1127&gt;=10, "10-20 Days", M1127&gt;=0, "0-10 Days")</f>
        <v>0-10 Days</v>
      </c>
    </row>
    <row r="1128" spans="1:14">
      <c r="A1128">
        <v>1127</v>
      </c>
      <c r="B1128" t="s">
        <v>29</v>
      </c>
      <c r="C1128" s="5">
        <v>45538</v>
      </c>
      <c r="D1128" s="8">
        <v>45538</v>
      </c>
      <c r="E1128" s="8" t="str">
        <f>IF(B1128="Inactive", EDATE(D1128,K1128), "")</f>
        <v/>
      </c>
      <c r="F1128" t="s">
        <v>14</v>
      </c>
      <c r="G1128">
        <v>9.6999999999999993</v>
      </c>
      <c r="H1128" t="str" cm="1">
        <f t="array" ref="H1128">_xlfn.IFS(G1128&gt;=20,"20-25", G1128&gt;=15,"15-20", G1128&gt;=10,"10-15", G1128&gt;=5,"5-10", G1128&gt;=1,"1-5", G1128&lt;1,"Less than 1")</f>
        <v>5-10</v>
      </c>
      <c r="I1128">
        <v>1</v>
      </c>
      <c r="J1128">
        <v>0</v>
      </c>
      <c r="K1128" s="6">
        <v>6</v>
      </c>
      <c r="L1128" s="2">
        <v>3.99</v>
      </c>
      <c r="M1128" s="6">
        <v>12</v>
      </c>
      <c r="N1128" t="str" cm="1">
        <f t="array" ref="N1128">_xlfn.IFS(M1128&gt;=50,"50-60 Days", M1128&gt;=40,"40-50 Days", M1128&gt;=30, "30-40 Days", M1128&gt;=20, "20-30 Days", M1128&gt;=10, "10-20 Days", M1128&gt;=0, "0-10 Days")</f>
        <v>10-20 Days</v>
      </c>
    </row>
    <row r="1129" spans="1:14">
      <c r="A1129">
        <v>1128</v>
      </c>
      <c r="B1129" t="s">
        <v>28</v>
      </c>
      <c r="C1129" s="5">
        <v>44989</v>
      </c>
      <c r="D1129" s="8">
        <v>44989</v>
      </c>
      <c r="E1129" s="8">
        <f>IF(B1129="Inactive", EDATE(D1129,K1129), "")</f>
        <v>45173</v>
      </c>
      <c r="F1129" t="s">
        <v>10</v>
      </c>
      <c r="G1129">
        <v>12.6</v>
      </c>
      <c r="H1129" t="str" cm="1">
        <f t="array" ref="H1129">_xlfn.IFS(G1129&gt;=20,"20-25", G1129&gt;=15,"15-20", G1129&gt;=10,"10-15", G1129&gt;=5,"5-10", G1129&gt;=1,"1-5", G1129&lt;1,"Less than 1")</f>
        <v>10-15</v>
      </c>
      <c r="I1129">
        <v>8</v>
      </c>
      <c r="J1129">
        <v>3</v>
      </c>
      <c r="K1129" s="6">
        <v>6</v>
      </c>
      <c r="L1129" s="2">
        <v>6.99</v>
      </c>
      <c r="M1129" s="6">
        <v>60</v>
      </c>
      <c r="N1129" t="str" cm="1">
        <f t="array" ref="N1129">_xlfn.IFS(M1129&gt;=50,"50-60 Days", M1129&gt;=40,"40-50 Days", M1129&gt;=30, "30-40 Days", M1129&gt;=20, "20-30 Days", M1129&gt;=10, "10-20 Days", M1129&gt;=0, "0-10 Days")</f>
        <v>50-60 Days</v>
      </c>
    </row>
    <row r="1130" spans="1:14">
      <c r="A1130">
        <v>1129</v>
      </c>
      <c r="B1130" t="s">
        <v>29</v>
      </c>
      <c r="C1130" s="5">
        <v>45166</v>
      </c>
      <c r="D1130" s="8">
        <v>45166</v>
      </c>
      <c r="E1130" s="8" t="str">
        <f>IF(B1130="Inactive", EDATE(D1130,K1130), "")</f>
        <v/>
      </c>
      <c r="F1130" t="s">
        <v>14</v>
      </c>
      <c r="G1130">
        <v>14.1</v>
      </c>
      <c r="H1130" t="str" cm="1">
        <f t="array" ref="H1130">_xlfn.IFS(G1130&gt;=20,"20-25", G1130&gt;=15,"15-20", G1130&gt;=10,"10-15", G1130&gt;=5,"5-10", G1130&gt;=1,"1-5", G1130&lt;1,"Less than 1")</f>
        <v>10-15</v>
      </c>
      <c r="I1130">
        <v>1</v>
      </c>
      <c r="J1130">
        <v>3</v>
      </c>
      <c r="K1130" s="6">
        <v>10</v>
      </c>
      <c r="L1130" s="2">
        <v>3.99</v>
      </c>
      <c r="M1130" s="6">
        <v>1</v>
      </c>
      <c r="N1130" t="str" cm="1">
        <f t="array" ref="N1130">_xlfn.IFS(M1130&gt;=50,"50-60 Days", M1130&gt;=40,"40-50 Days", M1130&gt;=30, "30-40 Days", M1130&gt;=20, "20-30 Days", M1130&gt;=10, "10-20 Days", M1130&gt;=0, "0-10 Days")</f>
        <v>0-10 Days</v>
      </c>
    </row>
    <row r="1131" spans="1:14">
      <c r="A1131">
        <v>1130</v>
      </c>
      <c r="B1131" t="s">
        <v>29</v>
      </c>
      <c r="C1131" s="5">
        <v>45055</v>
      </c>
      <c r="D1131" s="8">
        <v>45055</v>
      </c>
      <c r="E1131" s="8" t="str">
        <f>IF(B1131="Inactive", EDATE(D1131,K1131), "")</f>
        <v/>
      </c>
      <c r="F1131" t="s">
        <v>12</v>
      </c>
      <c r="G1131">
        <v>14.1</v>
      </c>
      <c r="H1131" t="str" cm="1">
        <f t="array" ref="H1131">_xlfn.IFS(G1131&gt;=20,"20-25", G1131&gt;=15,"15-20", G1131&gt;=10,"10-15", G1131&gt;=5,"5-10", G1131&gt;=1,"1-5", G1131&lt;1,"Less than 1")</f>
        <v>10-15</v>
      </c>
      <c r="I1131">
        <v>1</v>
      </c>
      <c r="J1131">
        <v>1</v>
      </c>
      <c r="K1131" s="6">
        <v>6</v>
      </c>
      <c r="L1131" s="2">
        <v>1.99</v>
      </c>
      <c r="M1131" s="6">
        <v>48</v>
      </c>
      <c r="N1131" t="str" cm="1">
        <f t="array" ref="N1131">_xlfn.IFS(M1131&gt;=50,"50-60 Days", M1131&gt;=40,"40-50 Days", M1131&gt;=30, "30-40 Days", M1131&gt;=20, "20-30 Days", M1131&gt;=10, "10-20 Days", M1131&gt;=0, "0-10 Days")</f>
        <v>40-50 Days</v>
      </c>
    </row>
    <row r="1132" spans="1:14">
      <c r="A1132">
        <v>1131</v>
      </c>
      <c r="B1132" t="s">
        <v>29</v>
      </c>
      <c r="C1132" s="5">
        <v>45309</v>
      </c>
      <c r="D1132" s="8">
        <v>45309</v>
      </c>
      <c r="E1132" s="8" t="str">
        <f>IF(B1132="Inactive", EDATE(D1132,K1132), "")</f>
        <v/>
      </c>
      <c r="F1132" t="s">
        <v>14</v>
      </c>
      <c r="G1132">
        <v>11.4</v>
      </c>
      <c r="H1132" t="str" cm="1">
        <f t="array" ref="H1132">_xlfn.IFS(G1132&gt;=20,"20-25", G1132&gt;=15,"15-20", G1132&gt;=10,"10-15", G1132&gt;=5,"5-10", G1132&gt;=1,"1-5", G1132&lt;1,"Less than 1")</f>
        <v>10-15</v>
      </c>
      <c r="I1132">
        <v>8</v>
      </c>
      <c r="J1132">
        <v>1</v>
      </c>
      <c r="K1132" s="6">
        <v>9</v>
      </c>
      <c r="L1132" s="2">
        <v>3.99</v>
      </c>
      <c r="M1132" s="6">
        <v>50</v>
      </c>
      <c r="N1132" t="str" cm="1">
        <f t="array" ref="N1132">_xlfn.IFS(M1132&gt;=50,"50-60 Days", M1132&gt;=40,"40-50 Days", M1132&gt;=30, "30-40 Days", M1132&gt;=20, "20-30 Days", M1132&gt;=10, "10-20 Days", M1132&gt;=0, "0-10 Days")</f>
        <v>50-60 Days</v>
      </c>
    </row>
    <row r="1133" spans="1:14">
      <c r="A1133">
        <v>1132</v>
      </c>
      <c r="B1133" t="s">
        <v>28</v>
      </c>
      <c r="C1133" s="5">
        <v>44969</v>
      </c>
      <c r="D1133" s="8">
        <v>44969</v>
      </c>
      <c r="E1133" s="8">
        <f>IF(B1133="Inactive", EDATE(D1133,K1133), "")</f>
        <v>45089</v>
      </c>
      <c r="F1133" t="s">
        <v>10</v>
      </c>
      <c r="G1133">
        <v>19.7</v>
      </c>
      <c r="H1133" t="str" cm="1">
        <f t="array" ref="H1133">_xlfn.IFS(G1133&gt;=20,"20-25", G1133&gt;=15,"15-20", G1133&gt;=10,"10-15", G1133&gt;=5,"5-10", G1133&gt;=1,"1-5", G1133&lt;1,"Less than 1")</f>
        <v>15-20</v>
      </c>
      <c r="I1133">
        <v>8</v>
      </c>
      <c r="J1133">
        <v>3</v>
      </c>
      <c r="K1133" s="6">
        <v>4</v>
      </c>
      <c r="L1133" s="2">
        <v>6.99</v>
      </c>
      <c r="M1133" s="6">
        <v>58</v>
      </c>
      <c r="N1133" t="str" cm="1">
        <f t="array" ref="N1133">_xlfn.IFS(M1133&gt;=50,"50-60 Days", M1133&gt;=40,"40-50 Days", M1133&gt;=30, "30-40 Days", M1133&gt;=20, "20-30 Days", M1133&gt;=10, "10-20 Days", M1133&gt;=0, "0-10 Days")</f>
        <v>50-60 Days</v>
      </c>
    </row>
    <row r="1134" spans="1:14">
      <c r="A1134">
        <v>1133</v>
      </c>
      <c r="B1134" t="s">
        <v>28</v>
      </c>
      <c r="C1134" s="5">
        <v>45420</v>
      </c>
      <c r="D1134" s="8">
        <v>45420</v>
      </c>
      <c r="E1134" s="8">
        <f>IF(B1134="Inactive", EDATE(D1134,K1134), "")</f>
        <v>45724</v>
      </c>
      <c r="F1134" t="s">
        <v>12</v>
      </c>
      <c r="G1134">
        <v>24</v>
      </c>
      <c r="H1134" t="str" cm="1">
        <f t="array" ref="H1134">_xlfn.IFS(G1134&gt;=20,"20-25", G1134&gt;=15,"15-20", G1134&gt;=10,"10-15", G1134&gt;=5,"5-10", G1134&gt;=1,"1-5", G1134&lt;1,"Less than 1")</f>
        <v>20-25</v>
      </c>
      <c r="I1134">
        <v>4</v>
      </c>
      <c r="J1134">
        <v>5</v>
      </c>
      <c r="K1134" s="6">
        <v>10</v>
      </c>
      <c r="L1134" s="2">
        <v>1.99</v>
      </c>
      <c r="M1134" s="6">
        <v>10</v>
      </c>
      <c r="N1134" t="str" cm="1">
        <f t="array" ref="N1134">_xlfn.IFS(M1134&gt;=50,"50-60 Days", M1134&gt;=40,"40-50 Days", M1134&gt;=30, "30-40 Days", M1134&gt;=20, "20-30 Days", M1134&gt;=10, "10-20 Days", M1134&gt;=0, "0-10 Days")</f>
        <v>10-20 Days</v>
      </c>
    </row>
    <row r="1135" spans="1:14">
      <c r="A1135">
        <v>1134</v>
      </c>
      <c r="B1135" t="s">
        <v>28</v>
      </c>
      <c r="C1135" s="5">
        <v>45526</v>
      </c>
      <c r="D1135" s="8">
        <v>45526</v>
      </c>
      <c r="E1135" s="8">
        <f>IF(B1135="Inactive", EDATE(D1135,K1135), "")</f>
        <v>45710</v>
      </c>
      <c r="F1135" t="s">
        <v>14</v>
      </c>
      <c r="G1135">
        <v>21.1</v>
      </c>
      <c r="H1135" t="str" cm="1">
        <f t="array" ref="H1135">_xlfn.IFS(G1135&gt;=20,"20-25", G1135&gt;=15,"15-20", G1135&gt;=10,"10-15", G1135&gt;=5,"5-10", G1135&gt;=1,"1-5", G1135&lt;1,"Less than 1")</f>
        <v>20-25</v>
      </c>
      <c r="I1135">
        <v>6</v>
      </c>
      <c r="J1135">
        <v>2</v>
      </c>
      <c r="K1135" s="6">
        <v>6</v>
      </c>
      <c r="L1135" s="2">
        <v>3.99</v>
      </c>
      <c r="M1135" s="6">
        <v>53</v>
      </c>
      <c r="N1135" t="str" cm="1">
        <f t="array" ref="N1135">_xlfn.IFS(M1135&gt;=50,"50-60 Days", M1135&gt;=40,"40-50 Days", M1135&gt;=30, "30-40 Days", M1135&gt;=20, "20-30 Days", M1135&gt;=10, "10-20 Days", M1135&gt;=0, "0-10 Days")</f>
        <v>50-60 Days</v>
      </c>
    </row>
    <row r="1136" spans="1:14">
      <c r="A1136">
        <v>1135</v>
      </c>
      <c r="B1136" t="s">
        <v>28</v>
      </c>
      <c r="C1136" s="5">
        <v>45331</v>
      </c>
      <c r="D1136" s="8">
        <v>45331</v>
      </c>
      <c r="E1136" s="8">
        <f>IF(B1136="Inactive", EDATE(D1136,K1136), "")</f>
        <v>45544</v>
      </c>
      <c r="F1136" t="s">
        <v>10</v>
      </c>
      <c r="G1136">
        <v>1.6</v>
      </c>
      <c r="H1136" t="str" cm="1">
        <f t="array" ref="H1136">_xlfn.IFS(G1136&gt;=20,"20-25", G1136&gt;=15,"15-20", G1136&gt;=10,"10-15", G1136&gt;=5,"5-10", G1136&gt;=1,"1-5", G1136&lt;1,"Less than 1")</f>
        <v>1-5</v>
      </c>
      <c r="I1136">
        <v>8</v>
      </c>
      <c r="J1136">
        <v>4</v>
      </c>
      <c r="K1136" s="6">
        <v>7</v>
      </c>
      <c r="L1136" s="2">
        <v>6.99</v>
      </c>
      <c r="M1136" s="6">
        <v>4</v>
      </c>
      <c r="N1136" t="str" cm="1">
        <f t="array" ref="N1136">_xlfn.IFS(M1136&gt;=50,"50-60 Days", M1136&gt;=40,"40-50 Days", M1136&gt;=30, "30-40 Days", M1136&gt;=20, "20-30 Days", M1136&gt;=10, "10-20 Days", M1136&gt;=0, "0-10 Days")</f>
        <v>0-10 Days</v>
      </c>
    </row>
    <row r="1137" spans="1:14">
      <c r="A1137">
        <v>1136</v>
      </c>
      <c r="B1137" t="s">
        <v>28</v>
      </c>
      <c r="C1137" s="5">
        <v>45552</v>
      </c>
      <c r="D1137" s="8">
        <v>45552</v>
      </c>
      <c r="E1137" s="8">
        <f>IF(B1137="Inactive", EDATE(D1137,K1137), "")</f>
        <v>45643</v>
      </c>
      <c r="F1137" t="s">
        <v>10</v>
      </c>
      <c r="G1137">
        <v>20.8</v>
      </c>
      <c r="H1137" t="str" cm="1">
        <f t="array" ref="H1137">_xlfn.IFS(G1137&gt;=20,"20-25", G1137&gt;=15,"15-20", G1137&gt;=10,"10-15", G1137&gt;=5,"5-10", G1137&gt;=1,"1-5", G1137&lt;1,"Less than 1")</f>
        <v>20-25</v>
      </c>
      <c r="I1137">
        <v>8</v>
      </c>
      <c r="J1137">
        <v>2</v>
      </c>
      <c r="K1137" s="6">
        <v>3</v>
      </c>
      <c r="L1137" s="2">
        <v>6.99</v>
      </c>
      <c r="M1137" s="6">
        <v>56</v>
      </c>
      <c r="N1137" t="str" cm="1">
        <f t="array" ref="N1137">_xlfn.IFS(M1137&gt;=50,"50-60 Days", M1137&gt;=40,"40-50 Days", M1137&gt;=30, "30-40 Days", M1137&gt;=20, "20-30 Days", M1137&gt;=10, "10-20 Days", M1137&gt;=0, "0-10 Days")</f>
        <v>50-60 Days</v>
      </c>
    </row>
    <row r="1138" spans="1:14">
      <c r="A1138">
        <v>1137</v>
      </c>
      <c r="B1138" t="s">
        <v>29</v>
      </c>
      <c r="C1138" s="5">
        <v>45651</v>
      </c>
      <c r="D1138" s="8">
        <v>45651</v>
      </c>
      <c r="E1138" s="8" t="str">
        <f>IF(B1138="Inactive", EDATE(D1138,K1138), "")</f>
        <v/>
      </c>
      <c r="F1138" t="s">
        <v>10</v>
      </c>
      <c r="G1138">
        <v>22.2</v>
      </c>
      <c r="H1138" t="str" cm="1">
        <f t="array" ref="H1138">_xlfn.IFS(G1138&gt;=20,"20-25", G1138&gt;=15,"15-20", G1138&gt;=10,"10-15", G1138&gt;=5,"5-10", G1138&gt;=1,"1-5", G1138&lt;1,"Less than 1")</f>
        <v>20-25</v>
      </c>
      <c r="I1138">
        <v>5</v>
      </c>
      <c r="J1138">
        <v>5</v>
      </c>
      <c r="K1138" s="6">
        <v>7</v>
      </c>
      <c r="L1138" s="2">
        <v>6.99</v>
      </c>
      <c r="M1138" s="6">
        <v>16</v>
      </c>
      <c r="N1138" t="str" cm="1">
        <f t="array" ref="N1138">_xlfn.IFS(M1138&gt;=50,"50-60 Days", M1138&gt;=40,"40-50 Days", M1138&gt;=30, "30-40 Days", M1138&gt;=20, "20-30 Days", M1138&gt;=10, "10-20 Days", M1138&gt;=0, "0-10 Days")</f>
        <v>10-20 Days</v>
      </c>
    </row>
    <row r="1139" spans="1:14">
      <c r="A1139">
        <v>1138</v>
      </c>
      <c r="B1139" t="s">
        <v>28</v>
      </c>
      <c r="C1139" s="5">
        <v>45540</v>
      </c>
      <c r="D1139" s="8">
        <v>45540</v>
      </c>
      <c r="E1139" s="8">
        <f>IF(B1139="Inactive", EDATE(D1139,K1139), "")</f>
        <v>45721</v>
      </c>
      <c r="F1139" t="s">
        <v>14</v>
      </c>
      <c r="G1139">
        <v>6.5</v>
      </c>
      <c r="H1139" t="str" cm="1">
        <f t="array" ref="H1139">_xlfn.IFS(G1139&gt;=20,"20-25", G1139&gt;=15,"15-20", G1139&gt;=10,"10-15", G1139&gt;=5,"5-10", G1139&gt;=1,"1-5", G1139&lt;1,"Less than 1")</f>
        <v>5-10</v>
      </c>
      <c r="I1139">
        <v>5</v>
      </c>
      <c r="J1139">
        <v>2</v>
      </c>
      <c r="K1139" s="6">
        <v>6</v>
      </c>
      <c r="L1139" s="2">
        <v>3.99</v>
      </c>
      <c r="M1139" s="6">
        <v>13</v>
      </c>
      <c r="N1139" t="str" cm="1">
        <f t="array" ref="N1139">_xlfn.IFS(M1139&gt;=50,"50-60 Days", M1139&gt;=40,"40-50 Days", M1139&gt;=30, "30-40 Days", M1139&gt;=20, "20-30 Days", M1139&gt;=10, "10-20 Days", M1139&gt;=0, "0-10 Days")</f>
        <v>10-20 Days</v>
      </c>
    </row>
    <row r="1140" spans="1:14">
      <c r="A1140">
        <v>1139</v>
      </c>
      <c r="B1140" t="s">
        <v>28</v>
      </c>
      <c r="C1140" s="5">
        <v>45414</v>
      </c>
      <c r="D1140" s="8">
        <v>45414</v>
      </c>
      <c r="E1140" s="8">
        <f>IF(B1140="Inactive", EDATE(D1140,K1140), "")</f>
        <v>45445</v>
      </c>
      <c r="F1140" t="s">
        <v>14</v>
      </c>
      <c r="G1140">
        <v>22.9</v>
      </c>
      <c r="H1140" t="str" cm="1">
        <f t="array" ref="H1140">_xlfn.IFS(G1140&gt;=20,"20-25", G1140&gt;=15,"15-20", G1140&gt;=10,"10-15", G1140&gt;=5,"5-10", G1140&gt;=1,"1-5", G1140&lt;1,"Less than 1")</f>
        <v>20-25</v>
      </c>
      <c r="I1140">
        <v>2</v>
      </c>
      <c r="J1140">
        <v>5</v>
      </c>
      <c r="K1140" s="6">
        <v>1</v>
      </c>
      <c r="L1140" s="2">
        <v>3.99</v>
      </c>
      <c r="M1140" s="6">
        <v>59</v>
      </c>
      <c r="N1140" t="str" cm="1">
        <f t="array" ref="N1140">_xlfn.IFS(M1140&gt;=50,"50-60 Days", M1140&gt;=40,"40-50 Days", M1140&gt;=30, "30-40 Days", M1140&gt;=20, "20-30 Days", M1140&gt;=10, "10-20 Days", M1140&gt;=0, "0-10 Days")</f>
        <v>50-60 Days</v>
      </c>
    </row>
    <row r="1141" spans="1:14">
      <c r="A1141">
        <v>1140</v>
      </c>
      <c r="B1141" t="s">
        <v>28</v>
      </c>
      <c r="C1141" s="5">
        <v>45427</v>
      </c>
      <c r="D1141" s="8">
        <v>45427</v>
      </c>
      <c r="E1141" s="8">
        <f>IF(B1141="Inactive", EDATE(D1141,K1141), "")</f>
        <v>45458</v>
      </c>
      <c r="F1141" t="s">
        <v>12</v>
      </c>
      <c r="G1141">
        <v>17</v>
      </c>
      <c r="H1141" t="str" cm="1">
        <f t="array" ref="H1141">_xlfn.IFS(G1141&gt;=20,"20-25", G1141&gt;=15,"15-20", G1141&gt;=10,"10-15", G1141&gt;=5,"5-10", G1141&gt;=1,"1-5", G1141&lt;1,"Less than 1")</f>
        <v>15-20</v>
      </c>
      <c r="I1141">
        <v>6</v>
      </c>
      <c r="J1141">
        <v>4</v>
      </c>
      <c r="K1141" s="6">
        <v>1</v>
      </c>
      <c r="L1141" s="2">
        <v>1.99</v>
      </c>
      <c r="M1141" s="6">
        <v>57</v>
      </c>
      <c r="N1141" t="str" cm="1">
        <f t="array" ref="N1141">_xlfn.IFS(M1141&gt;=50,"50-60 Days", M1141&gt;=40,"40-50 Days", M1141&gt;=30, "30-40 Days", M1141&gt;=20, "20-30 Days", M1141&gt;=10, "10-20 Days", M1141&gt;=0, "0-10 Days")</f>
        <v>50-60 Days</v>
      </c>
    </row>
    <row r="1142" spans="1:14">
      <c r="A1142">
        <v>1141</v>
      </c>
      <c r="B1142" t="s">
        <v>29</v>
      </c>
      <c r="C1142" s="5">
        <v>45614</v>
      </c>
      <c r="D1142" s="8">
        <v>45614</v>
      </c>
      <c r="E1142" s="8" t="str">
        <f>IF(B1142="Inactive", EDATE(D1142,K1142), "")</f>
        <v/>
      </c>
      <c r="F1142" t="s">
        <v>14</v>
      </c>
      <c r="G1142">
        <v>2.5</v>
      </c>
      <c r="H1142" t="str" cm="1">
        <f t="array" ref="H1142">_xlfn.IFS(G1142&gt;=20,"20-25", G1142&gt;=15,"15-20", G1142&gt;=10,"10-15", G1142&gt;=5,"5-10", G1142&gt;=1,"1-5", G1142&lt;1,"Less than 1")</f>
        <v>1-5</v>
      </c>
      <c r="I1142">
        <v>1</v>
      </c>
      <c r="J1142">
        <v>4</v>
      </c>
      <c r="K1142" s="6">
        <v>12</v>
      </c>
      <c r="L1142" s="2">
        <v>3.99</v>
      </c>
      <c r="M1142" s="6">
        <v>1</v>
      </c>
      <c r="N1142" t="str" cm="1">
        <f t="array" ref="N1142">_xlfn.IFS(M1142&gt;=50,"50-60 Days", M1142&gt;=40,"40-50 Days", M1142&gt;=30, "30-40 Days", M1142&gt;=20, "20-30 Days", M1142&gt;=10, "10-20 Days", M1142&gt;=0, "0-10 Days")</f>
        <v>0-10 Days</v>
      </c>
    </row>
    <row r="1143" spans="1:14">
      <c r="A1143">
        <v>1142</v>
      </c>
      <c r="B1143" t="s">
        <v>28</v>
      </c>
      <c r="C1143" s="5">
        <v>45640</v>
      </c>
      <c r="D1143" s="8">
        <v>45640</v>
      </c>
      <c r="E1143" s="8">
        <f>IF(B1143="Inactive", EDATE(D1143,K1143), "")</f>
        <v>45730</v>
      </c>
      <c r="F1143" t="s">
        <v>14</v>
      </c>
      <c r="G1143">
        <v>9.1</v>
      </c>
      <c r="H1143" t="str" cm="1">
        <f t="array" ref="H1143">_xlfn.IFS(G1143&gt;=20,"20-25", G1143&gt;=15,"15-20", G1143&gt;=10,"10-15", G1143&gt;=5,"5-10", G1143&gt;=1,"1-5", G1143&lt;1,"Less than 1")</f>
        <v>5-10</v>
      </c>
      <c r="I1143">
        <v>6</v>
      </c>
      <c r="J1143">
        <v>4</v>
      </c>
      <c r="K1143" s="6">
        <v>3</v>
      </c>
      <c r="L1143" s="2">
        <v>3.99</v>
      </c>
      <c r="M1143" s="6">
        <v>22</v>
      </c>
      <c r="N1143" t="str" cm="1">
        <f t="array" ref="N1143">_xlfn.IFS(M1143&gt;=50,"50-60 Days", M1143&gt;=40,"40-50 Days", M1143&gt;=30, "30-40 Days", M1143&gt;=20, "20-30 Days", M1143&gt;=10, "10-20 Days", M1143&gt;=0, "0-10 Days")</f>
        <v>20-30 Days</v>
      </c>
    </row>
    <row r="1144" spans="1:14">
      <c r="A1144">
        <v>1143</v>
      </c>
      <c r="B1144" t="s">
        <v>28</v>
      </c>
      <c r="C1144" s="5">
        <v>44947</v>
      </c>
      <c r="D1144" s="8">
        <v>44947</v>
      </c>
      <c r="E1144" s="8">
        <f>IF(B1144="Inactive", EDATE(D1144,K1144), "")</f>
        <v>45037</v>
      </c>
      <c r="F1144" t="s">
        <v>12</v>
      </c>
      <c r="G1144">
        <v>11.8</v>
      </c>
      <c r="H1144" t="str" cm="1">
        <f t="array" ref="H1144">_xlfn.IFS(G1144&gt;=20,"20-25", G1144&gt;=15,"15-20", G1144&gt;=10,"10-15", G1144&gt;=5,"5-10", G1144&gt;=1,"1-5", G1144&lt;1,"Less than 1")</f>
        <v>10-15</v>
      </c>
      <c r="I1144">
        <v>3</v>
      </c>
      <c r="J1144">
        <v>3</v>
      </c>
      <c r="K1144" s="6">
        <v>3</v>
      </c>
      <c r="L1144" s="2">
        <v>1.99</v>
      </c>
      <c r="M1144" s="6">
        <v>0</v>
      </c>
      <c r="N1144" t="str" cm="1">
        <f t="array" ref="N1144">_xlfn.IFS(M1144&gt;=50,"50-60 Days", M1144&gt;=40,"40-50 Days", M1144&gt;=30, "30-40 Days", M1144&gt;=20, "20-30 Days", M1144&gt;=10, "10-20 Days", M1144&gt;=0, "0-10 Days")</f>
        <v>0-10 Days</v>
      </c>
    </row>
    <row r="1145" spans="1:14">
      <c r="A1145">
        <v>1144</v>
      </c>
      <c r="B1145" t="s">
        <v>28</v>
      </c>
      <c r="C1145" s="5">
        <v>45432</v>
      </c>
      <c r="D1145" s="8">
        <v>45432</v>
      </c>
      <c r="E1145" s="8">
        <f>IF(B1145="Inactive", EDATE(D1145,K1145), "")</f>
        <v>45677</v>
      </c>
      <c r="F1145" t="s">
        <v>14</v>
      </c>
      <c r="G1145">
        <v>5.2</v>
      </c>
      <c r="H1145" t="str" cm="1">
        <f t="array" ref="H1145">_xlfn.IFS(G1145&gt;=20,"20-25", G1145&gt;=15,"15-20", G1145&gt;=10,"10-15", G1145&gt;=5,"5-10", G1145&gt;=1,"1-5", G1145&lt;1,"Less than 1")</f>
        <v>5-10</v>
      </c>
      <c r="I1145">
        <v>4</v>
      </c>
      <c r="J1145">
        <v>5</v>
      </c>
      <c r="K1145" s="6">
        <v>8</v>
      </c>
      <c r="L1145" s="2">
        <v>3.99</v>
      </c>
      <c r="M1145" s="6">
        <v>14</v>
      </c>
      <c r="N1145" t="str" cm="1">
        <f t="array" ref="N1145">_xlfn.IFS(M1145&gt;=50,"50-60 Days", M1145&gt;=40,"40-50 Days", M1145&gt;=30, "30-40 Days", M1145&gt;=20, "20-30 Days", M1145&gt;=10, "10-20 Days", M1145&gt;=0, "0-10 Days")</f>
        <v>10-20 Days</v>
      </c>
    </row>
    <row r="1146" spans="1:14">
      <c r="A1146">
        <v>1145</v>
      </c>
      <c r="B1146" t="s">
        <v>29</v>
      </c>
      <c r="C1146" s="5">
        <v>45580</v>
      </c>
      <c r="D1146" s="8">
        <v>45580</v>
      </c>
      <c r="E1146" s="8" t="str">
        <f>IF(B1146="Inactive", EDATE(D1146,K1146), "")</f>
        <v/>
      </c>
      <c r="F1146" t="s">
        <v>14</v>
      </c>
      <c r="G1146">
        <v>7.4</v>
      </c>
      <c r="H1146" t="str" cm="1">
        <f t="array" ref="H1146">_xlfn.IFS(G1146&gt;=20,"20-25", G1146&gt;=15,"15-20", G1146&gt;=10,"10-15", G1146&gt;=5,"5-10", G1146&gt;=1,"1-5", G1146&lt;1,"Less than 1")</f>
        <v>5-10</v>
      </c>
      <c r="I1146">
        <v>3</v>
      </c>
      <c r="J1146">
        <v>0</v>
      </c>
      <c r="K1146" s="6">
        <v>1</v>
      </c>
      <c r="L1146" s="2">
        <v>3.99</v>
      </c>
      <c r="M1146" s="6">
        <v>12</v>
      </c>
      <c r="N1146" t="str" cm="1">
        <f t="array" ref="N1146">_xlfn.IFS(M1146&gt;=50,"50-60 Days", M1146&gt;=40,"40-50 Days", M1146&gt;=30, "30-40 Days", M1146&gt;=20, "20-30 Days", M1146&gt;=10, "10-20 Days", M1146&gt;=0, "0-10 Days")</f>
        <v>10-20 Days</v>
      </c>
    </row>
    <row r="1147" spans="1:14">
      <c r="A1147">
        <v>1146</v>
      </c>
      <c r="B1147" t="s">
        <v>29</v>
      </c>
      <c r="C1147" s="5">
        <v>45602</v>
      </c>
      <c r="D1147" s="8">
        <v>45602</v>
      </c>
      <c r="E1147" s="8" t="str">
        <f>IF(B1147="Inactive", EDATE(D1147,K1147), "")</f>
        <v/>
      </c>
      <c r="F1147" t="s">
        <v>14</v>
      </c>
      <c r="G1147">
        <v>21.8</v>
      </c>
      <c r="H1147" t="str" cm="1">
        <f t="array" ref="H1147">_xlfn.IFS(G1147&gt;=20,"20-25", G1147&gt;=15,"15-20", G1147&gt;=10,"10-15", G1147&gt;=5,"5-10", G1147&gt;=1,"1-5", G1147&lt;1,"Less than 1")</f>
        <v>20-25</v>
      </c>
      <c r="I1147">
        <v>8</v>
      </c>
      <c r="J1147">
        <v>3</v>
      </c>
      <c r="K1147" s="6">
        <v>3</v>
      </c>
      <c r="L1147" s="2">
        <v>3.99</v>
      </c>
      <c r="M1147" s="6">
        <v>10</v>
      </c>
      <c r="N1147" t="str" cm="1">
        <f t="array" ref="N1147">_xlfn.IFS(M1147&gt;=50,"50-60 Days", M1147&gt;=40,"40-50 Days", M1147&gt;=30, "30-40 Days", M1147&gt;=20, "20-30 Days", M1147&gt;=10, "10-20 Days", M1147&gt;=0, "0-10 Days")</f>
        <v>10-20 Days</v>
      </c>
    </row>
    <row r="1148" spans="1:14">
      <c r="A1148">
        <v>1147</v>
      </c>
      <c r="B1148" t="s">
        <v>28</v>
      </c>
      <c r="C1148" s="5">
        <v>45510</v>
      </c>
      <c r="D1148" s="8">
        <v>45510</v>
      </c>
      <c r="E1148" s="8">
        <f>IF(B1148="Inactive", EDATE(D1148,K1148), "")</f>
        <v>45632</v>
      </c>
      <c r="F1148" t="s">
        <v>10</v>
      </c>
      <c r="G1148">
        <v>2.1</v>
      </c>
      <c r="H1148" t="str" cm="1">
        <f t="array" ref="H1148">_xlfn.IFS(G1148&gt;=20,"20-25", G1148&gt;=15,"15-20", G1148&gt;=10,"10-15", G1148&gt;=5,"5-10", G1148&gt;=1,"1-5", G1148&lt;1,"Less than 1")</f>
        <v>1-5</v>
      </c>
      <c r="I1148">
        <v>2</v>
      </c>
      <c r="J1148">
        <v>5</v>
      </c>
      <c r="K1148" s="6">
        <v>4</v>
      </c>
      <c r="L1148" s="2">
        <v>6.99</v>
      </c>
      <c r="M1148" s="6">
        <v>4</v>
      </c>
      <c r="N1148" t="str" cm="1">
        <f t="array" ref="N1148">_xlfn.IFS(M1148&gt;=50,"50-60 Days", M1148&gt;=40,"40-50 Days", M1148&gt;=30, "30-40 Days", M1148&gt;=20, "20-30 Days", M1148&gt;=10, "10-20 Days", M1148&gt;=0, "0-10 Days")</f>
        <v>0-10 Days</v>
      </c>
    </row>
    <row r="1149" spans="1:14">
      <c r="A1149">
        <v>1148</v>
      </c>
      <c r="B1149" t="s">
        <v>29</v>
      </c>
      <c r="C1149" s="5">
        <v>45636</v>
      </c>
      <c r="D1149" s="8">
        <v>45636</v>
      </c>
      <c r="E1149" s="8" t="str">
        <f>IF(B1149="Inactive", EDATE(D1149,K1149), "")</f>
        <v/>
      </c>
      <c r="F1149" t="s">
        <v>12</v>
      </c>
      <c r="G1149">
        <v>18.399999999999999</v>
      </c>
      <c r="H1149" t="str" cm="1">
        <f t="array" ref="H1149">_xlfn.IFS(G1149&gt;=20,"20-25", G1149&gt;=15,"15-20", G1149&gt;=10,"10-15", G1149&gt;=5,"5-10", G1149&gt;=1,"1-5", G1149&lt;1,"Less than 1")</f>
        <v>15-20</v>
      </c>
      <c r="I1149">
        <v>4</v>
      </c>
      <c r="J1149">
        <v>1</v>
      </c>
      <c r="K1149" s="6">
        <v>12</v>
      </c>
      <c r="L1149" s="2">
        <v>1.99</v>
      </c>
      <c r="M1149" s="6">
        <v>54</v>
      </c>
      <c r="N1149" t="str" cm="1">
        <f t="array" ref="N1149">_xlfn.IFS(M1149&gt;=50,"50-60 Days", M1149&gt;=40,"40-50 Days", M1149&gt;=30, "30-40 Days", M1149&gt;=20, "20-30 Days", M1149&gt;=10, "10-20 Days", M1149&gt;=0, "0-10 Days")</f>
        <v>50-60 Days</v>
      </c>
    </row>
    <row r="1150" spans="1:14">
      <c r="A1150">
        <v>1149</v>
      </c>
      <c r="B1150" t="s">
        <v>29</v>
      </c>
      <c r="C1150" s="5">
        <v>45583</v>
      </c>
      <c r="D1150" s="8">
        <v>45583</v>
      </c>
      <c r="E1150" s="8" t="str">
        <f>IF(B1150="Inactive", EDATE(D1150,K1150), "")</f>
        <v/>
      </c>
      <c r="F1150" t="s">
        <v>10</v>
      </c>
      <c r="G1150">
        <v>15.6</v>
      </c>
      <c r="H1150" t="str" cm="1">
        <f t="array" ref="H1150">_xlfn.IFS(G1150&gt;=20,"20-25", G1150&gt;=15,"15-20", G1150&gt;=10,"10-15", G1150&gt;=5,"5-10", G1150&gt;=1,"1-5", G1150&lt;1,"Less than 1")</f>
        <v>15-20</v>
      </c>
      <c r="I1150">
        <v>8</v>
      </c>
      <c r="J1150">
        <v>3</v>
      </c>
      <c r="K1150" s="6">
        <v>12</v>
      </c>
      <c r="L1150" s="2">
        <v>6.99</v>
      </c>
      <c r="M1150" s="6">
        <v>0</v>
      </c>
      <c r="N1150" t="str" cm="1">
        <f t="array" ref="N1150">_xlfn.IFS(M1150&gt;=50,"50-60 Days", M1150&gt;=40,"40-50 Days", M1150&gt;=30, "30-40 Days", M1150&gt;=20, "20-30 Days", M1150&gt;=10, "10-20 Days", M1150&gt;=0, "0-10 Days")</f>
        <v>0-10 Days</v>
      </c>
    </row>
    <row r="1151" spans="1:14">
      <c r="A1151">
        <v>1150</v>
      </c>
      <c r="B1151" t="s">
        <v>29</v>
      </c>
      <c r="C1151" s="5">
        <v>45207</v>
      </c>
      <c r="D1151" s="8">
        <v>45207</v>
      </c>
      <c r="E1151" s="8" t="str">
        <f>IF(B1151="Inactive", EDATE(D1151,K1151), "")</f>
        <v/>
      </c>
      <c r="F1151" t="s">
        <v>10</v>
      </c>
      <c r="G1151">
        <v>21.4</v>
      </c>
      <c r="H1151" t="str" cm="1">
        <f t="array" ref="H1151">_xlfn.IFS(G1151&gt;=20,"20-25", G1151&gt;=15,"15-20", G1151&gt;=10,"10-15", G1151&gt;=5,"5-10", G1151&gt;=1,"1-5", G1151&lt;1,"Less than 1")</f>
        <v>20-25</v>
      </c>
      <c r="I1151">
        <v>5</v>
      </c>
      <c r="J1151">
        <v>3</v>
      </c>
      <c r="K1151" s="6">
        <v>2</v>
      </c>
      <c r="L1151" s="2">
        <v>6.99</v>
      </c>
      <c r="M1151" s="6">
        <v>54</v>
      </c>
      <c r="N1151" t="str" cm="1">
        <f t="array" ref="N1151">_xlfn.IFS(M1151&gt;=50,"50-60 Days", M1151&gt;=40,"40-50 Days", M1151&gt;=30, "30-40 Days", M1151&gt;=20, "20-30 Days", M1151&gt;=10, "10-20 Days", M1151&gt;=0, "0-10 Days")</f>
        <v>50-60 Days</v>
      </c>
    </row>
    <row r="1152" spans="1:14">
      <c r="A1152">
        <v>1151</v>
      </c>
      <c r="B1152" t="s">
        <v>28</v>
      </c>
      <c r="C1152" s="5">
        <v>45156</v>
      </c>
      <c r="D1152" s="8">
        <v>45156</v>
      </c>
      <c r="E1152" s="8">
        <f>IF(B1152="Inactive", EDATE(D1152,K1152), "")</f>
        <v>45522</v>
      </c>
      <c r="F1152" t="s">
        <v>12</v>
      </c>
      <c r="G1152">
        <v>11.9</v>
      </c>
      <c r="H1152" t="str" cm="1">
        <f t="array" ref="H1152">_xlfn.IFS(G1152&gt;=20,"20-25", G1152&gt;=15,"15-20", G1152&gt;=10,"10-15", G1152&gt;=5,"5-10", G1152&gt;=1,"1-5", G1152&lt;1,"Less than 1")</f>
        <v>10-15</v>
      </c>
      <c r="I1152">
        <v>5</v>
      </c>
      <c r="J1152">
        <v>4</v>
      </c>
      <c r="K1152" s="6">
        <v>12</v>
      </c>
      <c r="L1152" s="2">
        <v>1.99</v>
      </c>
      <c r="M1152" s="6">
        <v>48</v>
      </c>
      <c r="N1152" t="str" cm="1">
        <f t="array" ref="N1152">_xlfn.IFS(M1152&gt;=50,"50-60 Days", M1152&gt;=40,"40-50 Days", M1152&gt;=30, "30-40 Days", M1152&gt;=20, "20-30 Days", M1152&gt;=10, "10-20 Days", M1152&gt;=0, "0-10 Days")</f>
        <v>40-50 Days</v>
      </c>
    </row>
    <row r="1153" spans="1:14">
      <c r="A1153">
        <v>1152</v>
      </c>
      <c r="B1153" t="s">
        <v>28</v>
      </c>
      <c r="C1153" s="5">
        <v>45126</v>
      </c>
      <c r="D1153" s="8">
        <v>45126</v>
      </c>
      <c r="E1153" s="8">
        <f>IF(B1153="Inactive", EDATE(D1153,K1153), "")</f>
        <v>45310</v>
      </c>
      <c r="F1153" t="s">
        <v>12</v>
      </c>
      <c r="G1153">
        <v>23</v>
      </c>
      <c r="H1153" t="str" cm="1">
        <f t="array" ref="H1153">_xlfn.IFS(G1153&gt;=20,"20-25", G1153&gt;=15,"15-20", G1153&gt;=10,"10-15", G1153&gt;=5,"5-10", G1153&gt;=1,"1-5", G1153&lt;1,"Less than 1")</f>
        <v>20-25</v>
      </c>
      <c r="I1153">
        <v>8</v>
      </c>
      <c r="J1153">
        <v>3</v>
      </c>
      <c r="K1153" s="6">
        <v>6</v>
      </c>
      <c r="L1153" s="2">
        <v>1.99</v>
      </c>
      <c r="M1153" s="6">
        <v>20</v>
      </c>
      <c r="N1153" t="str" cm="1">
        <f t="array" ref="N1153">_xlfn.IFS(M1153&gt;=50,"50-60 Days", M1153&gt;=40,"40-50 Days", M1153&gt;=30, "30-40 Days", M1153&gt;=20, "20-30 Days", M1153&gt;=10, "10-20 Days", M1153&gt;=0, "0-10 Days")</f>
        <v>20-30 Days</v>
      </c>
    </row>
    <row r="1154" spans="1:14">
      <c r="A1154">
        <v>1153</v>
      </c>
      <c r="B1154" t="s">
        <v>29</v>
      </c>
      <c r="C1154" s="5">
        <v>45360</v>
      </c>
      <c r="D1154" s="8">
        <v>45360</v>
      </c>
      <c r="E1154" s="8" t="str">
        <f>IF(B1154="Inactive", EDATE(D1154,K1154), "")</f>
        <v/>
      </c>
      <c r="F1154" t="s">
        <v>14</v>
      </c>
      <c r="G1154">
        <v>22.1</v>
      </c>
      <c r="H1154" t="str" cm="1">
        <f t="array" ref="H1154">_xlfn.IFS(G1154&gt;=20,"20-25", G1154&gt;=15,"15-20", G1154&gt;=10,"10-15", G1154&gt;=5,"5-10", G1154&gt;=1,"1-5", G1154&lt;1,"Less than 1")</f>
        <v>20-25</v>
      </c>
      <c r="I1154">
        <v>0</v>
      </c>
      <c r="J1154">
        <v>5</v>
      </c>
      <c r="K1154" s="6">
        <v>2</v>
      </c>
      <c r="L1154" s="2">
        <v>3.99</v>
      </c>
      <c r="M1154" s="6">
        <v>14</v>
      </c>
      <c r="N1154" t="str" cm="1">
        <f t="array" ref="N1154">_xlfn.IFS(M1154&gt;=50,"50-60 Days", M1154&gt;=40,"40-50 Days", M1154&gt;=30, "30-40 Days", M1154&gt;=20, "20-30 Days", M1154&gt;=10, "10-20 Days", M1154&gt;=0, "0-10 Days")</f>
        <v>10-20 Days</v>
      </c>
    </row>
    <row r="1155" spans="1:14">
      <c r="A1155">
        <v>1154</v>
      </c>
      <c r="B1155" t="s">
        <v>29</v>
      </c>
      <c r="C1155" s="5">
        <v>45026</v>
      </c>
      <c r="D1155" s="8">
        <v>45026</v>
      </c>
      <c r="E1155" s="8" t="str">
        <f>IF(B1155="Inactive", EDATE(D1155,K1155), "")</f>
        <v/>
      </c>
      <c r="F1155" t="s">
        <v>12</v>
      </c>
      <c r="G1155">
        <v>5.3</v>
      </c>
      <c r="H1155" t="str" cm="1">
        <f t="array" ref="H1155">_xlfn.IFS(G1155&gt;=20,"20-25", G1155&gt;=15,"15-20", G1155&gt;=10,"10-15", G1155&gt;=5,"5-10", G1155&gt;=1,"1-5", G1155&lt;1,"Less than 1")</f>
        <v>5-10</v>
      </c>
      <c r="I1155">
        <v>5</v>
      </c>
      <c r="J1155">
        <v>2</v>
      </c>
      <c r="K1155" s="6">
        <v>6</v>
      </c>
      <c r="L1155" s="2">
        <v>1.99</v>
      </c>
      <c r="M1155" s="6">
        <v>4</v>
      </c>
      <c r="N1155" t="str" cm="1">
        <f t="array" ref="N1155">_xlfn.IFS(M1155&gt;=50,"50-60 Days", M1155&gt;=40,"40-50 Days", M1155&gt;=30, "30-40 Days", M1155&gt;=20, "20-30 Days", M1155&gt;=10, "10-20 Days", M1155&gt;=0, "0-10 Days")</f>
        <v>0-10 Days</v>
      </c>
    </row>
    <row r="1156" spans="1:14">
      <c r="A1156">
        <v>1155</v>
      </c>
      <c r="B1156" t="s">
        <v>29</v>
      </c>
      <c r="C1156" s="5">
        <v>45269</v>
      </c>
      <c r="D1156" s="8">
        <v>45269</v>
      </c>
      <c r="E1156" s="8" t="str">
        <f>IF(B1156="Inactive", EDATE(D1156,K1156), "")</f>
        <v/>
      </c>
      <c r="F1156" t="s">
        <v>12</v>
      </c>
      <c r="G1156">
        <v>11.1</v>
      </c>
      <c r="H1156" t="str" cm="1">
        <f t="array" ref="H1156">_xlfn.IFS(G1156&gt;=20,"20-25", G1156&gt;=15,"15-20", G1156&gt;=10,"10-15", G1156&gt;=5,"5-10", G1156&gt;=1,"1-5", G1156&lt;1,"Less than 1")</f>
        <v>10-15</v>
      </c>
      <c r="I1156">
        <v>0</v>
      </c>
      <c r="J1156">
        <v>4</v>
      </c>
      <c r="K1156" s="6">
        <v>11</v>
      </c>
      <c r="L1156" s="2">
        <v>1.99</v>
      </c>
      <c r="M1156" s="6">
        <v>51</v>
      </c>
      <c r="N1156" t="str" cm="1">
        <f t="array" ref="N1156">_xlfn.IFS(M1156&gt;=50,"50-60 Days", M1156&gt;=40,"40-50 Days", M1156&gt;=30, "30-40 Days", M1156&gt;=20, "20-30 Days", M1156&gt;=10, "10-20 Days", M1156&gt;=0, "0-10 Days")</f>
        <v>50-60 Days</v>
      </c>
    </row>
    <row r="1157" spans="1:14">
      <c r="A1157">
        <v>1156</v>
      </c>
      <c r="B1157" t="s">
        <v>28</v>
      </c>
      <c r="C1157" s="5">
        <v>45268</v>
      </c>
      <c r="D1157" s="8">
        <v>45268</v>
      </c>
      <c r="E1157" s="8">
        <f>IF(B1157="Inactive", EDATE(D1157,K1157), "")</f>
        <v>45451</v>
      </c>
      <c r="F1157" t="s">
        <v>14</v>
      </c>
      <c r="G1157">
        <v>3.1</v>
      </c>
      <c r="H1157" t="str" cm="1">
        <f t="array" ref="H1157">_xlfn.IFS(G1157&gt;=20,"20-25", G1157&gt;=15,"15-20", G1157&gt;=10,"10-15", G1157&gt;=5,"5-10", G1157&gt;=1,"1-5", G1157&lt;1,"Less than 1")</f>
        <v>1-5</v>
      </c>
      <c r="I1157">
        <v>3</v>
      </c>
      <c r="J1157">
        <v>2</v>
      </c>
      <c r="K1157" s="6">
        <v>6</v>
      </c>
      <c r="L1157" s="2">
        <v>3.99</v>
      </c>
      <c r="M1157" s="6">
        <v>53</v>
      </c>
      <c r="N1157" t="str" cm="1">
        <f t="array" ref="N1157">_xlfn.IFS(M1157&gt;=50,"50-60 Days", M1157&gt;=40,"40-50 Days", M1157&gt;=30, "30-40 Days", M1157&gt;=20, "20-30 Days", M1157&gt;=10, "10-20 Days", M1157&gt;=0, "0-10 Days")</f>
        <v>50-60 Days</v>
      </c>
    </row>
    <row r="1158" spans="1:14">
      <c r="A1158">
        <v>1157</v>
      </c>
      <c r="B1158" t="s">
        <v>28</v>
      </c>
      <c r="C1158" s="5">
        <v>45054</v>
      </c>
      <c r="D1158" s="8">
        <v>45054</v>
      </c>
      <c r="E1158" s="8">
        <f>IF(B1158="Inactive", EDATE(D1158,K1158), "")</f>
        <v>45238</v>
      </c>
      <c r="F1158" t="s">
        <v>10</v>
      </c>
      <c r="G1158">
        <v>23.6</v>
      </c>
      <c r="H1158" t="str" cm="1">
        <f t="array" ref="H1158">_xlfn.IFS(G1158&gt;=20,"20-25", G1158&gt;=15,"15-20", G1158&gt;=10,"10-15", G1158&gt;=5,"5-10", G1158&gt;=1,"1-5", G1158&lt;1,"Less than 1")</f>
        <v>20-25</v>
      </c>
      <c r="I1158">
        <v>7</v>
      </c>
      <c r="J1158">
        <v>0</v>
      </c>
      <c r="K1158" s="6">
        <v>6</v>
      </c>
      <c r="L1158" s="2">
        <v>6.99</v>
      </c>
      <c r="M1158" s="6">
        <v>40</v>
      </c>
      <c r="N1158" t="str" cm="1">
        <f t="array" ref="N1158">_xlfn.IFS(M1158&gt;=50,"50-60 Days", M1158&gt;=40,"40-50 Days", M1158&gt;=30, "30-40 Days", M1158&gt;=20, "20-30 Days", M1158&gt;=10, "10-20 Days", M1158&gt;=0, "0-10 Days")</f>
        <v>40-50 Days</v>
      </c>
    </row>
    <row r="1159" spans="1:14">
      <c r="A1159">
        <v>1158</v>
      </c>
      <c r="B1159" t="s">
        <v>29</v>
      </c>
      <c r="C1159" s="5">
        <v>44993</v>
      </c>
      <c r="D1159" s="8">
        <v>44993</v>
      </c>
      <c r="E1159" s="8" t="str">
        <f>IF(B1159="Inactive", EDATE(D1159,K1159), "")</f>
        <v/>
      </c>
      <c r="F1159" t="s">
        <v>12</v>
      </c>
      <c r="G1159">
        <v>23</v>
      </c>
      <c r="H1159" t="str" cm="1">
        <f t="array" ref="H1159">_xlfn.IFS(G1159&gt;=20,"20-25", G1159&gt;=15,"15-20", G1159&gt;=10,"10-15", G1159&gt;=5,"5-10", G1159&gt;=1,"1-5", G1159&lt;1,"Less than 1")</f>
        <v>20-25</v>
      </c>
      <c r="I1159">
        <v>6</v>
      </c>
      <c r="J1159">
        <v>2</v>
      </c>
      <c r="K1159" s="6">
        <v>2</v>
      </c>
      <c r="L1159" s="2">
        <v>1.99</v>
      </c>
      <c r="M1159" s="6">
        <v>56</v>
      </c>
      <c r="N1159" t="str" cm="1">
        <f t="array" ref="N1159">_xlfn.IFS(M1159&gt;=50,"50-60 Days", M1159&gt;=40,"40-50 Days", M1159&gt;=30, "30-40 Days", M1159&gt;=20, "20-30 Days", M1159&gt;=10, "10-20 Days", M1159&gt;=0, "0-10 Days")</f>
        <v>50-60 Days</v>
      </c>
    </row>
    <row r="1160" spans="1:14">
      <c r="A1160">
        <v>1159</v>
      </c>
      <c r="B1160" t="s">
        <v>29</v>
      </c>
      <c r="C1160" s="5">
        <v>45369</v>
      </c>
      <c r="D1160" s="8">
        <v>45369</v>
      </c>
      <c r="E1160" s="8" t="str">
        <f>IF(B1160="Inactive", EDATE(D1160,K1160), "")</f>
        <v/>
      </c>
      <c r="F1160" t="s">
        <v>12</v>
      </c>
      <c r="G1160">
        <v>23</v>
      </c>
      <c r="H1160" t="str" cm="1">
        <f t="array" ref="H1160">_xlfn.IFS(G1160&gt;=20,"20-25", G1160&gt;=15,"15-20", G1160&gt;=10,"10-15", G1160&gt;=5,"5-10", G1160&gt;=1,"1-5", G1160&lt;1,"Less than 1")</f>
        <v>20-25</v>
      </c>
      <c r="I1160">
        <v>7</v>
      </c>
      <c r="J1160">
        <v>0</v>
      </c>
      <c r="K1160" s="6">
        <v>2</v>
      </c>
      <c r="L1160" s="2">
        <v>1.99</v>
      </c>
      <c r="M1160" s="6">
        <v>19</v>
      </c>
      <c r="N1160" t="str" cm="1">
        <f t="array" ref="N1160">_xlfn.IFS(M1160&gt;=50,"50-60 Days", M1160&gt;=40,"40-50 Days", M1160&gt;=30, "30-40 Days", M1160&gt;=20, "20-30 Days", M1160&gt;=10, "10-20 Days", M1160&gt;=0, "0-10 Days")</f>
        <v>10-20 Days</v>
      </c>
    </row>
    <row r="1161" spans="1:14">
      <c r="A1161">
        <v>1160</v>
      </c>
      <c r="B1161" t="s">
        <v>29</v>
      </c>
      <c r="C1161" s="5">
        <v>45338</v>
      </c>
      <c r="D1161" s="8">
        <v>45338</v>
      </c>
      <c r="E1161" s="8" t="str">
        <f>IF(B1161="Inactive", EDATE(D1161,K1161), "")</f>
        <v/>
      </c>
      <c r="F1161" t="s">
        <v>12</v>
      </c>
      <c r="G1161">
        <v>17.100000000000001</v>
      </c>
      <c r="H1161" t="str" cm="1">
        <f t="array" ref="H1161">_xlfn.IFS(G1161&gt;=20,"20-25", G1161&gt;=15,"15-20", G1161&gt;=10,"10-15", G1161&gt;=5,"5-10", G1161&gt;=1,"1-5", G1161&lt;1,"Less than 1")</f>
        <v>15-20</v>
      </c>
      <c r="I1161">
        <v>8</v>
      </c>
      <c r="J1161">
        <v>0</v>
      </c>
      <c r="K1161" s="6">
        <v>3</v>
      </c>
      <c r="L1161" s="2">
        <v>1.99</v>
      </c>
      <c r="M1161" s="6">
        <v>18</v>
      </c>
      <c r="N1161" t="str" cm="1">
        <f t="array" ref="N1161">_xlfn.IFS(M1161&gt;=50,"50-60 Days", M1161&gt;=40,"40-50 Days", M1161&gt;=30, "30-40 Days", M1161&gt;=20, "20-30 Days", M1161&gt;=10, "10-20 Days", M1161&gt;=0, "0-10 Days")</f>
        <v>10-20 Days</v>
      </c>
    </row>
    <row r="1162" spans="1:14">
      <c r="A1162">
        <v>1161</v>
      </c>
      <c r="B1162" t="s">
        <v>28</v>
      </c>
      <c r="C1162" s="5">
        <v>45365</v>
      </c>
      <c r="D1162" s="8">
        <v>45365</v>
      </c>
      <c r="E1162" s="8">
        <f>IF(B1162="Inactive", EDATE(D1162,K1162), "")</f>
        <v>45640</v>
      </c>
      <c r="F1162" t="s">
        <v>12</v>
      </c>
      <c r="G1162">
        <v>6.2</v>
      </c>
      <c r="H1162" t="str" cm="1">
        <f t="array" ref="H1162">_xlfn.IFS(G1162&gt;=20,"20-25", G1162&gt;=15,"15-20", G1162&gt;=10,"10-15", G1162&gt;=5,"5-10", G1162&gt;=1,"1-5", G1162&lt;1,"Less than 1")</f>
        <v>5-10</v>
      </c>
      <c r="I1162">
        <v>0</v>
      </c>
      <c r="J1162">
        <v>3</v>
      </c>
      <c r="K1162" s="6">
        <v>9</v>
      </c>
      <c r="L1162" s="2">
        <v>1.99</v>
      </c>
      <c r="M1162" s="6">
        <v>24</v>
      </c>
      <c r="N1162" t="str" cm="1">
        <f t="array" ref="N1162">_xlfn.IFS(M1162&gt;=50,"50-60 Days", M1162&gt;=40,"40-50 Days", M1162&gt;=30, "30-40 Days", M1162&gt;=20, "20-30 Days", M1162&gt;=10, "10-20 Days", M1162&gt;=0, "0-10 Days")</f>
        <v>20-30 Days</v>
      </c>
    </row>
    <row r="1163" spans="1:14">
      <c r="A1163">
        <v>1162</v>
      </c>
      <c r="B1163" t="s">
        <v>28</v>
      </c>
      <c r="C1163" s="5">
        <v>45124</v>
      </c>
      <c r="D1163" s="8">
        <v>45124</v>
      </c>
      <c r="E1163" s="8">
        <f>IF(B1163="Inactive", EDATE(D1163,K1163), "")</f>
        <v>45216</v>
      </c>
      <c r="F1163" t="s">
        <v>10</v>
      </c>
      <c r="G1163">
        <v>8.8000000000000007</v>
      </c>
      <c r="H1163" t="str" cm="1">
        <f t="array" ref="H1163">_xlfn.IFS(G1163&gt;=20,"20-25", G1163&gt;=15,"15-20", G1163&gt;=10,"10-15", G1163&gt;=5,"5-10", G1163&gt;=1,"1-5", G1163&lt;1,"Less than 1")</f>
        <v>5-10</v>
      </c>
      <c r="I1163">
        <v>0</v>
      </c>
      <c r="J1163">
        <v>3</v>
      </c>
      <c r="K1163" s="6">
        <v>3</v>
      </c>
      <c r="L1163" s="2">
        <v>6.99</v>
      </c>
      <c r="M1163" s="6">
        <v>33</v>
      </c>
      <c r="N1163" t="str" cm="1">
        <f t="array" ref="N1163">_xlfn.IFS(M1163&gt;=50,"50-60 Days", M1163&gt;=40,"40-50 Days", M1163&gt;=30, "30-40 Days", M1163&gt;=20, "20-30 Days", M1163&gt;=10, "10-20 Days", M1163&gt;=0, "0-10 Days")</f>
        <v>30-40 Days</v>
      </c>
    </row>
    <row r="1164" spans="1:14">
      <c r="A1164">
        <v>1163</v>
      </c>
      <c r="B1164" t="s">
        <v>28</v>
      </c>
      <c r="C1164" s="5">
        <v>45513</v>
      </c>
      <c r="D1164" s="8">
        <v>45513</v>
      </c>
      <c r="E1164" s="8">
        <f>IF(B1164="Inactive", EDATE(D1164,K1164), "")</f>
        <v>45605</v>
      </c>
      <c r="F1164" t="s">
        <v>12</v>
      </c>
      <c r="G1164">
        <v>0.8</v>
      </c>
      <c r="H1164" t="str" cm="1">
        <f t="array" ref="H1164">_xlfn.IFS(G1164&gt;=20,"20-25", G1164&gt;=15,"15-20", G1164&gt;=10,"10-15", G1164&gt;=5,"5-10", G1164&gt;=1,"1-5", G1164&lt;1,"Less than 1")</f>
        <v>Less than 1</v>
      </c>
      <c r="I1164">
        <v>1</v>
      </c>
      <c r="J1164">
        <v>4</v>
      </c>
      <c r="K1164" s="6">
        <v>3</v>
      </c>
      <c r="L1164" s="2">
        <v>1.99</v>
      </c>
      <c r="M1164" s="6">
        <v>50</v>
      </c>
      <c r="N1164" t="str" cm="1">
        <f t="array" ref="N1164">_xlfn.IFS(M1164&gt;=50,"50-60 Days", M1164&gt;=40,"40-50 Days", M1164&gt;=30, "30-40 Days", M1164&gt;=20, "20-30 Days", M1164&gt;=10, "10-20 Days", M1164&gt;=0, "0-10 Days")</f>
        <v>50-60 Days</v>
      </c>
    </row>
    <row r="1165" spans="1:14">
      <c r="A1165">
        <v>1164</v>
      </c>
      <c r="B1165" t="s">
        <v>28</v>
      </c>
      <c r="C1165" s="5">
        <v>45117</v>
      </c>
      <c r="D1165" s="8">
        <v>45117</v>
      </c>
      <c r="E1165" s="8">
        <f>IF(B1165="Inactive", EDATE(D1165,K1165), "")</f>
        <v>45453</v>
      </c>
      <c r="F1165" t="s">
        <v>12</v>
      </c>
      <c r="G1165">
        <v>6.8</v>
      </c>
      <c r="H1165" t="str" cm="1">
        <f t="array" ref="H1165">_xlfn.IFS(G1165&gt;=20,"20-25", G1165&gt;=15,"15-20", G1165&gt;=10,"10-15", G1165&gt;=5,"5-10", G1165&gt;=1,"1-5", G1165&lt;1,"Less than 1")</f>
        <v>5-10</v>
      </c>
      <c r="I1165">
        <v>6</v>
      </c>
      <c r="J1165">
        <v>3</v>
      </c>
      <c r="K1165" s="6">
        <v>11</v>
      </c>
      <c r="L1165" s="2">
        <v>1.99</v>
      </c>
      <c r="M1165" s="6">
        <v>46</v>
      </c>
      <c r="N1165" t="str" cm="1">
        <f t="array" ref="N1165">_xlfn.IFS(M1165&gt;=50,"50-60 Days", M1165&gt;=40,"40-50 Days", M1165&gt;=30, "30-40 Days", M1165&gt;=20, "20-30 Days", M1165&gt;=10, "10-20 Days", M1165&gt;=0, "0-10 Days")</f>
        <v>40-50 Days</v>
      </c>
    </row>
    <row r="1166" spans="1:14">
      <c r="A1166">
        <v>1165</v>
      </c>
      <c r="B1166" t="s">
        <v>29</v>
      </c>
      <c r="C1166" s="5">
        <v>45452</v>
      </c>
      <c r="D1166" s="8">
        <v>45452</v>
      </c>
      <c r="E1166" s="8" t="str">
        <f>IF(B1166="Inactive", EDATE(D1166,K1166), "")</f>
        <v/>
      </c>
      <c r="F1166" t="s">
        <v>12</v>
      </c>
      <c r="G1166">
        <v>20</v>
      </c>
      <c r="H1166" t="str" cm="1">
        <f t="array" ref="H1166">_xlfn.IFS(G1166&gt;=20,"20-25", G1166&gt;=15,"15-20", G1166&gt;=10,"10-15", G1166&gt;=5,"5-10", G1166&gt;=1,"1-5", G1166&lt;1,"Less than 1")</f>
        <v>20-25</v>
      </c>
      <c r="I1166">
        <v>0</v>
      </c>
      <c r="J1166">
        <v>1</v>
      </c>
      <c r="K1166" s="6">
        <v>3</v>
      </c>
      <c r="L1166" s="2">
        <v>1.99</v>
      </c>
      <c r="M1166" s="6">
        <v>19</v>
      </c>
      <c r="N1166" t="str" cm="1">
        <f t="array" ref="N1166">_xlfn.IFS(M1166&gt;=50,"50-60 Days", M1166&gt;=40,"40-50 Days", M1166&gt;=30, "30-40 Days", M1166&gt;=20, "20-30 Days", M1166&gt;=10, "10-20 Days", M1166&gt;=0, "0-10 Days")</f>
        <v>10-20 Days</v>
      </c>
    </row>
    <row r="1167" spans="1:14">
      <c r="A1167">
        <v>1166</v>
      </c>
      <c r="B1167" t="s">
        <v>29</v>
      </c>
      <c r="C1167" s="5">
        <v>45544</v>
      </c>
      <c r="D1167" s="8">
        <v>45544</v>
      </c>
      <c r="E1167" s="8" t="str">
        <f>IF(B1167="Inactive", EDATE(D1167,K1167), "")</f>
        <v/>
      </c>
      <c r="F1167" t="s">
        <v>10</v>
      </c>
      <c r="G1167">
        <v>8.1</v>
      </c>
      <c r="H1167" t="str" cm="1">
        <f t="array" ref="H1167">_xlfn.IFS(G1167&gt;=20,"20-25", G1167&gt;=15,"15-20", G1167&gt;=10,"10-15", G1167&gt;=5,"5-10", G1167&gt;=1,"1-5", G1167&lt;1,"Less than 1")</f>
        <v>5-10</v>
      </c>
      <c r="I1167">
        <v>8</v>
      </c>
      <c r="J1167">
        <v>1</v>
      </c>
      <c r="K1167" s="6">
        <v>8</v>
      </c>
      <c r="L1167" s="2">
        <v>6.99</v>
      </c>
      <c r="M1167" s="6">
        <v>9</v>
      </c>
      <c r="N1167" t="str" cm="1">
        <f t="array" ref="N1167">_xlfn.IFS(M1167&gt;=50,"50-60 Days", M1167&gt;=40,"40-50 Days", M1167&gt;=30, "30-40 Days", M1167&gt;=20, "20-30 Days", M1167&gt;=10, "10-20 Days", M1167&gt;=0, "0-10 Days")</f>
        <v>0-10 Days</v>
      </c>
    </row>
    <row r="1168" spans="1:14">
      <c r="A1168">
        <v>1167</v>
      </c>
      <c r="B1168" t="s">
        <v>29</v>
      </c>
      <c r="C1168" s="5">
        <v>45075</v>
      </c>
      <c r="D1168" s="8">
        <v>45075</v>
      </c>
      <c r="E1168" s="8" t="str">
        <f>IF(B1168="Inactive", EDATE(D1168,K1168), "")</f>
        <v/>
      </c>
      <c r="F1168" t="s">
        <v>14</v>
      </c>
      <c r="G1168">
        <v>9.5</v>
      </c>
      <c r="H1168" t="str" cm="1">
        <f t="array" ref="H1168">_xlfn.IFS(G1168&gt;=20,"20-25", G1168&gt;=15,"15-20", G1168&gt;=10,"10-15", G1168&gt;=5,"5-10", G1168&gt;=1,"1-5", G1168&lt;1,"Less than 1")</f>
        <v>5-10</v>
      </c>
      <c r="I1168">
        <v>0</v>
      </c>
      <c r="J1168">
        <v>4</v>
      </c>
      <c r="K1168" s="6">
        <v>7</v>
      </c>
      <c r="L1168" s="2">
        <v>3.99</v>
      </c>
      <c r="M1168" s="6">
        <v>37</v>
      </c>
      <c r="N1168" t="str" cm="1">
        <f t="array" ref="N1168">_xlfn.IFS(M1168&gt;=50,"50-60 Days", M1168&gt;=40,"40-50 Days", M1168&gt;=30, "30-40 Days", M1168&gt;=20, "20-30 Days", M1168&gt;=10, "10-20 Days", M1168&gt;=0, "0-10 Days")</f>
        <v>30-40 Days</v>
      </c>
    </row>
    <row r="1169" spans="1:14">
      <c r="A1169">
        <v>1168</v>
      </c>
      <c r="B1169" t="s">
        <v>28</v>
      </c>
      <c r="C1169" s="5">
        <v>45132</v>
      </c>
      <c r="D1169" s="8">
        <v>45132</v>
      </c>
      <c r="E1169" s="8">
        <f>IF(B1169="Inactive", EDATE(D1169,K1169), "")</f>
        <v>45316</v>
      </c>
      <c r="F1169" t="s">
        <v>12</v>
      </c>
      <c r="G1169">
        <v>12.9</v>
      </c>
      <c r="H1169" t="str" cm="1">
        <f t="array" ref="H1169">_xlfn.IFS(G1169&gt;=20,"20-25", G1169&gt;=15,"15-20", G1169&gt;=10,"10-15", G1169&gt;=5,"5-10", G1169&gt;=1,"1-5", G1169&lt;1,"Less than 1")</f>
        <v>10-15</v>
      </c>
      <c r="I1169">
        <v>8</v>
      </c>
      <c r="J1169">
        <v>0</v>
      </c>
      <c r="K1169" s="6">
        <v>6</v>
      </c>
      <c r="L1169" s="2">
        <v>1.99</v>
      </c>
      <c r="M1169" s="6">
        <v>27</v>
      </c>
      <c r="N1169" t="str" cm="1">
        <f t="array" ref="N1169">_xlfn.IFS(M1169&gt;=50,"50-60 Days", M1169&gt;=40,"40-50 Days", M1169&gt;=30, "30-40 Days", M1169&gt;=20, "20-30 Days", M1169&gt;=10, "10-20 Days", M1169&gt;=0, "0-10 Days")</f>
        <v>20-30 Days</v>
      </c>
    </row>
    <row r="1170" spans="1:14">
      <c r="A1170">
        <v>1169</v>
      </c>
      <c r="B1170" t="s">
        <v>28</v>
      </c>
      <c r="C1170" s="5">
        <v>45635</v>
      </c>
      <c r="D1170" s="8">
        <v>45635</v>
      </c>
      <c r="E1170" s="8">
        <f>IF(B1170="Inactive", EDATE(D1170,K1170), "")</f>
        <v>45786</v>
      </c>
      <c r="F1170" t="s">
        <v>10</v>
      </c>
      <c r="G1170">
        <v>19.7</v>
      </c>
      <c r="H1170" t="str" cm="1">
        <f t="array" ref="H1170">_xlfn.IFS(G1170&gt;=20,"20-25", G1170&gt;=15,"15-20", G1170&gt;=10,"10-15", G1170&gt;=5,"5-10", G1170&gt;=1,"1-5", G1170&lt;1,"Less than 1")</f>
        <v>15-20</v>
      </c>
      <c r="I1170">
        <v>5</v>
      </c>
      <c r="J1170">
        <v>1</v>
      </c>
      <c r="K1170" s="6">
        <v>5</v>
      </c>
      <c r="L1170" s="2">
        <v>6.99</v>
      </c>
      <c r="M1170" s="6">
        <v>42</v>
      </c>
      <c r="N1170" t="str" cm="1">
        <f t="array" ref="N1170">_xlfn.IFS(M1170&gt;=50,"50-60 Days", M1170&gt;=40,"40-50 Days", M1170&gt;=30, "30-40 Days", M1170&gt;=20, "20-30 Days", M1170&gt;=10, "10-20 Days", M1170&gt;=0, "0-10 Days")</f>
        <v>40-50 Days</v>
      </c>
    </row>
    <row r="1171" spans="1:14">
      <c r="A1171">
        <v>1170</v>
      </c>
      <c r="B1171" t="s">
        <v>28</v>
      </c>
      <c r="C1171" s="5">
        <v>45093</v>
      </c>
      <c r="D1171" s="8">
        <v>45093</v>
      </c>
      <c r="E1171" s="8">
        <f>IF(B1171="Inactive", EDATE(D1171,K1171), "")</f>
        <v>45338</v>
      </c>
      <c r="F1171" t="s">
        <v>14</v>
      </c>
      <c r="G1171">
        <v>21.4</v>
      </c>
      <c r="H1171" t="str" cm="1">
        <f t="array" ref="H1171">_xlfn.IFS(G1171&gt;=20,"20-25", G1171&gt;=15,"15-20", G1171&gt;=10,"10-15", G1171&gt;=5,"5-10", G1171&gt;=1,"1-5", G1171&lt;1,"Less than 1")</f>
        <v>20-25</v>
      </c>
      <c r="I1171">
        <v>5</v>
      </c>
      <c r="J1171">
        <v>4</v>
      </c>
      <c r="K1171" s="6">
        <v>8</v>
      </c>
      <c r="L1171" s="2">
        <v>3.99</v>
      </c>
      <c r="M1171" s="6">
        <v>19</v>
      </c>
      <c r="N1171" t="str" cm="1">
        <f t="array" ref="N1171">_xlfn.IFS(M1171&gt;=50,"50-60 Days", M1171&gt;=40,"40-50 Days", M1171&gt;=30, "30-40 Days", M1171&gt;=20, "20-30 Days", M1171&gt;=10, "10-20 Days", M1171&gt;=0, "0-10 Days")</f>
        <v>10-20 Days</v>
      </c>
    </row>
    <row r="1172" spans="1:14">
      <c r="A1172">
        <v>1171</v>
      </c>
      <c r="B1172" t="s">
        <v>29</v>
      </c>
      <c r="C1172" s="5">
        <v>45581</v>
      </c>
      <c r="D1172" s="8">
        <v>45581</v>
      </c>
      <c r="E1172" s="8" t="str">
        <f>IF(B1172="Inactive", EDATE(D1172,K1172), "")</f>
        <v/>
      </c>
      <c r="F1172" t="s">
        <v>12</v>
      </c>
      <c r="G1172">
        <v>22</v>
      </c>
      <c r="H1172" t="str" cm="1">
        <f t="array" ref="H1172">_xlfn.IFS(G1172&gt;=20,"20-25", G1172&gt;=15,"15-20", G1172&gt;=10,"10-15", G1172&gt;=5,"5-10", G1172&gt;=1,"1-5", G1172&lt;1,"Less than 1")</f>
        <v>20-25</v>
      </c>
      <c r="I1172">
        <v>0</v>
      </c>
      <c r="J1172">
        <v>3</v>
      </c>
      <c r="K1172" s="6">
        <v>10</v>
      </c>
      <c r="L1172" s="2">
        <v>1.99</v>
      </c>
      <c r="M1172" s="6">
        <v>14</v>
      </c>
      <c r="N1172" t="str" cm="1">
        <f t="array" ref="N1172">_xlfn.IFS(M1172&gt;=50,"50-60 Days", M1172&gt;=40,"40-50 Days", M1172&gt;=30, "30-40 Days", M1172&gt;=20, "20-30 Days", M1172&gt;=10, "10-20 Days", M1172&gt;=0, "0-10 Days")</f>
        <v>10-20 Days</v>
      </c>
    </row>
    <row r="1173" spans="1:14">
      <c r="A1173">
        <v>1172</v>
      </c>
      <c r="B1173" t="s">
        <v>29</v>
      </c>
      <c r="C1173" s="5">
        <v>45266</v>
      </c>
      <c r="D1173" s="8">
        <v>45266</v>
      </c>
      <c r="E1173" s="8" t="str">
        <f>IF(B1173="Inactive", EDATE(D1173,K1173), "")</f>
        <v/>
      </c>
      <c r="F1173" t="s">
        <v>12</v>
      </c>
      <c r="G1173">
        <v>11.9</v>
      </c>
      <c r="H1173" t="str" cm="1">
        <f t="array" ref="H1173">_xlfn.IFS(G1173&gt;=20,"20-25", G1173&gt;=15,"15-20", G1173&gt;=10,"10-15", G1173&gt;=5,"5-10", G1173&gt;=1,"1-5", G1173&lt;1,"Less than 1")</f>
        <v>10-15</v>
      </c>
      <c r="I1173">
        <v>3</v>
      </c>
      <c r="J1173">
        <v>1</v>
      </c>
      <c r="K1173" s="6">
        <v>5</v>
      </c>
      <c r="L1173" s="2">
        <v>1.99</v>
      </c>
      <c r="M1173" s="6">
        <v>30</v>
      </c>
      <c r="N1173" t="str" cm="1">
        <f t="array" ref="N1173">_xlfn.IFS(M1173&gt;=50,"50-60 Days", M1173&gt;=40,"40-50 Days", M1173&gt;=30, "30-40 Days", M1173&gt;=20, "20-30 Days", M1173&gt;=10, "10-20 Days", M1173&gt;=0, "0-10 Days")</f>
        <v>30-40 Days</v>
      </c>
    </row>
    <row r="1174" spans="1:14">
      <c r="A1174">
        <v>1173</v>
      </c>
      <c r="B1174" t="s">
        <v>28</v>
      </c>
      <c r="C1174" s="5">
        <v>45293</v>
      </c>
      <c r="D1174" s="8">
        <v>45293</v>
      </c>
      <c r="E1174" s="8">
        <f>IF(B1174="Inactive", EDATE(D1174,K1174), "")</f>
        <v>45567</v>
      </c>
      <c r="F1174" t="s">
        <v>10</v>
      </c>
      <c r="G1174">
        <v>5.5</v>
      </c>
      <c r="H1174" t="str" cm="1">
        <f t="array" ref="H1174">_xlfn.IFS(G1174&gt;=20,"20-25", G1174&gt;=15,"15-20", G1174&gt;=10,"10-15", G1174&gt;=5,"5-10", G1174&gt;=1,"1-5", G1174&lt;1,"Less than 1")</f>
        <v>5-10</v>
      </c>
      <c r="I1174">
        <v>2</v>
      </c>
      <c r="J1174">
        <v>0</v>
      </c>
      <c r="K1174" s="6">
        <v>9</v>
      </c>
      <c r="L1174" s="2">
        <v>6.99</v>
      </c>
      <c r="M1174" s="6">
        <v>23</v>
      </c>
      <c r="N1174" t="str" cm="1">
        <f t="array" ref="N1174">_xlfn.IFS(M1174&gt;=50,"50-60 Days", M1174&gt;=40,"40-50 Days", M1174&gt;=30, "30-40 Days", M1174&gt;=20, "20-30 Days", M1174&gt;=10, "10-20 Days", M1174&gt;=0, "0-10 Days")</f>
        <v>20-30 Days</v>
      </c>
    </row>
    <row r="1175" spans="1:14">
      <c r="A1175">
        <v>1174</v>
      </c>
      <c r="B1175" t="s">
        <v>28</v>
      </c>
      <c r="C1175" s="5">
        <v>45295</v>
      </c>
      <c r="D1175" s="8">
        <v>45295</v>
      </c>
      <c r="E1175" s="8">
        <f>IF(B1175="Inactive", EDATE(D1175,K1175), "")</f>
        <v>45661</v>
      </c>
      <c r="F1175" t="s">
        <v>12</v>
      </c>
      <c r="G1175">
        <v>3.3</v>
      </c>
      <c r="H1175" t="str" cm="1">
        <f t="array" ref="H1175">_xlfn.IFS(G1175&gt;=20,"20-25", G1175&gt;=15,"15-20", G1175&gt;=10,"10-15", G1175&gt;=5,"5-10", G1175&gt;=1,"1-5", G1175&lt;1,"Less than 1")</f>
        <v>1-5</v>
      </c>
      <c r="I1175">
        <v>4</v>
      </c>
      <c r="J1175">
        <v>3</v>
      </c>
      <c r="K1175" s="6">
        <v>12</v>
      </c>
      <c r="L1175" s="2">
        <v>1.99</v>
      </c>
      <c r="M1175" s="6">
        <v>12</v>
      </c>
      <c r="N1175" t="str" cm="1">
        <f t="array" ref="N1175">_xlfn.IFS(M1175&gt;=50,"50-60 Days", M1175&gt;=40,"40-50 Days", M1175&gt;=30, "30-40 Days", M1175&gt;=20, "20-30 Days", M1175&gt;=10, "10-20 Days", M1175&gt;=0, "0-10 Days")</f>
        <v>10-20 Days</v>
      </c>
    </row>
    <row r="1176" spans="1:14">
      <c r="A1176">
        <v>1175</v>
      </c>
      <c r="B1176" t="s">
        <v>29</v>
      </c>
      <c r="C1176" s="5">
        <v>45105</v>
      </c>
      <c r="D1176" s="8">
        <v>45105</v>
      </c>
      <c r="E1176" s="8" t="str">
        <f>IF(B1176="Inactive", EDATE(D1176,K1176), "")</f>
        <v/>
      </c>
      <c r="F1176" t="s">
        <v>12</v>
      </c>
      <c r="G1176">
        <v>5.4</v>
      </c>
      <c r="H1176" t="str" cm="1">
        <f t="array" ref="H1176">_xlfn.IFS(G1176&gt;=20,"20-25", G1176&gt;=15,"15-20", G1176&gt;=10,"10-15", G1176&gt;=5,"5-10", G1176&gt;=1,"1-5", G1176&lt;1,"Less than 1")</f>
        <v>5-10</v>
      </c>
      <c r="I1176">
        <v>4</v>
      </c>
      <c r="J1176">
        <v>1</v>
      </c>
      <c r="K1176" s="6">
        <v>1</v>
      </c>
      <c r="L1176" s="2">
        <v>1.99</v>
      </c>
      <c r="M1176" s="6">
        <v>14</v>
      </c>
      <c r="N1176" t="str" cm="1">
        <f t="array" ref="N1176">_xlfn.IFS(M1176&gt;=50,"50-60 Days", M1176&gt;=40,"40-50 Days", M1176&gt;=30, "30-40 Days", M1176&gt;=20, "20-30 Days", M1176&gt;=10, "10-20 Days", M1176&gt;=0, "0-10 Days")</f>
        <v>10-20 Days</v>
      </c>
    </row>
    <row r="1177" spans="1:14">
      <c r="A1177">
        <v>1176</v>
      </c>
      <c r="B1177" t="s">
        <v>29</v>
      </c>
      <c r="C1177" s="5">
        <v>45030</v>
      </c>
      <c r="D1177" s="8">
        <v>45030</v>
      </c>
      <c r="E1177" s="8" t="str">
        <f>IF(B1177="Inactive", EDATE(D1177,K1177), "")</f>
        <v/>
      </c>
      <c r="F1177" t="s">
        <v>14</v>
      </c>
      <c r="G1177">
        <v>6.5</v>
      </c>
      <c r="H1177" t="str" cm="1">
        <f t="array" ref="H1177">_xlfn.IFS(G1177&gt;=20,"20-25", G1177&gt;=15,"15-20", G1177&gt;=10,"10-15", G1177&gt;=5,"5-10", G1177&gt;=1,"1-5", G1177&lt;1,"Less than 1")</f>
        <v>5-10</v>
      </c>
      <c r="I1177">
        <v>3</v>
      </c>
      <c r="J1177">
        <v>0</v>
      </c>
      <c r="K1177" s="6">
        <v>12</v>
      </c>
      <c r="L1177" s="2">
        <v>3.99</v>
      </c>
      <c r="M1177" s="6">
        <v>11</v>
      </c>
      <c r="N1177" t="str" cm="1">
        <f t="array" ref="N1177">_xlfn.IFS(M1177&gt;=50,"50-60 Days", M1177&gt;=40,"40-50 Days", M1177&gt;=30, "30-40 Days", M1177&gt;=20, "20-30 Days", M1177&gt;=10, "10-20 Days", M1177&gt;=0, "0-10 Days")</f>
        <v>10-20 Days</v>
      </c>
    </row>
    <row r="1178" spans="1:14">
      <c r="A1178">
        <v>1177</v>
      </c>
      <c r="B1178" t="s">
        <v>28</v>
      </c>
      <c r="C1178" s="5">
        <v>45394</v>
      </c>
      <c r="D1178" s="8">
        <v>45394</v>
      </c>
      <c r="E1178" s="8">
        <f>IF(B1178="Inactive", EDATE(D1178,K1178), "")</f>
        <v>45485</v>
      </c>
      <c r="F1178" t="s">
        <v>12</v>
      </c>
      <c r="G1178">
        <v>9.8000000000000007</v>
      </c>
      <c r="H1178" t="str" cm="1">
        <f t="array" ref="H1178">_xlfn.IFS(G1178&gt;=20,"20-25", G1178&gt;=15,"15-20", G1178&gt;=10,"10-15", G1178&gt;=5,"5-10", G1178&gt;=1,"1-5", G1178&lt;1,"Less than 1")</f>
        <v>5-10</v>
      </c>
      <c r="I1178">
        <v>1</v>
      </c>
      <c r="J1178">
        <v>2</v>
      </c>
      <c r="K1178" s="6">
        <v>3</v>
      </c>
      <c r="L1178" s="2">
        <v>1.99</v>
      </c>
      <c r="M1178" s="6">
        <v>59</v>
      </c>
      <c r="N1178" t="str" cm="1">
        <f t="array" ref="N1178">_xlfn.IFS(M1178&gt;=50,"50-60 Days", M1178&gt;=40,"40-50 Days", M1178&gt;=30, "30-40 Days", M1178&gt;=20, "20-30 Days", M1178&gt;=10, "10-20 Days", M1178&gt;=0, "0-10 Days")</f>
        <v>50-60 Days</v>
      </c>
    </row>
    <row r="1179" spans="1:14">
      <c r="A1179">
        <v>1178</v>
      </c>
      <c r="B1179" t="s">
        <v>29</v>
      </c>
      <c r="C1179" s="5">
        <v>45371</v>
      </c>
      <c r="D1179" s="8">
        <v>45371</v>
      </c>
      <c r="E1179" s="8" t="str">
        <f>IF(B1179="Inactive", EDATE(D1179,K1179), "")</f>
        <v/>
      </c>
      <c r="F1179" t="s">
        <v>12</v>
      </c>
      <c r="G1179">
        <v>20.3</v>
      </c>
      <c r="H1179" t="str" cm="1">
        <f t="array" ref="H1179">_xlfn.IFS(G1179&gt;=20,"20-25", G1179&gt;=15,"15-20", G1179&gt;=10,"10-15", G1179&gt;=5,"5-10", G1179&gt;=1,"1-5", G1179&lt;1,"Less than 1")</f>
        <v>20-25</v>
      </c>
      <c r="I1179">
        <v>2</v>
      </c>
      <c r="J1179">
        <v>4</v>
      </c>
      <c r="K1179" s="6">
        <v>8</v>
      </c>
      <c r="L1179" s="2">
        <v>1.99</v>
      </c>
      <c r="M1179" s="6">
        <v>51</v>
      </c>
      <c r="N1179" t="str" cm="1">
        <f t="array" ref="N1179">_xlfn.IFS(M1179&gt;=50,"50-60 Days", M1179&gt;=40,"40-50 Days", M1179&gt;=30, "30-40 Days", M1179&gt;=20, "20-30 Days", M1179&gt;=10, "10-20 Days", M1179&gt;=0, "0-10 Days")</f>
        <v>50-60 Days</v>
      </c>
    </row>
    <row r="1180" spans="1:14">
      <c r="A1180">
        <v>1179</v>
      </c>
      <c r="B1180" t="s">
        <v>29</v>
      </c>
      <c r="C1180" s="5">
        <v>45638</v>
      </c>
      <c r="D1180" s="8">
        <v>45638</v>
      </c>
      <c r="E1180" s="8" t="str">
        <f>IF(B1180="Inactive", EDATE(D1180,K1180), "")</f>
        <v/>
      </c>
      <c r="F1180" t="s">
        <v>10</v>
      </c>
      <c r="G1180">
        <v>3.4</v>
      </c>
      <c r="H1180" t="str" cm="1">
        <f t="array" ref="H1180">_xlfn.IFS(G1180&gt;=20,"20-25", G1180&gt;=15,"15-20", G1180&gt;=10,"10-15", G1180&gt;=5,"5-10", G1180&gt;=1,"1-5", G1180&lt;1,"Less than 1")</f>
        <v>1-5</v>
      </c>
      <c r="I1180">
        <v>2</v>
      </c>
      <c r="J1180">
        <v>1</v>
      </c>
      <c r="K1180" s="6">
        <v>2</v>
      </c>
      <c r="L1180" s="2">
        <v>6.99</v>
      </c>
      <c r="M1180" s="6">
        <v>12</v>
      </c>
      <c r="N1180" t="str" cm="1">
        <f t="array" ref="N1180">_xlfn.IFS(M1180&gt;=50,"50-60 Days", M1180&gt;=40,"40-50 Days", M1180&gt;=30, "30-40 Days", M1180&gt;=20, "20-30 Days", M1180&gt;=10, "10-20 Days", M1180&gt;=0, "0-10 Days")</f>
        <v>10-20 Days</v>
      </c>
    </row>
    <row r="1181" spans="1:14">
      <c r="A1181">
        <v>1180</v>
      </c>
      <c r="B1181" t="s">
        <v>29</v>
      </c>
      <c r="C1181" s="5">
        <v>45120</v>
      </c>
      <c r="D1181" s="8">
        <v>45120</v>
      </c>
      <c r="E1181" s="8" t="str">
        <f>IF(B1181="Inactive", EDATE(D1181,K1181), "")</f>
        <v/>
      </c>
      <c r="F1181" t="s">
        <v>14</v>
      </c>
      <c r="G1181">
        <v>15.2</v>
      </c>
      <c r="H1181" t="str" cm="1">
        <f t="array" ref="H1181">_xlfn.IFS(G1181&gt;=20,"20-25", G1181&gt;=15,"15-20", G1181&gt;=10,"10-15", G1181&gt;=5,"5-10", G1181&gt;=1,"1-5", G1181&lt;1,"Less than 1")</f>
        <v>15-20</v>
      </c>
      <c r="I1181">
        <v>3</v>
      </c>
      <c r="J1181">
        <v>0</v>
      </c>
      <c r="K1181" s="6">
        <v>7</v>
      </c>
      <c r="L1181" s="2">
        <v>3.99</v>
      </c>
      <c r="M1181" s="6">
        <v>48</v>
      </c>
      <c r="N1181" t="str" cm="1">
        <f t="array" ref="N1181">_xlfn.IFS(M1181&gt;=50,"50-60 Days", M1181&gt;=40,"40-50 Days", M1181&gt;=30, "30-40 Days", M1181&gt;=20, "20-30 Days", M1181&gt;=10, "10-20 Days", M1181&gt;=0, "0-10 Days")</f>
        <v>40-50 Days</v>
      </c>
    </row>
    <row r="1182" spans="1:14">
      <c r="A1182">
        <v>1181</v>
      </c>
      <c r="B1182" t="s">
        <v>29</v>
      </c>
      <c r="C1182" s="5">
        <v>45213</v>
      </c>
      <c r="D1182" s="8">
        <v>45213</v>
      </c>
      <c r="E1182" s="8" t="str">
        <f>IF(B1182="Inactive", EDATE(D1182,K1182), "")</f>
        <v/>
      </c>
      <c r="F1182" t="s">
        <v>10</v>
      </c>
      <c r="G1182">
        <v>19.8</v>
      </c>
      <c r="H1182" t="str" cm="1">
        <f t="array" ref="H1182">_xlfn.IFS(G1182&gt;=20,"20-25", G1182&gt;=15,"15-20", G1182&gt;=10,"10-15", G1182&gt;=5,"5-10", G1182&gt;=1,"1-5", G1182&lt;1,"Less than 1")</f>
        <v>15-20</v>
      </c>
      <c r="I1182">
        <v>5</v>
      </c>
      <c r="J1182">
        <v>1</v>
      </c>
      <c r="K1182" s="6">
        <v>7</v>
      </c>
      <c r="L1182" s="2">
        <v>6.99</v>
      </c>
      <c r="M1182" s="6">
        <v>3</v>
      </c>
      <c r="N1182" t="str" cm="1">
        <f t="array" ref="N1182">_xlfn.IFS(M1182&gt;=50,"50-60 Days", M1182&gt;=40,"40-50 Days", M1182&gt;=30, "30-40 Days", M1182&gt;=20, "20-30 Days", M1182&gt;=10, "10-20 Days", M1182&gt;=0, "0-10 Days")</f>
        <v>0-10 Days</v>
      </c>
    </row>
    <row r="1183" spans="1:14">
      <c r="A1183">
        <v>1182</v>
      </c>
      <c r="B1183" t="s">
        <v>28</v>
      </c>
      <c r="C1183" s="5">
        <v>45408</v>
      </c>
      <c r="D1183" s="8">
        <v>45408</v>
      </c>
      <c r="E1183" s="8">
        <f>IF(B1183="Inactive", EDATE(D1183,K1183), "")</f>
        <v>45742</v>
      </c>
      <c r="F1183" t="s">
        <v>12</v>
      </c>
      <c r="G1183">
        <v>24.2</v>
      </c>
      <c r="H1183" t="str" cm="1">
        <f t="array" ref="H1183">_xlfn.IFS(G1183&gt;=20,"20-25", G1183&gt;=15,"15-20", G1183&gt;=10,"10-15", G1183&gt;=5,"5-10", G1183&gt;=1,"1-5", G1183&lt;1,"Less than 1")</f>
        <v>20-25</v>
      </c>
      <c r="I1183">
        <v>7</v>
      </c>
      <c r="J1183">
        <v>1</v>
      </c>
      <c r="K1183" s="6">
        <v>11</v>
      </c>
      <c r="L1183" s="2">
        <v>1.99</v>
      </c>
      <c r="M1183" s="6">
        <v>46</v>
      </c>
      <c r="N1183" t="str" cm="1">
        <f t="array" ref="N1183">_xlfn.IFS(M1183&gt;=50,"50-60 Days", M1183&gt;=40,"40-50 Days", M1183&gt;=30, "30-40 Days", M1183&gt;=20, "20-30 Days", M1183&gt;=10, "10-20 Days", M1183&gt;=0, "0-10 Days")</f>
        <v>40-50 Days</v>
      </c>
    </row>
    <row r="1184" spans="1:14">
      <c r="A1184">
        <v>1183</v>
      </c>
      <c r="B1184" t="s">
        <v>28</v>
      </c>
      <c r="C1184" s="5">
        <v>45437</v>
      </c>
      <c r="D1184" s="8">
        <v>45437</v>
      </c>
      <c r="E1184" s="8">
        <f>IF(B1184="Inactive", EDATE(D1184,K1184), "")</f>
        <v>45498</v>
      </c>
      <c r="F1184" t="s">
        <v>10</v>
      </c>
      <c r="G1184">
        <v>4.5999999999999996</v>
      </c>
      <c r="H1184" t="str" cm="1">
        <f t="array" ref="H1184">_xlfn.IFS(G1184&gt;=20,"20-25", G1184&gt;=15,"15-20", G1184&gt;=10,"10-15", G1184&gt;=5,"5-10", G1184&gt;=1,"1-5", G1184&lt;1,"Less than 1")</f>
        <v>1-5</v>
      </c>
      <c r="I1184">
        <v>6</v>
      </c>
      <c r="J1184">
        <v>5</v>
      </c>
      <c r="K1184" s="6">
        <v>2</v>
      </c>
      <c r="L1184" s="2">
        <v>6.99</v>
      </c>
      <c r="M1184" s="6">
        <v>48</v>
      </c>
      <c r="N1184" t="str" cm="1">
        <f t="array" ref="N1184">_xlfn.IFS(M1184&gt;=50,"50-60 Days", M1184&gt;=40,"40-50 Days", M1184&gt;=30, "30-40 Days", M1184&gt;=20, "20-30 Days", M1184&gt;=10, "10-20 Days", M1184&gt;=0, "0-10 Days")</f>
        <v>40-50 Days</v>
      </c>
    </row>
    <row r="1185" spans="1:14">
      <c r="A1185">
        <v>1184</v>
      </c>
      <c r="B1185" t="s">
        <v>28</v>
      </c>
      <c r="C1185" s="5">
        <v>45433</v>
      </c>
      <c r="D1185" s="8">
        <v>45433</v>
      </c>
      <c r="E1185" s="8">
        <f>IF(B1185="Inactive", EDATE(D1185,K1185), "")</f>
        <v>45737</v>
      </c>
      <c r="F1185" t="s">
        <v>10</v>
      </c>
      <c r="G1185">
        <v>4.9000000000000004</v>
      </c>
      <c r="H1185" t="str" cm="1">
        <f t="array" ref="H1185">_xlfn.IFS(G1185&gt;=20,"20-25", G1185&gt;=15,"15-20", G1185&gt;=10,"10-15", G1185&gt;=5,"5-10", G1185&gt;=1,"1-5", G1185&lt;1,"Less than 1")</f>
        <v>1-5</v>
      </c>
      <c r="I1185">
        <v>5</v>
      </c>
      <c r="J1185">
        <v>4</v>
      </c>
      <c r="K1185" s="6">
        <v>10</v>
      </c>
      <c r="L1185" s="2">
        <v>6.99</v>
      </c>
      <c r="M1185" s="6">
        <v>44</v>
      </c>
      <c r="N1185" t="str" cm="1">
        <f t="array" ref="N1185">_xlfn.IFS(M1185&gt;=50,"50-60 Days", M1185&gt;=40,"40-50 Days", M1185&gt;=30, "30-40 Days", M1185&gt;=20, "20-30 Days", M1185&gt;=10, "10-20 Days", M1185&gt;=0, "0-10 Days")</f>
        <v>40-50 Days</v>
      </c>
    </row>
    <row r="1186" spans="1:14">
      <c r="A1186">
        <v>1185</v>
      </c>
      <c r="B1186" t="s">
        <v>29</v>
      </c>
      <c r="C1186" s="5">
        <v>45389</v>
      </c>
      <c r="D1186" s="8">
        <v>45389</v>
      </c>
      <c r="E1186" s="8" t="str">
        <f>IF(B1186="Inactive", EDATE(D1186,K1186), "")</f>
        <v/>
      </c>
      <c r="F1186" t="s">
        <v>14</v>
      </c>
      <c r="G1186">
        <v>14.7</v>
      </c>
      <c r="H1186" t="str" cm="1">
        <f t="array" ref="H1186">_xlfn.IFS(G1186&gt;=20,"20-25", G1186&gt;=15,"15-20", G1186&gt;=10,"10-15", G1186&gt;=5,"5-10", G1186&gt;=1,"1-5", G1186&lt;1,"Less than 1")</f>
        <v>10-15</v>
      </c>
      <c r="I1186">
        <v>0</v>
      </c>
      <c r="J1186">
        <v>1</v>
      </c>
      <c r="K1186" s="6">
        <v>6</v>
      </c>
      <c r="L1186" s="2">
        <v>3.99</v>
      </c>
      <c r="M1186" s="6">
        <v>14</v>
      </c>
      <c r="N1186" t="str" cm="1">
        <f t="array" ref="N1186">_xlfn.IFS(M1186&gt;=50,"50-60 Days", M1186&gt;=40,"40-50 Days", M1186&gt;=30, "30-40 Days", M1186&gt;=20, "20-30 Days", M1186&gt;=10, "10-20 Days", M1186&gt;=0, "0-10 Days")</f>
        <v>10-20 Days</v>
      </c>
    </row>
    <row r="1187" spans="1:14">
      <c r="A1187">
        <v>1186</v>
      </c>
      <c r="B1187" t="s">
        <v>28</v>
      </c>
      <c r="C1187" s="5">
        <v>45310</v>
      </c>
      <c r="D1187" s="8">
        <v>45310</v>
      </c>
      <c r="E1187" s="8">
        <f>IF(B1187="Inactive", EDATE(D1187,K1187), "")</f>
        <v>45584</v>
      </c>
      <c r="F1187" t="s">
        <v>12</v>
      </c>
      <c r="G1187">
        <v>5.9</v>
      </c>
      <c r="H1187" t="str" cm="1">
        <f t="array" ref="H1187">_xlfn.IFS(G1187&gt;=20,"20-25", G1187&gt;=15,"15-20", G1187&gt;=10,"10-15", G1187&gt;=5,"5-10", G1187&gt;=1,"1-5", G1187&lt;1,"Less than 1")</f>
        <v>5-10</v>
      </c>
      <c r="I1187">
        <v>6</v>
      </c>
      <c r="J1187">
        <v>3</v>
      </c>
      <c r="K1187" s="6">
        <v>9</v>
      </c>
      <c r="L1187" s="2">
        <v>1.99</v>
      </c>
      <c r="M1187" s="6">
        <v>36</v>
      </c>
      <c r="N1187" t="str" cm="1">
        <f t="array" ref="N1187">_xlfn.IFS(M1187&gt;=50,"50-60 Days", M1187&gt;=40,"40-50 Days", M1187&gt;=30, "30-40 Days", M1187&gt;=20, "20-30 Days", M1187&gt;=10, "10-20 Days", M1187&gt;=0, "0-10 Days")</f>
        <v>30-40 Days</v>
      </c>
    </row>
    <row r="1188" spans="1:14">
      <c r="A1188">
        <v>1187</v>
      </c>
      <c r="B1188" t="s">
        <v>28</v>
      </c>
      <c r="C1188" s="5">
        <v>45162</v>
      </c>
      <c r="D1188" s="8">
        <v>45162</v>
      </c>
      <c r="E1188" s="8">
        <f>IF(B1188="Inactive", EDATE(D1188,K1188), "")</f>
        <v>45528</v>
      </c>
      <c r="F1188" t="s">
        <v>14</v>
      </c>
      <c r="G1188">
        <v>2.6</v>
      </c>
      <c r="H1188" t="str" cm="1">
        <f t="array" ref="H1188">_xlfn.IFS(G1188&gt;=20,"20-25", G1188&gt;=15,"15-20", G1188&gt;=10,"10-15", G1188&gt;=5,"5-10", G1188&gt;=1,"1-5", G1188&lt;1,"Less than 1")</f>
        <v>1-5</v>
      </c>
      <c r="I1188">
        <v>1</v>
      </c>
      <c r="J1188">
        <v>2</v>
      </c>
      <c r="K1188" s="6">
        <v>12</v>
      </c>
      <c r="L1188" s="2">
        <v>3.99</v>
      </c>
      <c r="M1188" s="6">
        <v>28</v>
      </c>
      <c r="N1188" t="str" cm="1">
        <f t="array" ref="N1188">_xlfn.IFS(M1188&gt;=50,"50-60 Days", M1188&gt;=40,"40-50 Days", M1188&gt;=30, "30-40 Days", M1188&gt;=20, "20-30 Days", M1188&gt;=10, "10-20 Days", M1188&gt;=0, "0-10 Days")</f>
        <v>20-30 Days</v>
      </c>
    </row>
    <row r="1189" spans="1:14">
      <c r="A1189">
        <v>1188</v>
      </c>
      <c r="B1189" t="s">
        <v>28</v>
      </c>
      <c r="C1189" s="5">
        <v>45345</v>
      </c>
      <c r="D1189" s="8">
        <v>45345</v>
      </c>
      <c r="E1189" s="8">
        <f>IF(B1189="Inactive", EDATE(D1189,K1189), "")</f>
        <v>45374</v>
      </c>
      <c r="F1189" t="s">
        <v>10</v>
      </c>
      <c r="G1189">
        <v>11.9</v>
      </c>
      <c r="H1189" t="str" cm="1">
        <f t="array" ref="H1189">_xlfn.IFS(G1189&gt;=20,"20-25", G1189&gt;=15,"15-20", G1189&gt;=10,"10-15", G1189&gt;=5,"5-10", G1189&gt;=1,"1-5", G1189&lt;1,"Less than 1")</f>
        <v>10-15</v>
      </c>
      <c r="I1189">
        <v>5</v>
      </c>
      <c r="J1189">
        <v>3</v>
      </c>
      <c r="K1189" s="6">
        <v>1</v>
      </c>
      <c r="L1189" s="2">
        <v>6.99</v>
      </c>
      <c r="M1189" s="6">
        <v>28</v>
      </c>
      <c r="N1189" t="str" cm="1">
        <f t="array" ref="N1189">_xlfn.IFS(M1189&gt;=50,"50-60 Days", M1189&gt;=40,"40-50 Days", M1189&gt;=30, "30-40 Days", M1189&gt;=20, "20-30 Days", M1189&gt;=10, "10-20 Days", M1189&gt;=0, "0-10 Days")</f>
        <v>20-30 Days</v>
      </c>
    </row>
    <row r="1190" spans="1:14">
      <c r="A1190">
        <v>1189</v>
      </c>
      <c r="B1190" t="s">
        <v>29</v>
      </c>
      <c r="C1190" s="5">
        <v>45198</v>
      </c>
      <c r="D1190" s="8">
        <v>45198</v>
      </c>
      <c r="E1190" s="8" t="str">
        <f>IF(B1190="Inactive", EDATE(D1190,K1190), "")</f>
        <v/>
      </c>
      <c r="F1190" t="s">
        <v>14</v>
      </c>
      <c r="G1190">
        <v>8.3000000000000007</v>
      </c>
      <c r="H1190" t="str" cm="1">
        <f t="array" ref="H1190">_xlfn.IFS(G1190&gt;=20,"20-25", G1190&gt;=15,"15-20", G1190&gt;=10,"10-15", G1190&gt;=5,"5-10", G1190&gt;=1,"1-5", G1190&lt;1,"Less than 1")</f>
        <v>5-10</v>
      </c>
      <c r="I1190">
        <v>6</v>
      </c>
      <c r="J1190">
        <v>0</v>
      </c>
      <c r="K1190" s="6">
        <v>11</v>
      </c>
      <c r="L1190" s="2">
        <v>3.99</v>
      </c>
      <c r="M1190" s="6">
        <v>11</v>
      </c>
      <c r="N1190" t="str" cm="1">
        <f t="array" ref="N1190">_xlfn.IFS(M1190&gt;=50,"50-60 Days", M1190&gt;=40,"40-50 Days", M1190&gt;=30, "30-40 Days", M1190&gt;=20, "20-30 Days", M1190&gt;=10, "10-20 Days", M1190&gt;=0, "0-10 Days")</f>
        <v>10-20 Days</v>
      </c>
    </row>
    <row r="1191" spans="1:14">
      <c r="A1191">
        <v>1190</v>
      </c>
      <c r="B1191" t="s">
        <v>28</v>
      </c>
      <c r="C1191" s="5">
        <v>45486</v>
      </c>
      <c r="D1191" s="8">
        <v>45486</v>
      </c>
      <c r="E1191" s="8">
        <f>IF(B1191="Inactive", EDATE(D1191,K1191), "")</f>
        <v>45548</v>
      </c>
      <c r="F1191" t="s">
        <v>10</v>
      </c>
      <c r="G1191">
        <v>9.3000000000000007</v>
      </c>
      <c r="H1191" t="str" cm="1">
        <f t="array" ref="H1191">_xlfn.IFS(G1191&gt;=20,"20-25", G1191&gt;=15,"15-20", G1191&gt;=10,"10-15", G1191&gt;=5,"5-10", G1191&gt;=1,"1-5", G1191&lt;1,"Less than 1")</f>
        <v>5-10</v>
      </c>
      <c r="I1191">
        <v>1</v>
      </c>
      <c r="J1191">
        <v>2</v>
      </c>
      <c r="K1191" s="6">
        <v>2</v>
      </c>
      <c r="L1191" s="2">
        <v>6.99</v>
      </c>
      <c r="M1191" s="6">
        <v>53</v>
      </c>
      <c r="N1191" t="str" cm="1">
        <f t="array" ref="N1191">_xlfn.IFS(M1191&gt;=50,"50-60 Days", M1191&gt;=40,"40-50 Days", M1191&gt;=30, "30-40 Days", M1191&gt;=20, "20-30 Days", M1191&gt;=10, "10-20 Days", M1191&gt;=0, "0-10 Days")</f>
        <v>50-60 Days</v>
      </c>
    </row>
    <row r="1192" spans="1:14">
      <c r="A1192">
        <v>1191</v>
      </c>
      <c r="B1192" t="s">
        <v>28</v>
      </c>
      <c r="C1192" s="5">
        <v>44966</v>
      </c>
      <c r="D1192" s="8">
        <v>44966</v>
      </c>
      <c r="E1192" s="8">
        <f>IF(B1192="Inactive", EDATE(D1192,K1192), "")</f>
        <v>45025</v>
      </c>
      <c r="F1192" t="s">
        <v>10</v>
      </c>
      <c r="G1192">
        <v>19.8</v>
      </c>
      <c r="H1192" t="str" cm="1">
        <f t="array" ref="H1192">_xlfn.IFS(G1192&gt;=20,"20-25", G1192&gt;=15,"15-20", G1192&gt;=10,"10-15", G1192&gt;=5,"5-10", G1192&gt;=1,"1-5", G1192&lt;1,"Less than 1")</f>
        <v>15-20</v>
      </c>
      <c r="I1192">
        <v>3</v>
      </c>
      <c r="J1192">
        <v>0</v>
      </c>
      <c r="K1192" s="6">
        <v>2</v>
      </c>
      <c r="L1192" s="2">
        <v>6.99</v>
      </c>
      <c r="M1192" s="6">
        <v>7</v>
      </c>
      <c r="N1192" t="str" cm="1">
        <f t="array" ref="N1192">_xlfn.IFS(M1192&gt;=50,"50-60 Days", M1192&gt;=40,"40-50 Days", M1192&gt;=30, "30-40 Days", M1192&gt;=20, "20-30 Days", M1192&gt;=10, "10-20 Days", M1192&gt;=0, "0-10 Days")</f>
        <v>0-10 Days</v>
      </c>
    </row>
    <row r="1193" spans="1:14">
      <c r="A1193">
        <v>1192</v>
      </c>
      <c r="B1193" t="s">
        <v>29</v>
      </c>
      <c r="C1193" s="5">
        <v>45626</v>
      </c>
      <c r="D1193" s="8">
        <v>45626</v>
      </c>
      <c r="E1193" s="8" t="str">
        <f>IF(B1193="Inactive", EDATE(D1193,K1193), "")</f>
        <v/>
      </c>
      <c r="F1193" t="s">
        <v>10</v>
      </c>
      <c r="G1193">
        <v>8.6999999999999993</v>
      </c>
      <c r="H1193" t="str" cm="1">
        <f t="array" ref="H1193">_xlfn.IFS(G1193&gt;=20,"20-25", G1193&gt;=15,"15-20", G1193&gt;=10,"10-15", G1193&gt;=5,"5-10", G1193&gt;=1,"1-5", G1193&lt;1,"Less than 1")</f>
        <v>5-10</v>
      </c>
      <c r="I1193">
        <v>5</v>
      </c>
      <c r="J1193">
        <v>2</v>
      </c>
      <c r="K1193" s="6">
        <v>5</v>
      </c>
      <c r="L1193" s="2">
        <v>6.99</v>
      </c>
      <c r="M1193" s="6">
        <v>19</v>
      </c>
      <c r="N1193" t="str" cm="1">
        <f t="array" ref="N1193">_xlfn.IFS(M1193&gt;=50,"50-60 Days", M1193&gt;=40,"40-50 Days", M1193&gt;=30, "30-40 Days", M1193&gt;=20, "20-30 Days", M1193&gt;=10, "10-20 Days", M1193&gt;=0, "0-10 Days")</f>
        <v>10-20 Days</v>
      </c>
    </row>
    <row r="1194" spans="1:14">
      <c r="A1194">
        <v>1193</v>
      </c>
      <c r="B1194" t="s">
        <v>28</v>
      </c>
      <c r="C1194" s="5">
        <v>45194</v>
      </c>
      <c r="D1194" s="8">
        <v>45194</v>
      </c>
      <c r="E1194" s="8">
        <f>IF(B1194="Inactive", EDATE(D1194,K1194), "")</f>
        <v>45347</v>
      </c>
      <c r="F1194" t="s">
        <v>14</v>
      </c>
      <c r="G1194">
        <v>17.8</v>
      </c>
      <c r="H1194" t="str" cm="1">
        <f t="array" ref="H1194">_xlfn.IFS(G1194&gt;=20,"20-25", G1194&gt;=15,"15-20", G1194&gt;=10,"10-15", G1194&gt;=5,"5-10", G1194&gt;=1,"1-5", G1194&lt;1,"Less than 1")</f>
        <v>15-20</v>
      </c>
      <c r="I1194">
        <v>2</v>
      </c>
      <c r="J1194">
        <v>5</v>
      </c>
      <c r="K1194" s="6">
        <v>5</v>
      </c>
      <c r="L1194" s="2">
        <v>3.99</v>
      </c>
      <c r="M1194" s="6">
        <v>47</v>
      </c>
      <c r="N1194" t="str" cm="1">
        <f t="array" ref="N1194">_xlfn.IFS(M1194&gt;=50,"50-60 Days", M1194&gt;=40,"40-50 Days", M1194&gt;=30, "30-40 Days", M1194&gt;=20, "20-30 Days", M1194&gt;=10, "10-20 Days", M1194&gt;=0, "0-10 Days")</f>
        <v>40-50 Days</v>
      </c>
    </row>
    <row r="1195" spans="1:14">
      <c r="A1195">
        <v>1194</v>
      </c>
      <c r="B1195" t="s">
        <v>28</v>
      </c>
      <c r="C1195" s="5">
        <v>45520</v>
      </c>
      <c r="D1195" s="8">
        <v>45520</v>
      </c>
      <c r="E1195" s="8">
        <f>IF(B1195="Inactive", EDATE(D1195,K1195), "")</f>
        <v>45732</v>
      </c>
      <c r="F1195" t="s">
        <v>12</v>
      </c>
      <c r="G1195">
        <v>7.4</v>
      </c>
      <c r="H1195" t="str" cm="1">
        <f t="array" ref="H1195">_xlfn.IFS(G1195&gt;=20,"20-25", G1195&gt;=15,"15-20", G1195&gt;=10,"10-15", G1195&gt;=5,"5-10", G1195&gt;=1,"1-5", G1195&lt;1,"Less than 1")</f>
        <v>5-10</v>
      </c>
      <c r="I1195">
        <v>5</v>
      </c>
      <c r="J1195">
        <v>3</v>
      </c>
      <c r="K1195" s="6">
        <v>7</v>
      </c>
      <c r="L1195" s="2">
        <v>1.99</v>
      </c>
      <c r="M1195" s="6">
        <v>60</v>
      </c>
      <c r="N1195" t="str" cm="1">
        <f t="array" ref="N1195">_xlfn.IFS(M1195&gt;=50,"50-60 Days", M1195&gt;=40,"40-50 Days", M1195&gt;=30, "30-40 Days", M1195&gt;=20, "20-30 Days", M1195&gt;=10, "10-20 Days", M1195&gt;=0, "0-10 Days")</f>
        <v>50-60 Days</v>
      </c>
    </row>
    <row r="1196" spans="1:14">
      <c r="A1196">
        <v>1195</v>
      </c>
      <c r="B1196" t="s">
        <v>28</v>
      </c>
      <c r="C1196" s="5">
        <v>45159</v>
      </c>
      <c r="D1196" s="8">
        <v>45159</v>
      </c>
      <c r="E1196" s="8">
        <f>IF(B1196="Inactive", EDATE(D1196,K1196), "")</f>
        <v>45190</v>
      </c>
      <c r="F1196" t="s">
        <v>10</v>
      </c>
      <c r="G1196">
        <v>12.1</v>
      </c>
      <c r="H1196" t="str" cm="1">
        <f t="array" ref="H1196">_xlfn.IFS(G1196&gt;=20,"20-25", G1196&gt;=15,"15-20", G1196&gt;=10,"10-15", G1196&gt;=5,"5-10", G1196&gt;=1,"1-5", G1196&lt;1,"Less than 1")</f>
        <v>10-15</v>
      </c>
      <c r="I1196">
        <v>8</v>
      </c>
      <c r="J1196">
        <v>1</v>
      </c>
      <c r="K1196" s="6">
        <v>1</v>
      </c>
      <c r="L1196" s="2">
        <v>6.99</v>
      </c>
      <c r="M1196" s="6">
        <v>55</v>
      </c>
      <c r="N1196" t="str" cm="1">
        <f t="array" ref="N1196">_xlfn.IFS(M1196&gt;=50,"50-60 Days", M1196&gt;=40,"40-50 Days", M1196&gt;=30, "30-40 Days", M1196&gt;=20, "20-30 Days", M1196&gt;=10, "10-20 Days", M1196&gt;=0, "0-10 Days")</f>
        <v>50-60 Days</v>
      </c>
    </row>
    <row r="1197" spans="1:14">
      <c r="A1197">
        <v>1196</v>
      </c>
      <c r="B1197" t="s">
        <v>28</v>
      </c>
      <c r="C1197" s="5">
        <v>45406</v>
      </c>
      <c r="D1197" s="8">
        <v>45406</v>
      </c>
      <c r="E1197" s="8">
        <f>IF(B1197="Inactive", EDATE(D1197,K1197), "")</f>
        <v>45559</v>
      </c>
      <c r="F1197" t="s">
        <v>10</v>
      </c>
      <c r="G1197">
        <v>12.1</v>
      </c>
      <c r="H1197" t="str" cm="1">
        <f t="array" ref="H1197">_xlfn.IFS(G1197&gt;=20,"20-25", G1197&gt;=15,"15-20", G1197&gt;=10,"10-15", G1197&gt;=5,"5-10", G1197&gt;=1,"1-5", G1197&lt;1,"Less than 1")</f>
        <v>10-15</v>
      </c>
      <c r="I1197">
        <v>8</v>
      </c>
      <c r="J1197">
        <v>4</v>
      </c>
      <c r="K1197" s="6">
        <v>5</v>
      </c>
      <c r="L1197" s="2">
        <v>6.99</v>
      </c>
      <c r="M1197" s="6">
        <v>50</v>
      </c>
      <c r="N1197" t="str" cm="1">
        <f t="array" ref="N1197">_xlfn.IFS(M1197&gt;=50,"50-60 Days", M1197&gt;=40,"40-50 Days", M1197&gt;=30, "30-40 Days", M1197&gt;=20, "20-30 Days", M1197&gt;=10, "10-20 Days", M1197&gt;=0, "0-10 Days")</f>
        <v>50-60 Days</v>
      </c>
    </row>
    <row r="1198" spans="1:14">
      <c r="A1198">
        <v>1197</v>
      </c>
      <c r="B1198" t="s">
        <v>28</v>
      </c>
      <c r="C1198" s="5">
        <v>45641</v>
      </c>
      <c r="D1198" s="8">
        <v>45641</v>
      </c>
      <c r="E1198" s="8">
        <f>IF(B1198="Inactive", EDATE(D1198,K1198), "")</f>
        <v>45945</v>
      </c>
      <c r="F1198" t="s">
        <v>10</v>
      </c>
      <c r="G1198">
        <v>8.8000000000000007</v>
      </c>
      <c r="H1198" t="str" cm="1">
        <f t="array" ref="H1198">_xlfn.IFS(G1198&gt;=20,"20-25", G1198&gt;=15,"15-20", G1198&gt;=10,"10-15", G1198&gt;=5,"5-10", G1198&gt;=1,"1-5", G1198&lt;1,"Less than 1")</f>
        <v>5-10</v>
      </c>
      <c r="I1198">
        <v>1</v>
      </c>
      <c r="J1198">
        <v>2</v>
      </c>
      <c r="K1198" s="6">
        <v>10</v>
      </c>
      <c r="L1198" s="2">
        <v>6.99</v>
      </c>
      <c r="M1198" s="6">
        <v>54</v>
      </c>
      <c r="N1198" t="str" cm="1">
        <f t="array" ref="N1198">_xlfn.IFS(M1198&gt;=50,"50-60 Days", M1198&gt;=40,"40-50 Days", M1198&gt;=30, "30-40 Days", M1198&gt;=20, "20-30 Days", M1198&gt;=10, "10-20 Days", M1198&gt;=0, "0-10 Days")</f>
        <v>50-60 Days</v>
      </c>
    </row>
    <row r="1199" spans="1:14">
      <c r="A1199">
        <v>1198</v>
      </c>
      <c r="B1199" t="s">
        <v>28</v>
      </c>
      <c r="C1199" s="5">
        <v>45058</v>
      </c>
      <c r="D1199" s="8">
        <v>45058</v>
      </c>
      <c r="E1199" s="8">
        <f>IF(B1199="Inactive", EDATE(D1199,K1199), "")</f>
        <v>45211</v>
      </c>
      <c r="F1199" t="s">
        <v>14</v>
      </c>
      <c r="G1199">
        <v>11.2</v>
      </c>
      <c r="H1199" t="str" cm="1">
        <f t="array" ref="H1199">_xlfn.IFS(G1199&gt;=20,"20-25", G1199&gt;=15,"15-20", G1199&gt;=10,"10-15", G1199&gt;=5,"5-10", G1199&gt;=1,"1-5", G1199&lt;1,"Less than 1")</f>
        <v>10-15</v>
      </c>
      <c r="I1199">
        <v>8</v>
      </c>
      <c r="J1199">
        <v>0</v>
      </c>
      <c r="K1199" s="6">
        <v>5</v>
      </c>
      <c r="L1199" s="2">
        <v>3.99</v>
      </c>
      <c r="M1199" s="6">
        <v>23</v>
      </c>
      <c r="N1199" t="str" cm="1">
        <f t="array" ref="N1199">_xlfn.IFS(M1199&gt;=50,"50-60 Days", M1199&gt;=40,"40-50 Days", M1199&gt;=30, "30-40 Days", M1199&gt;=20, "20-30 Days", M1199&gt;=10, "10-20 Days", M1199&gt;=0, "0-10 Days")</f>
        <v>20-30 Days</v>
      </c>
    </row>
    <row r="1200" spans="1:14">
      <c r="A1200">
        <v>1199</v>
      </c>
      <c r="B1200" t="s">
        <v>28</v>
      </c>
      <c r="C1200" s="5">
        <v>45629</v>
      </c>
      <c r="D1200" s="8">
        <v>45629</v>
      </c>
      <c r="E1200" s="8">
        <f>IF(B1200="Inactive", EDATE(D1200,K1200), "")</f>
        <v>45660</v>
      </c>
      <c r="F1200" t="s">
        <v>14</v>
      </c>
      <c r="G1200">
        <v>12.7</v>
      </c>
      <c r="H1200" t="str" cm="1">
        <f t="array" ref="H1200">_xlfn.IFS(G1200&gt;=20,"20-25", G1200&gt;=15,"15-20", G1200&gt;=10,"10-15", G1200&gt;=5,"5-10", G1200&gt;=1,"1-5", G1200&lt;1,"Less than 1")</f>
        <v>10-15</v>
      </c>
      <c r="I1200">
        <v>5</v>
      </c>
      <c r="J1200">
        <v>2</v>
      </c>
      <c r="K1200" s="6">
        <v>1</v>
      </c>
      <c r="L1200" s="2">
        <v>3.99</v>
      </c>
      <c r="M1200" s="6">
        <v>14</v>
      </c>
      <c r="N1200" t="str" cm="1">
        <f t="array" ref="N1200">_xlfn.IFS(M1200&gt;=50,"50-60 Days", M1200&gt;=40,"40-50 Days", M1200&gt;=30, "30-40 Days", M1200&gt;=20, "20-30 Days", M1200&gt;=10, "10-20 Days", M1200&gt;=0, "0-10 Days")</f>
        <v>10-20 Days</v>
      </c>
    </row>
    <row r="1201" spans="1:14">
      <c r="A1201">
        <v>1200</v>
      </c>
      <c r="B1201" t="s">
        <v>28</v>
      </c>
      <c r="C1201" s="5">
        <v>45069</v>
      </c>
      <c r="D1201" s="8">
        <v>45069</v>
      </c>
      <c r="E1201" s="8">
        <f>IF(B1201="Inactive", EDATE(D1201,K1201), "")</f>
        <v>45435</v>
      </c>
      <c r="F1201" t="s">
        <v>14</v>
      </c>
      <c r="G1201">
        <v>7.8</v>
      </c>
      <c r="H1201" t="str" cm="1">
        <f t="array" ref="H1201">_xlfn.IFS(G1201&gt;=20,"20-25", G1201&gt;=15,"15-20", G1201&gt;=10,"10-15", G1201&gt;=5,"5-10", G1201&gt;=1,"1-5", G1201&lt;1,"Less than 1")</f>
        <v>5-10</v>
      </c>
      <c r="I1201">
        <v>0</v>
      </c>
      <c r="J1201">
        <v>4</v>
      </c>
      <c r="K1201" s="6">
        <v>12</v>
      </c>
      <c r="L1201" s="2">
        <v>3.99</v>
      </c>
      <c r="M1201" s="6">
        <v>50</v>
      </c>
      <c r="N1201" t="str" cm="1">
        <f t="array" ref="N1201">_xlfn.IFS(M1201&gt;=50,"50-60 Days", M1201&gt;=40,"40-50 Days", M1201&gt;=30, "30-40 Days", M1201&gt;=20, "20-30 Days", M1201&gt;=10, "10-20 Days", M1201&gt;=0, "0-10 Days")</f>
        <v>50-60 Days</v>
      </c>
    </row>
    <row r="1202" spans="1:14">
      <c r="A1202">
        <v>1201</v>
      </c>
      <c r="B1202" t="s">
        <v>29</v>
      </c>
      <c r="C1202" s="5">
        <v>44992</v>
      </c>
      <c r="D1202" s="8">
        <v>44992</v>
      </c>
      <c r="E1202" s="8" t="str">
        <f>IF(B1202="Inactive", EDATE(D1202,K1202), "")</f>
        <v/>
      </c>
      <c r="F1202" t="s">
        <v>12</v>
      </c>
      <c r="G1202">
        <v>14.4</v>
      </c>
      <c r="H1202" t="str" cm="1">
        <f t="array" ref="H1202">_xlfn.IFS(G1202&gt;=20,"20-25", G1202&gt;=15,"15-20", G1202&gt;=10,"10-15", G1202&gt;=5,"5-10", G1202&gt;=1,"1-5", G1202&lt;1,"Less than 1")</f>
        <v>10-15</v>
      </c>
      <c r="I1202">
        <v>6</v>
      </c>
      <c r="J1202">
        <v>3</v>
      </c>
      <c r="K1202" s="6">
        <v>8</v>
      </c>
      <c r="L1202" s="2">
        <v>1.99</v>
      </c>
      <c r="M1202" s="6">
        <v>13</v>
      </c>
      <c r="N1202" t="str" cm="1">
        <f t="array" ref="N1202">_xlfn.IFS(M1202&gt;=50,"50-60 Days", M1202&gt;=40,"40-50 Days", M1202&gt;=30, "30-40 Days", M1202&gt;=20, "20-30 Days", M1202&gt;=10, "10-20 Days", M1202&gt;=0, "0-10 Days")</f>
        <v>10-20 Days</v>
      </c>
    </row>
    <row r="1203" spans="1:14">
      <c r="A1203">
        <v>1202</v>
      </c>
      <c r="B1203" t="s">
        <v>29</v>
      </c>
      <c r="C1203" s="5">
        <v>45581</v>
      </c>
      <c r="D1203" s="8">
        <v>45581</v>
      </c>
      <c r="E1203" s="8" t="str">
        <f>IF(B1203="Inactive", EDATE(D1203,K1203), "")</f>
        <v/>
      </c>
      <c r="F1203" t="s">
        <v>10</v>
      </c>
      <c r="G1203">
        <v>5.0999999999999996</v>
      </c>
      <c r="H1203" t="str" cm="1">
        <f t="array" ref="H1203">_xlfn.IFS(G1203&gt;=20,"20-25", G1203&gt;=15,"15-20", G1203&gt;=10,"10-15", G1203&gt;=5,"5-10", G1203&gt;=1,"1-5", G1203&lt;1,"Less than 1")</f>
        <v>5-10</v>
      </c>
      <c r="I1203">
        <v>1</v>
      </c>
      <c r="J1203">
        <v>2</v>
      </c>
      <c r="K1203" s="6">
        <v>9</v>
      </c>
      <c r="L1203" s="2">
        <v>6.99</v>
      </c>
      <c r="M1203" s="6">
        <v>36</v>
      </c>
      <c r="N1203" t="str" cm="1">
        <f t="array" ref="N1203">_xlfn.IFS(M1203&gt;=50,"50-60 Days", M1203&gt;=40,"40-50 Days", M1203&gt;=30, "30-40 Days", M1203&gt;=20, "20-30 Days", M1203&gt;=10, "10-20 Days", M1203&gt;=0, "0-10 Days")</f>
        <v>30-40 Days</v>
      </c>
    </row>
    <row r="1204" spans="1:14">
      <c r="A1204">
        <v>1203</v>
      </c>
      <c r="B1204" t="s">
        <v>29</v>
      </c>
      <c r="C1204" s="5">
        <v>45544</v>
      </c>
      <c r="D1204" s="8">
        <v>45544</v>
      </c>
      <c r="E1204" s="8" t="str">
        <f>IF(B1204="Inactive", EDATE(D1204,K1204), "")</f>
        <v/>
      </c>
      <c r="F1204" t="s">
        <v>14</v>
      </c>
      <c r="G1204">
        <v>4.7</v>
      </c>
      <c r="H1204" t="str" cm="1">
        <f t="array" ref="H1204">_xlfn.IFS(G1204&gt;=20,"20-25", G1204&gt;=15,"15-20", G1204&gt;=10,"10-15", G1204&gt;=5,"5-10", G1204&gt;=1,"1-5", G1204&lt;1,"Less than 1")</f>
        <v>1-5</v>
      </c>
      <c r="I1204">
        <v>8</v>
      </c>
      <c r="J1204">
        <v>1</v>
      </c>
      <c r="K1204" s="6">
        <v>2</v>
      </c>
      <c r="L1204" s="2">
        <v>3.99</v>
      </c>
      <c r="M1204" s="6">
        <v>2</v>
      </c>
      <c r="N1204" t="str" cm="1">
        <f t="array" ref="N1204">_xlfn.IFS(M1204&gt;=50,"50-60 Days", M1204&gt;=40,"40-50 Days", M1204&gt;=30, "30-40 Days", M1204&gt;=20, "20-30 Days", M1204&gt;=10, "10-20 Days", M1204&gt;=0, "0-10 Days")</f>
        <v>0-10 Days</v>
      </c>
    </row>
    <row r="1205" spans="1:14">
      <c r="A1205">
        <v>1204</v>
      </c>
      <c r="B1205" t="s">
        <v>28</v>
      </c>
      <c r="C1205" s="5">
        <v>45225</v>
      </c>
      <c r="D1205" s="8">
        <v>45225</v>
      </c>
      <c r="E1205" s="8">
        <f>IF(B1205="Inactive", EDATE(D1205,K1205), "")</f>
        <v>45256</v>
      </c>
      <c r="F1205" t="s">
        <v>14</v>
      </c>
      <c r="G1205">
        <v>5.0999999999999996</v>
      </c>
      <c r="H1205" t="str" cm="1">
        <f t="array" ref="H1205">_xlfn.IFS(G1205&gt;=20,"20-25", G1205&gt;=15,"15-20", G1205&gt;=10,"10-15", G1205&gt;=5,"5-10", G1205&gt;=1,"1-5", G1205&lt;1,"Less than 1")</f>
        <v>5-10</v>
      </c>
      <c r="I1205">
        <v>1</v>
      </c>
      <c r="J1205">
        <v>3</v>
      </c>
      <c r="K1205" s="6">
        <v>1</v>
      </c>
      <c r="L1205" s="2">
        <v>3.99</v>
      </c>
      <c r="M1205" s="6">
        <v>18</v>
      </c>
      <c r="N1205" t="str" cm="1">
        <f t="array" ref="N1205">_xlfn.IFS(M1205&gt;=50,"50-60 Days", M1205&gt;=40,"40-50 Days", M1205&gt;=30, "30-40 Days", M1205&gt;=20, "20-30 Days", M1205&gt;=10, "10-20 Days", M1205&gt;=0, "0-10 Days")</f>
        <v>10-20 Days</v>
      </c>
    </row>
    <row r="1206" spans="1:14">
      <c r="A1206">
        <v>1205</v>
      </c>
      <c r="B1206" t="s">
        <v>28</v>
      </c>
      <c r="C1206" s="5">
        <v>45261</v>
      </c>
      <c r="D1206" s="8">
        <v>45261</v>
      </c>
      <c r="E1206" s="8">
        <f>IF(B1206="Inactive", EDATE(D1206,K1206), "")</f>
        <v>45627</v>
      </c>
      <c r="F1206" t="s">
        <v>10</v>
      </c>
      <c r="G1206">
        <v>2.2000000000000002</v>
      </c>
      <c r="H1206" t="str" cm="1">
        <f t="array" ref="H1206">_xlfn.IFS(G1206&gt;=20,"20-25", G1206&gt;=15,"15-20", G1206&gt;=10,"10-15", G1206&gt;=5,"5-10", G1206&gt;=1,"1-5", G1206&lt;1,"Less than 1")</f>
        <v>1-5</v>
      </c>
      <c r="I1206">
        <v>0</v>
      </c>
      <c r="J1206">
        <v>2</v>
      </c>
      <c r="K1206" s="6">
        <v>12</v>
      </c>
      <c r="L1206" s="2">
        <v>6.99</v>
      </c>
      <c r="M1206" s="6">
        <v>33</v>
      </c>
      <c r="N1206" t="str" cm="1">
        <f t="array" ref="N1206">_xlfn.IFS(M1206&gt;=50,"50-60 Days", M1206&gt;=40,"40-50 Days", M1206&gt;=30, "30-40 Days", M1206&gt;=20, "20-30 Days", M1206&gt;=10, "10-20 Days", M1206&gt;=0, "0-10 Days")</f>
        <v>30-40 Days</v>
      </c>
    </row>
    <row r="1207" spans="1:14">
      <c r="A1207">
        <v>1206</v>
      </c>
      <c r="B1207" t="s">
        <v>28</v>
      </c>
      <c r="C1207" s="5">
        <v>44997</v>
      </c>
      <c r="D1207" s="8">
        <v>44997</v>
      </c>
      <c r="E1207" s="8">
        <f>IF(B1207="Inactive", EDATE(D1207,K1207), "")</f>
        <v>45272</v>
      </c>
      <c r="F1207" t="s">
        <v>14</v>
      </c>
      <c r="G1207">
        <v>4.3</v>
      </c>
      <c r="H1207" t="str" cm="1">
        <f t="array" ref="H1207">_xlfn.IFS(G1207&gt;=20,"20-25", G1207&gt;=15,"15-20", G1207&gt;=10,"10-15", G1207&gt;=5,"5-10", G1207&gt;=1,"1-5", G1207&lt;1,"Less than 1")</f>
        <v>1-5</v>
      </c>
      <c r="I1207">
        <v>1</v>
      </c>
      <c r="J1207">
        <v>1</v>
      </c>
      <c r="K1207" s="6">
        <v>9</v>
      </c>
      <c r="L1207" s="2">
        <v>3.99</v>
      </c>
      <c r="M1207" s="6">
        <v>34</v>
      </c>
      <c r="N1207" t="str" cm="1">
        <f t="array" ref="N1207">_xlfn.IFS(M1207&gt;=50,"50-60 Days", M1207&gt;=40,"40-50 Days", M1207&gt;=30, "30-40 Days", M1207&gt;=20, "20-30 Days", M1207&gt;=10, "10-20 Days", M1207&gt;=0, "0-10 Days")</f>
        <v>30-40 Days</v>
      </c>
    </row>
    <row r="1208" spans="1:14">
      <c r="A1208">
        <v>1207</v>
      </c>
      <c r="B1208" t="s">
        <v>28</v>
      </c>
      <c r="C1208" s="5">
        <v>45607</v>
      </c>
      <c r="D1208" s="8">
        <v>45607</v>
      </c>
      <c r="E1208" s="8">
        <f>IF(B1208="Inactive", EDATE(D1208,K1208), "")</f>
        <v>45758</v>
      </c>
      <c r="F1208" t="s">
        <v>14</v>
      </c>
      <c r="G1208">
        <v>3.7</v>
      </c>
      <c r="H1208" t="str" cm="1">
        <f t="array" ref="H1208">_xlfn.IFS(G1208&gt;=20,"20-25", G1208&gt;=15,"15-20", G1208&gt;=10,"10-15", G1208&gt;=5,"5-10", G1208&gt;=1,"1-5", G1208&lt;1,"Less than 1")</f>
        <v>1-5</v>
      </c>
      <c r="I1208">
        <v>3</v>
      </c>
      <c r="J1208">
        <v>2</v>
      </c>
      <c r="K1208" s="6">
        <v>5</v>
      </c>
      <c r="L1208" s="2">
        <v>3.99</v>
      </c>
      <c r="M1208" s="6">
        <v>27</v>
      </c>
      <c r="N1208" t="str" cm="1">
        <f t="array" ref="N1208">_xlfn.IFS(M1208&gt;=50,"50-60 Days", M1208&gt;=40,"40-50 Days", M1208&gt;=30, "30-40 Days", M1208&gt;=20, "20-30 Days", M1208&gt;=10, "10-20 Days", M1208&gt;=0, "0-10 Days")</f>
        <v>20-30 Days</v>
      </c>
    </row>
    <row r="1209" spans="1:14">
      <c r="A1209">
        <v>1208</v>
      </c>
      <c r="B1209" t="s">
        <v>29</v>
      </c>
      <c r="C1209" s="5">
        <v>45628</v>
      </c>
      <c r="D1209" s="8">
        <v>45628</v>
      </c>
      <c r="E1209" s="8" t="str">
        <f>IF(B1209="Inactive", EDATE(D1209,K1209), "")</f>
        <v/>
      </c>
      <c r="F1209" t="s">
        <v>14</v>
      </c>
      <c r="G1209">
        <v>15.3</v>
      </c>
      <c r="H1209" t="str" cm="1">
        <f t="array" ref="H1209">_xlfn.IFS(G1209&gt;=20,"20-25", G1209&gt;=15,"15-20", G1209&gt;=10,"10-15", G1209&gt;=5,"5-10", G1209&gt;=1,"1-5", G1209&lt;1,"Less than 1")</f>
        <v>15-20</v>
      </c>
      <c r="I1209">
        <v>4</v>
      </c>
      <c r="J1209">
        <v>4</v>
      </c>
      <c r="K1209" s="6">
        <v>4</v>
      </c>
      <c r="L1209" s="2">
        <v>3.99</v>
      </c>
      <c r="M1209" s="6">
        <v>12</v>
      </c>
      <c r="N1209" t="str" cm="1">
        <f t="array" ref="N1209">_xlfn.IFS(M1209&gt;=50,"50-60 Days", M1209&gt;=40,"40-50 Days", M1209&gt;=30, "30-40 Days", M1209&gt;=20, "20-30 Days", M1209&gt;=10, "10-20 Days", M1209&gt;=0, "0-10 Days")</f>
        <v>10-20 Days</v>
      </c>
    </row>
    <row r="1210" spans="1:14">
      <c r="A1210">
        <v>1209</v>
      </c>
      <c r="B1210" t="s">
        <v>29</v>
      </c>
      <c r="C1210" s="5">
        <v>45546</v>
      </c>
      <c r="D1210" s="8">
        <v>45546</v>
      </c>
      <c r="E1210" s="8" t="str">
        <f>IF(B1210="Inactive", EDATE(D1210,K1210), "")</f>
        <v/>
      </c>
      <c r="F1210" t="s">
        <v>14</v>
      </c>
      <c r="G1210">
        <v>5.4</v>
      </c>
      <c r="H1210" t="str" cm="1">
        <f t="array" ref="H1210">_xlfn.IFS(G1210&gt;=20,"20-25", G1210&gt;=15,"15-20", G1210&gt;=10,"10-15", G1210&gt;=5,"5-10", G1210&gt;=1,"1-5", G1210&lt;1,"Less than 1")</f>
        <v>5-10</v>
      </c>
      <c r="I1210">
        <v>2</v>
      </c>
      <c r="J1210">
        <v>3</v>
      </c>
      <c r="K1210" s="6">
        <v>6</v>
      </c>
      <c r="L1210" s="2">
        <v>3.99</v>
      </c>
      <c r="M1210" s="6">
        <v>4</v>
      </c>
      <c r="N1210" t="str" cm="1">
        <f t="array" ref="N1210">_xlfn.IFS(M1210&gt;=50,"50-60 Days", M1210&gt;=40,"40-50 Days", M1210&gt;=30, "30-40 Days", M1210&gt;=20, "20-30 Days", M1210&gt;=10, "10-20 Days", M1210&gt;=0, "0-10 Days")</f>
        <v>0-10 Days</v>
      </c>
    </row>
    <row r="1211" spans="1:14">
      <c r="A1211">
        <v>1210</v>
      </c>
      <c r="B1211" t="s">
        <v>28</v>
      </c>
      <c r="C1211" s="5">
        <v>45020</v>
      </c>
      <c r="D1211" s="8">
        <v>45020</v>
      </c>
      <c r="E1211" s="8">
        <f>IF(B1211="Inactive", EDATE(D1211,K1211), "")</f>
        <v>45386</v>
      </c>
      <c r="F1211" t="s">
        <v>12</v>
      </c>
      <c r="G1211">
        <v>8.6</v>
      </c>
      <c r="H1211" t="str" cm="1">
        <f t="array" ref="H1211">_xlfn.IFS(G1211&gt;=20,"20-25", G1211&gt;=15,"15-20", G1211&gt;=10,"10-15", G1211&gt;=5,"5-10", G1211&gt;=1,"1-5", G1211&lt;1,"Less than 1")</f>
        <v>5-10</v>
      </c>
      <c r="I1211">
        <v>7</v>
      </c>
      <c r="J1211">
        <v>3</v>
      </c>
      <c r="K1211" s="6">
        <v>12</v>
      </c>
      <c r="L1211" s="2">
        <v>1.99</v>
      </c>
      <c r="M1211" s="6">
        <v>29</v>
      </c>
      <c r="N1211" t="str" cm="1">
        <f t="array" ref="N1211">_xlfn.IFS(M1211&gt;=50,"50-60 Days", M1211&gt;=40,"40-50 Days", M1211&gt;=30, "30-40 Days", M1211&gt;=20, "20-30 Days", M1211&gt;=10, "10-20 Days", M1211&gt;=0, "0-10 Days")</f>
        <v>20-30 Days</v>
      </c>
    </row>
    <row r="1212" spans="1:14">
      <c r="A1212">
        <v>1211</v>
      </c>
      <c r="B1212" t="s">
        <v>29</v>
      </c>
      <c r="C1212" s="5">
        <v>45106</v>
      </c>
      <c r="D1212" s="8">
        <v>45106</v>
      </c>
      <c r="E1212" s="8" t="str">
        <f>IF(B1212="Inactive", EDATE(D1212,K1212), "")</f>
        <v/>
      </c>
      <c r="F1212" t="s">
        <v>14</v>
      </c>
      <c r="G1212">
        <v>9</v>
      </c>
      <c r="H1212" t="str" cm="1">
        <f t="array" ref="H1212">_xlfn.IFS(G1212&gt;=20,"20-25", G1212&gt;=15,"15-20", G1212&gt;=10,"10-15", G1212&gt;=5,"5-10", G1212&gt;=1,"1-5", G1212&lt;1,"Less than 1")</f>
        <v>5-10</v>
      </c>
      <c r="I1212">
        <v>4</v>
      </c>
      <c r="J1212">
        <v>3</v>
      </c>
      <c r="K1212" s="6">
        <v>10</v>
      </c>
      <c r="L1212" s="2">
        <v>3.99</v>
      </c>
      <c r="M1212" s="6">
        <v>39</v>
      </c>
      <c r="N1212" t="str" cm="1">
        <f t="array" ref="N1212">_xlfn.IFS(M1212&gt;=50,"50-60 Days", M1212&gt;=40,"40-50 Days", M1212&gt;=30, "30-40 Days", M1212&gt;=20, "20-30 Days", M1212&gt;=10, "10-20 Days", M1212&gt;=0, "0-10 Days")</f>
        <v>30-40 Days</v>
      </c>
    </row>
    <row r="1213" spans="1:14">
      <c r="A1213">
        <v>1212</v>
      </c>
      <c r="B1213" t="s">
        <v>28</v>
      </c>
      <c r="C1213" s="5">
        <v>45114</v>
      </c>
      <c r="D1213" s="8">
        <v>45114</v>
      </c>
      <c r="E1213" s="8">
        <f>IF(B1213="Inactive", EDATE(D1213,K1213), "")</f>
        <v>45298</v>
      </c>
      <c r="F1213" t="s">
        <v>14</v>
      </c>
      <c r="G1213">
        <v>4.9000000000000004</v>
      </c>
      <c r="H1213" t="str" cm="1">
        <f t="array" ref="H1213">_xlfn.IFS(G1213&gt;=20,"20-25", G1213&gt;=15,"15-20", G1213&gt;=10,"10-15", G1213&gt;=5,"5-10", G1213&gt;=1,"1-5", G1213&lt;1,"Less than 1")</f>
        <v>1-5</v>
      </c>
      <c r="I1213">
        <v>6</v>
      </c>
      <c r="J1213">
        <v>3</v>
      </c>
      <c r="K1213" s="6">
        <v>6</v>
      </c>
      <c r="L1213" s="2">
        <v>3.99</v>
      </c>
      <c r="M1213" s="6">
        <v>24</v>
      </c>
      <c r="N1213" t="str" cm="1">
        <f t="array" ref="N1213">_xlfn.IFS(M1213&gt;=50,"50-60 Days", M1213&gt;=40,"40-50 Days", M1213&gt;=30, "30-40 Days", M1213&gt;=20, "20-30 Days", M1213&gt;=10, "10-20 Days", M1213&gt;=0, "0-10 Days")</f>
        <v>20-30 Days</v>
      </c>
    </row>
    <row r="1214" spans="1:14">
      <c r="A1214">
        <v>1213</v>
      </c>
      <c r="B1214" t="s">
        <v>29</v>
      </c>
      <c r="C1214" s="5">
        <v>45207</v>
      </c>
      <c r="D1214" s="8">
        <v>45207</v>
      </c>
      <c r="E1214" s="8" t="str">
        <f>IF(B1214="Inactive", EDATE(D1214,K1214), "")</f>
        <v/>
      </c>
      <c r="F1214" t="s">
        <v>10</v>
      </c>
      <c r="G1214">
        <v>10.1</v>
      </c>
      <c r="H1214" t="str" cm="1">
        <f t="array" ref="H1214">_xlfn.IFS(G1214&gt;=20,"20-25", G1214&gt;=15,"15-20", G1214&gt;=10,"10-15", G1214&gt;=5,"5-10", G1214&gt;=1,"1-5", G1214&lt;1,"Less than 1")</f>
        <v>10-15</v>
      </c>
      <c r="I1214">
        <v>0</v>
      </c>
      <c r="J1214">
        <v>1</v>
      </c>
      <c r="K1214" s="6">
        <v>3</v>
      </c>
      <c r="L1214" s="2">
        <v>6.99</v>
      </c>
      <c r="M1214" s="6">
        <v>56</v>
      </c>
      <c r="N1214" t="str" cm="1">
        <f t="array" ref="N1214">_xlfn.IFS(M1214&gt;=50,"50-60 Days", M1214&gt;=40,"40-50 Days", M1214&gt;=30, "30-40 Days", M1214&gt;=20, "20-30 Days", M1214&gt;=10, "10-20 Days", M1214&gt;=0, "0-10 Days")</f>
        <v>50-60 Days</v>
      </c>
    </row>
    <row r="1215" spans="1:14">
      <c r="A1215">
        <v>1214</v>
      </c>
      <c r="B1215" t="s">
        <v>29</v>
      </c>
      <c r="C1215" s="5">
        <v>45149</v>
      </c>
      <c r="D1215" s="8">
        <v>45149</v>
      </c>
      <c r="E1215" s="8" t="str">
        <f>IF(B1215="Inactive", EDATE(D1215,K1215), "")</f>
        <v/>
      </c>
      <c r="F1215" t="s">
        <v>10</v>
      </c>
      <c r="G1215">
        <v>7.7</v>
      </c>
      <c r="H1215" t="str" cm="1">
        <f t="array" ref="H1215">_xlfn.IFS(G1215&gt;=20,"20-25", G1215&gt;=15,"15-20", G1215&gt;=10,"10-15", G1215&gt;=5,"5-10", G1215&gt;=1,"1-5", G1215&lt;1,"Less than 1")</f>
        <v>5-10</v>
      </c>
      <c r="I1215">
        <v>1</v>
      </c>
      <c r="J1215">
        <v>5</v>
      </c>
      <c r="K1215" s="6">
        <v>12</v>
      </c>
      <c r="L1215" s="2">
        <v>6.99</v>
      </c>
      <c r="M1215" s="6">
        <v>46</v>
      </c>
      <c r="N1215" t="str" cm="1">
        <f t="array" ref="N1215">_xlfn.IFS(M1215&gt;=50,"50-60 Days", M1215&gt;=40,"40-50 Days", M1215&gt;=30, "30-40 Days", M1215&gt;=20, "20-30 Days", M1215&gt;=10, "10-20 Days", M1215&gt;=0, "0-10 Days")</f>
        <v>40-50 Days</v>
      </c>
    </row>
    <row r="1216" spans="1:14">
      <c r="A1216">
        <v>1215</v>
      </c>
      <c r="B1216" t="s">
        <v>28</v>
      </c>
      <c r="C1216" s="5">
        <v>45034</v>
      </c>
      <c r="D1216" s="8">
        <v>45034</v>
      </c>
      <c r="E1216" s="8">
        <f>IF(B1216="Inactive", EDATE(D1216,K1216), "")</f>
        <v>45309</v>
      </c>
      <c r="F1216" t="s">
        <v>14</v>
      </c>
      <c r="G1216">
        <v>24.8</v>
      </c>
      <c r="H1216" t="str" cm="1">
        <f t="array" ref="H1216">_xlfn.IFS(G1216&gt;=20,"20-25", G1216&gt;=15,"15-20", G1216&gt;=10,"10-15", G1216&gt;=5,"5-10", G1216&gt;=1,"1-5", G1216&lt;1,"Less than 1")</f>
        <v>20-25</v>
      </c>
      <c r="I1216">
        <v>8</v>
      </c>
      <c r="J1216">
        <v>0</v>
      </c>
      <c r="K1216" s="6">
        <v>9</v>
      </c>
      <c r="L1216" s="2">
        <v>3.99</v>
      </c>
      <c r="M1216" s="6">
        <v>23</v>
      </c>
      <c r="N1216" t="str" cm="1">
        <f t="array" ref="N1216">_xlfn.IFS(M1216&gt;=50,"50-60 Days", M1216&gt;=40,"40-50 Days", M1216&gt;=30, "30-40 Days", M1216&gt;=20, "20-30 Days", M1216&gt;=10, "10-20 Days", M1216&gt;=0, "0-10 Days")</f>
        <v>20-30 Days</v>
      </c>
    </row>
    <row r="1217" spans="1:14">
      <c r="A1217">
        <v>1216</v>
      </c>
      <c r="B1217" t="s">
        <v>29</v>
      </c>
      <c r="C1217" s="5">
        <v>45400</v>
      </c>
      <c r="D1217" s="8">
        <v>45400</v>
      </c>
      <c r="E1217" s="8" t="str">
        <f>IF(B1217="Inactive", EDATE(D1217,K1217), "")</f>
        <v/>
      </c>
      <c r="F1217" t="s">
        <v>10</v>
      </c>
      <c r="G1217">
        <v>10.5</v>
      </c>
      <c r="H1217" t="str" cm="1">
        <f t="array" ref="H1217">_xlfn.IFS(G1217&gt;=20,"20-25", G1217&gt;=15,"15-20", G1217&gt;=10,"10-15", G1217&gt;=5,"5-10", G1217&gt;=1,"1-5", G1217&lt;1,"Less than 1")</f>
        <v>10-15</v>
      </c>
      <c r="I1217">
        <v>2</v>
      </c>
      <c r="J1217">
        <v>2</v>
      </c>
      <c r="K1217" s="6">
        <v>7</v>
      </c>
      <c r="L1217" s="2">
        <v>6.99</v>
      </c>
      <c r="M1217" s="6">
        <v>13</v>
      </c>
      <c r="N1217" t="str" cm="1">
        <f t="array" ref="N1217">_xlfn.IFS(M1217&gt;=50,"50-60 Days", M1217&gt;=40,"40-50 Days", M1217&gt;=30, "30-40 Days", M1217&gt;=20, "20-30 Days", M1217&gt;=10, "10-20 Days", M1217&gt;=0, "0-10 Days")</f>
        <v>10-20 Days</v>
      </c>
    </row>
    <row r="1218" spans="1:14">
      <c r="A1218">
        <v>1217</v>
      </c>
      <c r="B1218" t="s">
        <v>28</v>
      </c>
      <c r="C1218" s="5">
        <v>45126</v>
      </c>
      <c r="D1218" s="8">
        <v>45126</v>
      </c>
      <c r="E1218" s="8">
        <f>IF(B1218="Inactive", EDATE(D1218,K1218), "")</f>
        <v>45188</v>
      </c>
      <c r="F1218" t="s">
        <v>12</v>
      </c>
      <c r="G1218">
        <v>16.2</v>
      </c>
      <c r="H1218" t="str" cm="1">
        <f t="array" ref="H1218">_xlfn.IFS(G1218&gt;=20,"20-25", G1218&gt;=15,"15-20", G1218&gt;=10,"10-15", G1218&gt;=5,"5-10", G1218&gt;=1,"1-5", G1218&lt;1,"Less than 1")</f>
        <v>15-20</v>
      </c>
      <c r="I1218">
        <v>7</v>
      </c>
      <c r="J1218">
        <v>3</v>
      </c>
      <c r="K1218" s="6">
        <v>2</v>
      </c>
      <c r="L1218" s="2">
        <v>1.99</v>
      </c>
      <c r="M1218" s="6">
        <v>21</v>
      </c>
      <c r="N1218" t="str" cm="1">
        <f t="array" ref="N1218">_xlfn.IFS(M1218&gt;=50,"50-60 Days", M1218&gt;=40,"40-50 Days", M1218&gt;=30, "30-40 Days", M1218&gt;=20, "20-30 Days", M1218&gt;=10, "10-20 Days", M1218&gt;=0, "0-10 Days")</f>
        <v>20-30 Days</v>
      </c>
    </row>
    <row r="1219" spans="1:14">
      <c r="A1219">
        <v>1218</v>
      </c>
      <c r="B1219" t="s">
        <v>28</v>
      </c>
      <c r="C1219" s="5">
        <v>45613</v>
      </c>
      <c r="D1219" s="8">
        <v>45613</v>
      </c>
      <c r="E1219" s="8">
        <f>IF(B1219="Inactive", EDATE(D1219,K1219), "")</f>
        <v>45643</v>
      </c>
      <c r="F1219" t="s">
        <v>14</v>
      </c>
      <c r="G1219">
        <v>0.8</v>
      </c>
      <c r="H1219" t="str" cm="1">
        <f t="array" ref="H1219">_xlfn.IFS(G1219&gt;=20,"20-25", G1219&gt;=15,"15-20", G1219&gt;=10,"10-15", G1219&gt;=5,"5-10", G1219&gt;=1,"1-5", G1219&lt;1,"Less than 1")</f>
        <v>Less than 1</v>
      </c>
      <c r="I1219">
        <v>1</v>
      </c>
      <c r="J1219">
        <v>5</v>
      </c>
      <c r="K1219" s="6">
        <v>1</v>
      </c>
      <c r="L1219" s="2">
        <v>3.99</v>
      </c>
      <c r="M1219" s="6">
        <v>58</v>
      </c>
      <c r="N1219" t="str" cm="1">
        <f t="array" ref="N1219">_xlfn.IFS(M1219&gt;=50,"50-60 Days", M1219&gt;=40,"40-50 Days", M1219&gt;=30, "30-40 Days", M1219&gt;=20, "20-30 Days", M1219&gt;=10, "10-20 Days", M1219&gt;=0, "0-10 Days")</f>
        <v>50-60 Days</v>
      </c>
    </row>
    <row r="1220" spans="1:14">
      <c r="A1220">
        <v>1219</v>
      </c>
      <c r="B1220" t="s">
        <v>29</v>
      </c>
      <c r="C1220" s="5">
        <v>45657</v>
      </c>
      <c r="D1220" s="8">
        <v>45657</v>
      </c>
      <c r="E1220" s="8" t="str">
        <f>IF(B1220="Inactive", EDATE(D1220,K1220), "")</f>
        <v/>
      </c>
      <c r="F1220" t="s">
        <v>10</v>
      </c>
      <c r="G1220">
        <v>12.4</v>
      </c>
      <c r="H1220" t="str" cm="1">
        <f t="array" ref="H1220">_xlfn.IFS(G1220&gt;=20,"20-25", G1220&gt;=15,"15-20", G1220&gt;=10,"10-15", G1220&gt;=5,"5-10", G1220&gt;=1,"1-5", G1220&lt;1,"Less than 1")</f>
        <v>10-15</v>
      </c>
      <c r="I1220">
        <v>1</v>
      </c>
      <c r="J1220">
        <v>0</v>
      </c>
      <c r="K1220" s="6">
        <v>10</v>
      </c>
      <c r="L1220" s="2">
        <v>6.99</v>
      </c>
      <c r="M1220" s="6">
        <v>35</v>
      </c>
      <c r="N1220" t="str" cm="1">
        <f t="array" ref="N1220">_xlfn.IFS(M1220&gt;=50,"50-60 Days", M1220&gt;=40,"40-50 Days", M1220&gt;=30, "30-40 Days", M1220&gt;=20, "20-30 Days", M1220&gt;=10, "10-20 Days", M1220&gt;=0, "0-10 Days")</f>
        <v>30-40 Days</v>
      </c>
    </row>
    <row r="1221" spans="1:14">
      <c r="A1221">
        <v>1220</v>
      </c>
      <c r="B1221" t="s">
        <v>29</v>
      </c>
      <c r="C1221" s="5">
        <v>45548</v>
      </c>
      <c r="D1221" s="8">
        <v>45548</v>
      </c>
      <c r="E1221" s="8" t="str">
        <f>IF(B1221="Inactive", EDATE(D1221,K1221), "")</f>
        <v/>
      </c>
      <c r="F1221" t="s">
        <v>14</v>
      </c>
      <c r="G1221">
        <v>12</v>
      </c>
      <c r="H1221" t="str" cm="1">
        <f t="array" ref="H1221">_xlfn.IFS(G1221&gt;=20,"20-25", G1221&gt;=15,"15-20", G1221&gt;=10,"10-15", G1221&gt;=5,"5-10", G1221&gt;=1,"1-5", G1221&lt;1,"Less than 1")</f>
        <v>10-15</v>
      </c>
      <c r="I1221">
        <v>4</v>
      </c>
      <c r="J1221">
        <v>1</v>
      </c>
      <c r="K1221" s="6">
        <v>3</v>
      </c>
      <c r="L1221" s="2">
        <v>3.99</v>
      </c>
      <c r="M1221" s="6">
        <v>10</v>
      </c>
      <c r="N1221" t="str" cm="1">
        <f t="array" ref="N1221">_xlfn.IFS(M1221&gt;=50,"50-60 Days", M1221&gt;=40,"40-50 Days", M1221&gt;=30, "30-40 Days", M1221&gt;=20, "20-30 Days", M1221&gt;=10, "10-20 Days", M1221&gt;=0, "0-10 Days")</f>
        <v>10-20 Days</v>
      </c>
    </row>
    <row r="1222" spans="1:14">
      <c r="A1222">
        <v>1221</v>
      </c>
      <c r="B1222" t="s">
        <v>28</v>
      </c>
      <c r="C1222" s="5">
        <v>45614</v>
      </c>
      <c r="D1222" s="8">
        <v>45614</v>
      </c>
      <c r="E1222" s="8">
        <f>IF(B1222="Inactive", EDATE(D1222,K1222), "")</f>
        <v>45734</v>
      </c>
      <c r="F1222" t="s">
        <v>12</v>
      </c>
      <c r="G1222">
        <v>7.7</v>
      </c>
      <c r="H1222" t="str" cm="1">
        <f t="array" ref="H1222">_xlfn.IFS(G1222&gt;=20,"20-25", G1222&gt;=15,"15-20", G1222&gt;=10,"10-15", G1222&gt;=5,"5-10", G1222&gt;=1,"1-5", G1222&lt;1,"Less than 1")</f>
        <v>5-10</v>
      </c>
      <c r="I1222">
        <v>8</v>
      </c>
      <c r="J1222">
        <v>5</v>
      </c>
      <c r="K1222" s="6">
        <v>4</v>
      </c>
      <c r="L1222" s="2">
        <v>1.99</v>
      </c>
      <c r="M1222" s="6">
        <v>25</v>
      </c>
      <c r="N1222" t="str" cm="1">
        <f t="array" ref="N1222">_xlfn.IFS(M1222&gt;=50,"50-60 Days", M1222&gt;=40,"40-50 Days", M1222&gt;=30, "30-40 Days", M1222&gt;=20, "20-30 Days", M1222&gt;=10, "10-20 Days", M1222&gt;=0, "0-10 Days")</f>
        <v>20-30 Days</v>
      </c>
    </row>
    <row r="1223" spans="1:14">
      <c r="A1223">
        <v>1222</v>
      </c>
      <c r="B1223" t="s">
        <v>29</v>
      </c>
      <c r="C1223" s="5">
        <v>45618</v>
      </c>
      <c r="D1223" s="8">
        <v>45618</v>
      </c>
      <c r="E1223" s="8" t="str">
        <f>IF(B1223="Inactive", EDATE(D1223,K1223), "")</f>
        <v/>
      </c>
      <c r="F1223" t="s">
        <v>12</v>
      </c>
      <c r="G1223">
        <v>4.3</v>
      </c>
      <c r="H1223" t="str" cm="1">
        <f t="array" ref="H1223">_xlfn.IFS(G1223&gt;=20,"20-25", G1223&gt;=15,"15-20", G1223&gt;=10,"10-15", G1223&gt;=5,"5-10", G1223&gt;=1,"1-5", G1223&lt;1,"Less than 1")</f>
        <v>1-5</v>
      </c>
      <c r="I1223">
        <v>5</v>
      </c>
      <c r="J1223">
        <v>1</v>
      </c>
      <c r="K1223" s="6">
        <v>6</v>
      </c>
      <c r="L1223" s="2">
        <v>1.99</v>
      </c>
      <c r="M1223" s="6">
        <v>13</v>
      </c>
      <c r="N1223" t="str" cm="1">
        <f t="array" ref="N1223">_xlfn.IFS(M1223&gt;=50,"50-60 Days", M1223&gt;=40,"40-50 Days", M1223&gt;=30, "30-40 Days", M1223&gt;=20, "20-30 Days", M1223&gt;=10, "10-20 Days", M1223&gt;=0, "0-10 Days")</f>
        <v>10-20 Days</v>
      </c>
    </row>
    <row r="1224" spans="1:14">
      <c r="A1224">
        <v>1223</v>
      </c>
      <c r="B1224" t="s">
        <v>28</v>
      </c>
      <c r="C1224" s="5">
        <v>45605</v>
      </c>
      <c r="D1224" s="8">
        <v>45605</v>
      </c>
      <c r="E1224" s="8">
        <f>IF(B1224="Inactive", EDATE(D1224,K1224), "")</f>
        <v>45756</v>
      </c>
      <c r="F1224" t="s">
        <v>10</v>
      </c>
      <c r="G1224">
        <v>11.3</v>
      </c>
      <c r="H1224" t="str" cm="1">
        <f t="array" ref="H1224">_xlfn.IFS(G1224&gt;=20,"20-25", G1224&gt;=15,"15-20", G1224&gt;=10,"10-15", G1224&gt;=5,"5-10", G1224&gt;=1,"1-5", G1224&lt;1,"Less than 1")</f>
        <v>10-15</v>
      </c>
      <c r="I1224">
        <v>0</v>
      </c>
      <c r="J1224">
        <v>5</v>
      </c>
      <c r="K1224" s="6">
        <v>5</v>
      </c>
      <c r="L1224" s="2">
        <v>6.99</v>
      </c>
      <c r="M1224" s="6">
        <v>51</v>
      </c>
      <c r="N1224" t="str" cm="1">
        <f t="array" ref="N1224">_xlfn.IFS(M1224&gt;=50,"50-60 Days", M1224&gt;=40,"40-50 Days", M1224&gt;=30, "30-40 Days", M1224&gt;=20, "20-30 Days", M1224&gt;=10, "10-20 Days", M1224&gt;=0, "0-10 Days")</f>
        <v>50-60 Days</v>
      </c>
    </row>
    <row r="1225" spans="1:14">
      <c r="A1225">
        <v>1224</v>
      </c>
      <c r="B1225" t="s">
        <v>29</v>
      </c>
      <c r="C1225" s="5">
        <v>44976</v>
      </c>
      <c r="D1225" s="8">
        <v>44976</v>
      </c>
      <c r="E1225" s="8" t="str">
        <f>IF(B1225="Inactive", EDATE(D1225,K1225), "")</f>
        <v/>
      </c>
      <c r="F1225" t="s">
        <v>10</v>
      </c>
      <c r="G1225">
        <v>10.1</v>
      </c>
      <c r="H1225" t="str" cm="1">
        <f t="array" ref="H1225">_xlfn.IFS(G1225&gt;=20,"20-25", G1225&gt;=15,"15-20", G1225&gt;=10,"10-15", G1225&gt;=5,"5-10", G1225&gt;=1,"1-5", G1225&lt;1,"Less than 1")</f>
        <v>10-15</v>
      </c>
      <c r="I1225">
        <v>4</v>
      </c>
      <c r="J1225">
        <v>3</v>
      </c>
      <c r="K1225" s="6">
        <v>3</v>
      </c>
      <c r="L1225" s="2">
        <v>6.99</v>
      </c>
      <c r="M1225" s="6">
        <v>3</v>
      </c>
      <c r="N1225" t="str" cm="1">
        <f t="array" ref="N1225">_xlfn.IFS(M1225&gt;=50,"50-60 Days", M1225&gt;=40,"40-50 Days", M1225&gt;=30, "30-40 Days", M1225&gt;=20, "20-30 Days", M1225&gt;=10, "10-20 Days", M1225&gt;=0, "0-10 Days")</f>
        <v>0-10 Days</v>
      </c>
    </row>
    <row r="1226" spans="1:14">
      <c r="A1226">
        <v>1225</v>
      </c>
      <c r="B1226" t="s">
        <v>28</v>
      </c>
      <c r="C1226" s="5">
        <v>45358</v>
      </c>
      <c r="D1226" s="8">
        <v>45358</v>
      </c>
      <c r="E1226" s="8">
        <f>IF(B1226="Inactive", EDATE(D1226,K1226), "")</f>
        <v>45511</v>
      </c>
      <c r="F1226" t="s">
        <v>14</v>
      </c>
      <c r="G1226">
        <v>23.3</v>
      </c>
      <c r="H1226" t="str" cm="1">
        <f t="array" ref="H1226">_xlfn.IFS(G1226&gt;=20,"20-25", G1226&gt;=15,"15-20", G1226&gt;=10,"10-15", G1226&gt;=5,"5-10", G1226&gt;=1,"1-5", G1226&lt;1,"Less than 1")</f>
        <v>20-25</v>
      </c>
      <c r="I1226">
        <v>5</v>
      </c>
      <c r="J1226">
        <v>1</v>
      </c>
      <c r="K1226" s="6">
        <v>5</v>
      </c>
      <c r="L1226" s="2">
        <v>3.99</v>
      </c>
      <c r="M1226" s="6">
        <v>12</v>
      </c>
      <c r="N1226" t="str" cm="1">
        <f t="array" ref="N1226">_xlfn.IFS(M1226&gt;=50,"50-60 Days", M1226&gt;=40,"40-50 Days", M1226&gt;=30, "30-40 Days", M1226&gt;=20, "20-30 Days", M1226&gt;=10, "10-20 Days", M1226&gt;=0, "0-10 Days")</f>
        <v>10-20 Days</v>
      </c>
    </row>
    <row r="1227" spans="1:14">
      <c r="A1227">
        <v>1226</v>
      </c>
      <c r="B1227" t="s">
        <v>28</v>
      </c>
      <c r="C1227" s="5">
        <v>45025</v>
      </c>
      <c r="D1227" s="8">
        <v>45025</v>
      </c>
      <c r="E1227" s="8">
        <f>IF(B1227="Inactive", EDATE(D1227,K1227), "")</f>
        <v>45055</v>
      </c>
      <c r="F1227" t="s">
        <v>12</v>
      </c>
      <c r="G1227">
        <v>8.8000000000000007</v>
      </c>
      <c r="H1227" t="str" cm="1">
        <f t="array" ref="H1227">_xlfn.IFS(G1227&gt;=20,"20-25", G1227&gt;=15,"15-20", G1227&gt;=10,"10-15", G1227&gt;=5,"5-10", G1227&gt;=1,"1-5", G1227&lt;1,"Less than 1")</f>
        <v>5-10</v>
      </c>
      <c r="I1227">
        <v>3</v>
      </c>
      <c r="J1227">
        <v>5</v>
      </c>
      <c r="K1227" s="6">
        <v>1</v>
      </c>
      <c r="L1227" s="2">
        <v>1.99</v>
      </c>
      <c r="M1227" s="6">
        <v>42</v>
      </c>
      <c r="N1227" t="str" cm="1">
        <f t="array" ref="N1227">_xlfn.IFS(M1227&gt;=50,"50-60 Days", M1227&gt;=40,"40-50 Days", M1227&gt;=30, "30-40 Days", M1227&gt;=20, "20-30 Days", M1227&gt;=10, "10-20 Days", M1227&gt;=0, "0-10 Days")</f>
        <v>40-50 Days</v>
      </c>
    </row>
    <row r="1228" spans="1:14">
      <c r="A1228">
        <v>1227</v>
      </c>
      <c r="B1228" t="s">
        <v>28</v>
      </c>
      <c r="C1228" s="5">
        <v>45261</v>
      </c>
      <c r="D1228" s="8">
        <v>45261</v>
      </c>
      <c r="E1228" s="8">
        <f>IF(B1228="Inactive", EDATE(D1228,K1228), "")</f>
        <v>45383</v>
      </c>
      <c r="F1228" t="s">
        <v>10</v>
      </c>
      <c r="G1228">
        <v>18.2</v>
      </c>
      <c r="H1228" t="str" cm="1">
        <f t="array" ref="H1228">_xlfn.IFS(G1228&gt;=20,"20-25", G1228&gt;=15,"15-20", G1228&gt;=10,"10-15", G1228&gt;=5,"5-10", G1228&gt;=1,"1-5", G1228&lt;1,"Less than 1")</f>
        <v>15-20</v>
      </c>
      <c r="I1228">
        <v>0</v>
      </c>
      <c r="J1228">
        <v>3</v>
      </c>
      <c r="K1228" s="6">
        <v>4</v>
      </c>
      <c r="L1228" s="2">
        <v>6.99</v>
      </c>
      <c r="M1228" s="6">
        <v>32</v>
      </c>
      <c r="N1228" t="str" cm="1">
        <f t="array" ref="N1228">_xlfn.IFS(M1228&gt;=50,"50-60 Days", M1228&gt;=40,"40-50 Days", M1228&gt;=30, "30-40 Days", M1228&gt;=20, "20-30 Days", M1228&gt;=10, "10-20 Days", M1228&gt;=0, "0-10 Days")</f>
        <v>30-40 Days</v>
      </c>
    </row>
    <row r="1229" spans="1:14">
      <c r="A1229">
        <v>1228</v>
      </c>
      <c r="B1229" t="s">
        <v>29</v>
      </c>
      <c r="C1229" s="5">
        <v>45050</v>
      </c>
      <c r="D1229" s="8">
        <v>45050</v>
      </c>
      <c r="E1229" s="8" t="str">
        <f>IF(B1229="Inactive", EDATE(D1229,K1229), "")</f>
        <v/>
      </c>
      <c r="F1229" t="s">
        <v>14</v>
      </c>
      <c r="G1229">
        <v>15.9</v>
      </c>
      <c r="H1229" t="str" cm="1">
        <f t="array" ref="H1229">_xlfn.IFS(G1229&gt;=20,"20-25", G1229&gt;=15,"15-20", G1229&gt;=10,"10-15", G1229&gt;=5,"5-10", G1229&gt;=1,"1-5", G1229&lt;1,"Less than 1")</f>
        <v>15-20</v>
      </c>
      <c r="I1229">
        <v>3</v>
      </c>
      <c r="J1229">
        <v>4</v>
      </c>
      <c r="K1229" s="6">
        <v>12</v>
      </c>
      <c r="L1229" s="2">
        <v>3.99</v>
      </c>
      <c r="M1229" s="6">
        <v>25</v>
      </c>
      <c r="N1229" t="str" cm="1">
        <f t="array" ref="N1229">_xlfn.IFS(M1229&gt;=50,"50-60 Days", M1229&gt;=40,"40-50 Days", M1229&gt;=30, "30-40 Days", M1229&gt;=20, "20-30 Days", M1229&gt;=10, "10-20 Days", M1229&gt;=0, "0-10 Days")</f>
        <v>20-30 Days</v>
      </c>
    </row>
    <row r="1230" spans="1:14">
      <c r="A1230">
        <v>1229</v>
      </c>
      <c r="B1230" t="s">
        <v>28</v>
      </c>
      <c r="C1230" s="5">
        <v>45250</v>
      </c>
      <c r="D1230" s="8">
        <v>45250</v>
      </c>
      <c r="E1230" s="8">
        <f>IF(B1230="Inactive", EDATE(D1230,K1230), "")</f>
        <v>45402</v>
      </c>
      <c r="F1230" t="s">
        <v>12</v>
      </c>
      <c r="G1230">
        <v>3.1</v>
      </c>
      <c r="H1230" t="str" cm="1">
        <f t="array" ref="H1230">_xlfn.IFS(G1230&gt;=20,"20-25", G1230&gt;=15,"15-20", G1230&gt;=10,"10-15", G1230&gt;=5,"5-10", G1230&gt;=1,"1-5", G1230&lt;1,"Less than 1")</f>
        <v>1-5</v>
      </c>
      <c r="I1230">
        <v>5</v>
      </c>
      <c r="J1230">
        <v>1</v>
      </c>
      <c r="K1230" s="6">
        <v>5</v>
      </c>
      <c r="L1230" s="2">
        <v>1.99</v>
      </c>
      <c r="M1230" s="6">
        <v>0</v>
      </c>
      <c r="N1230" t="str" cm="1">
        <f t="array" ref="N1230">_xlfn.IFS(M1230&gt;=50,"50-60 Days", M1230&gt;=40,"40-50 Days", M1230&gt;=30, "30-40 Days", M1230&gt;=20, "20-30 Days", M1230&gt;=10, "10-20 Days", M1230&gt;=0, "0-10 Days")</f>
        <v>0-10 Days</v>
      </c>
    </row>
    <row r="1231" spans="1:14">
      <c r="A1231">
        <v>1230</v>
      </c>
      <c r="B1231" t="s">
        <v>29</v>
      </c>
      <c r="C1231" s="5">
        <v>45592</v>
      </c>
      <c r="D1231" s="8">
        <v>45592</v>
      </c>
      <c r="E1231" s="8" t="str">
        <f>IF(B1231="Inactive", EDATE(D1231,K1231), "")</f>
        <v/>
      </c>
      <c r="F1231" t="s">
        <v>12</v>
      </c>
      <c r="G1231">
        <v>5.7</v>
      </c>
      <c r="H1231" t="str" cm="1">
        <f t="array" ref="H1231">_xlfn.IFS(G1231&gt;=20,"20-25", G1231&gt;=15,"15-20", G1231&gt;=10,"10-15", G1231&gt;=5,"5-10", G1231&gt;=1,"1-5", G1231&lt;1,"Less than 1")</f>
        <v>5-10</v>
      </c>
      <c r="I1231">
        <v>3</v>
      </c>
      <c r="J1231">
        <v>0</v>
      </c>
      <c r="K1231" s="6">
        <v>9</v>
      </c>
      <c r="L1231" s="2">
        <v>1.99</v>
      </c>
      <c r="M1231" s="6">
        <v>42</v>
      </c>
      <c r="N1231" t="str" cm="1">
        <f t="array" ref="N1231">_xlfn.IFS(M1231&gt;=50,"50-60 Days", M1231&gt;=40,"40-50 Days", M1231&gt;=30, "30-40 Days", M1231&gt;=20, "20-30 Days", M1231&gt;=10, "10-20 Days", M1231&gt;=0, "0-10 Days")</f>
        <v>40-50 Days</v>
      </c>
    </row>
    <row r="1232" spans="1:14">
      <c r="A1232">
        <v>1231</v>
      </c>
      <c r="B1232" t="s">
        <v>29</v>
      </c>
      <c r="C1232" s="5">
        <v>45438</v>
      </c>
      <c r="D1232" s="8">
        <v>45438</v>
      </c>
      <c r="E1232" s="8" t="str">
        <f>IF(B1232="Inactive", EDATE(D1232,K1232), "")</f>
        <v/>
      </c>
      <c r="F1232" t="s">
        <v>10</v>
      </c>
      <c r="G1232">
        <v>1.6</v>
      </c>
      <c r="H1232" t="str" cm="1">
        <f t="array" ref="H1232">_xlfn.IFS(G1232&gt;=20,"20-25", G1232&gt;=15,"15-20", G1232&gt;=10,"10-15", G1232&gt;=5,"5-10", G1232&gt;=1,"1-5", G1232&lt;1,"Less than 1")</f>
        <v>1-5</v>
      </c>
      <c r="I1232">
        <v>3</v>
      </c>
      <c r="J1232">
        <v>3</v>
      </c>
      <c r="K1232" s="6">
        <v>8</v>
      </c>
      <c r="L1232" s="2">
        <v>6.99</v>
      </c>
      <c r="M1232" s="6">
        <v>19</v>
      </c>
      <c r="N1232" t="str" cm="1">
        <f t="array" ref="N1232">_xlfn.IFS(M1232&gt;=50,"50-60 Days", M1232&gt;=40,"40-50 Days", M1232&gt;=30, "30-40 Days", M1232&gt;=20, "20-30 Days", M1232&gt;=10, "10-20 Days", M1232&gt;=0, "0-10 Days")</f>
        <v>10-20 Days</v>
      </c>
    </row>
    <row r="1233" spans="1:14">
      <c r="A1233">
        <v>1232</v>
      </c>
      <c r="B1233" t="s">
        <v>29</v>
      </c>
      <c r="C1233" s="5">
        <v>45573</v>
      </c>
      <c r="D1233" s="8">
        <v>45573</v>
      </c>
      <c r="E1233" s="8" t="str">
        <f>IF(B1233="Inactive", EDATE(D1233,K1233), "")</f>
        <v/>
      </c>
      <c r="F1233" t="s">
        <v>12</v>
      </c>
      <c r="G1233">
        <v>19.899999999999999</v>
      </c>
      <c r="H1233" t="str" cm="1">
        <f t="array" ref="H1233">_xlfn.IFS(G1233&gt;=20,"20-25", G1233&gt;=15,"15-20", G1233&gt;=10,"10-15", G1233&gt;=5,"5-10", G1233&gt;=1,"1-5", G1233&lt;1,"Less than 1")</f>
        <v>15-20</v>
      </c>
      <c r="I1233">
        <v>2</v>
      </c>
      <c r="J1233">
        <v>2</v>
      </c>
      <c r="K1233" s="6">
        <v>12</v>
      </c>
      <c r="L1233" s="2">
        <v>1.99</v>
      </c>
      <c r="M1233" s="6">
        <v>6</v>
      </c>
      <c r="N1233" t="str" cm="1">
        <f t="array" ref="N1233">_xlfn.IFS(M1233&gt;=50,"50-60 Days", M1233&gt;=40,"40-50 Days", M1233&gt;=30, "30-40 Days", M1233&gt;=20, "20-30 Days", M1233&gt;=10, "10-20 Days", M1233&gt;=0, "0-10 Days")</f>
        <v>0-10 Days</v>
      </c>
    </row>
    <row r="1234" spans="1:14">
      <c r="A1234">
        <v>1233</v>
      </c>
      <c r="B1234" t="s">
        <v>29</v>
      </c>
      <c r="C1234" s="5">
        <v>45631</v>
      </c>
      <c r="D1234" s="8">
        <v>45631</v>
      </c>
      <c r="E1234" s="8" t="str">
        <f>IF(B1234="Inactive", EDATE(D1234,K1234), "")</f>
        <v/>
      </c>
      <c r="F1234" t="s">
        <v>10</v>
      </c>
      <c r="G1234">
        <v>17.100000000000001</v>
      </c>
      <c r="H1234" t="str" cm="1">
        <f t="array" ref="H1234">_xlfn.IFS(G1234&gt;=20,"20-25", G1234&gt;=15,"15-20", G1234&gt;=10,"10-15", G1234&gt;=5,"5-10", G1234&gt;=1,"1-5", G1234&lt;1,"Less than 1")</f>
        <v>15-20</v>
      </c>
      <c r="I1234">
        <v>2</v>
      </c>
      <c r="J1234">
        <v>2</v>
      </c>
      <c r="K1234" s="6">
        <v>9</v>
      </c>
      <c r="L1234" s="2">
        <v>6.99</v>
      </c>
      <c r="M1234" s="6">
        <v>11</v>
      </c>
      <c r="N1234" t="str" cm="1">
        <f t="array" ref="N1234">_xlfn.IFS(M1234&gt;=50,"50-60 Days", M1234&gt;=40,"40-50 Days", M1234&gt;=30, "30-40 Days", M1234&gt;=20, "20-30 Days", M1234&gt;=10, "10-20 Days", M1234&gt;=0, "0-10 Days")</f>
        <v>10-20 Days</v>
      </c>
    </row>
    <row r="1235" spans="1:14">
      <c r="A1235">
        <v>1234</v>
      </c>
      <c r="B1235" t="s">
        <v>28</v>
      </c>
      <c r="C1235" s="5">
        <v>45318</v>
      </c>
      <c r="D1235" s="8">
        <v>45318</v>
      </c>
      <c r="E1235" s="8">
        <f>IF(B1235="Inactive", EDATE(D1235,K1235), "")</f>
        <v>45653</v>
      </c>
      <c r="F1235" t="s">
        <v>14</v>
      </c>
      <c r="G1235">
        <v>2.2000000000000002</v>
      </c>
      <c r="H1235" t="str" cm="1">
        <f t="array" ref="H1235">_xlfn.IFS(G1235&gt;=20,"20-25", G1235&gt;=15,"15-20", G1235&gt;=10,"10-15", G1235&gt;=5,"5-10", G1235&gt;=1,"1-5", G1235&lt;1,"Less than 1")</f>
        <v>1-5</v>
      </c>
      <c r="I1235">
        <v>0</v>
      </c>
      <c r="J1235">
        <v>4</v>
      </c>
      <c r="K1235" s="6">
        <v>11</v>
      </c>
      <c r="L1235" s="2">
        <v>3.99</v>
      </c>
      <c r="M1235" s="6">
        <v>58</v>
      </c>
      <c r="N1235" t="str" cm="1">
        <f t="array" ref="N1235">_xlfn.IFS(M1235&gt;=50,"50-60 Days", M1235&gt;=40,"40-50 Days", M1235&gt;=30, "30-40 Days", M1235&gt;=20, "20-30 Days", M1235&gt;=10, "10-20 Days", M1235&gt;=0, "0-10 Days")</f>
        <v>50-60 Days</v>
      </c>
    </row>
    <row r="1236" spans="1:14">
      <c r="A1236">
        <v>1235</v>
      </c>
      <c r="B1236" t="s">
        <v>29</v>
      </c>
      <c r="C1236" s="5">
        <v>45054</v>
      </c>
      <c r="D1236" s="8">
        <v>45054</v>
      </c>
      <c r="E1236" s="8" t="str">
        <f>IF(B1236="Inactive", EDATE(D1236,K1236), "")</f>
        <v/>
      </c>
      <c r="F1236" t="s">
        <v>10</v>
      </c>
      <c r="G1236">
        <v>12.8</v>
      </c>
      <c r="H1236" t="str" cm="1">
        <f t="array" ref="H1236">_xlfn.IFS(G1236&gt;=20,"20-25", G1236&gt;=15,"15-20", G1236&gt;=10,"10-15", G1236&gt;=5,"5-10", G1236&gt;=1,"1-5", G1236&lt;1,"Less than 1")</f>
        <v>10-15</v>
      </c>
      <c r="I1236">
        <v>0</v>
      </c>
      <c r="J1236">
        <v>1</v>
      </c>
      <c r="K1236" s="6">
        <v>5</v>
      </c>
      <c r="L1236" s="2">
        <v>6.99</v>
      </c>
      <c r="M1236" s="6">
        <v>1</v>
      </c>
      <c r="N1236" t="str" cm="1">
        <f t="array" ref="N1236">_xlfn.IFS(M1236&gt;=50,"50-60 Days", M1236&gt;=40,"40-50 Days", M1236&gt;=30, "30-40 Days", M1236&gt;=20, "20-30 Days", M1236&gt;=10, "10-20 Days", M1236&gt;=0, "0-10 Days")</f>
        <v>0-10 Days</v>
      </c>
    </row>
    <row r="1237" spans="1:14">
      <c r="A1237">
        <v>1236</v>
      </c>
      <c r="B1237" t="s">
        <v>28</v>
      </c>
      <c r="C1237" s="5">
        <v>45310</v>
      </c>
      <c r="D1237" s="8">
        <v>45310</v>
      </c>
      <c r="E1237" s="8">
        <f>IF(B1237="Inactive", EDATE(D1237,K1237), "")</f>
        <v>45492</v>
      </c>
      <c r="F1237" t="s">
        <v>14</v>
      </c>
      <c r="G1237">
        <v>18.600000000000001</v>
      </c>
      <c r="H1237" t="str" cm="1">
        <f t="array" ref="H1237">_xlfn.IFS(G1237&gt;=20,"20-25", G1237&gt;=15,"15-20", G1237&gt;=10,"10-15", G1237&gt;=5,"5-10", G1237&gt;=1,"1-5", G1237&lt;1,"Less than 1")</f>
        <v>15-20</v>
      </c>
      <c r="I1237">
        <v>3</v>
      </c>
      <c r="J1237">
        <v>4</v>
      </c>
      <c r="K1237" s="6">
        <v>6</v>
      </c>
      <c r="L1237" s="2">
        <v>3.99</v>
      </c>
      <c r="M1237" s="6">
        <v>5</v>
      </c>
      <c r="N1237" t="str" cm="1">
        <f t="array" ref="N1237">_xlfn.IFS(M1237&gt;=50,"50-60 Days", M1237&gt;=40,"40-50 Days", M1237&gt;=30, "30-40 Days", M1237&gt;=20, "20-30 Days", M1237&gt;=10, "10-20 Days", M1237&gt;=0, "0-10 Days")</f>
        <v>0-10 Days</v>
      </c>
    </row>
    <row r="1238" spans="1:14">
      <c r="A1238">
        <v>1237</v>
      </c>
      <c r="B1238" t="s">
        <v>28</v>
      </c>
      <c r="C1238" s="5">
        <v>45539</v>
      </c>
      <c r="D1238" s="8">
        <v>45539</v>
      </c>
      <c r="E1238" s="8">
        <f>IF(B1238="Inactive", EDATE(D1238,K1238), "")</f>
        <v>45751</v>
      </c>
      <c r="F1238" t="s">
        <v>14</v>
      </c>
      <c r="G1238">
        <v>5.4</v>
      </c>
      <c r="H1238" t="str" cm="1">
        <f t="array" ref="H1238">_xlfn.IFS(G1238&gt;=20,"20-25", G1238&gt;=15,"15-20", G1238&gt;=10,"10-15", G1238&gt;=5,"5-10", G1238&gt;=1,"1-5", G1238&lt;1,"Less than 1")</f>
        <v>5-10</v>
      </c>
      <c r="I1238">
        <v>6</v>
      </c>
      <c r="J1238">
        <v>1</v>
      </c>
      <c r="K1238" s="6">
        <v>7</v>
      </c>
      <c r="L1238" s="2">
        <v>3.99</v>
      </c>
      <c r="M1238" s="6">
        <v>41</v>
      </c>
      <c r="N1238" t="str" cm="1">
        <f t="array" ref="N1238">_xlfn.IFS(M1238&gt;=50,"50-60 Days", M1238&gt;=40,"40-50 Days", M1238&gt;=30, "30-40 Days", M1238&gt;=20, "20-30 Days", M1238&gt;=10, "10-20 Days", M1238&gt;=0, "0-10 Days")</f>
        <v>40-50 Days</v>
      </c>
    </row>
    <row r="1239" spans="1:14">
      <c r="A1239">
        <v>1238</v>
      </c>
      <c r="B1239" t="s">
        <v>28</v>
      </c>
      <c r="C1239" s="5">
        <v>45460</v>
      </c>
      <c r="D1239" s="8">
        <v>45460</v>
      </c>
      <c r="E1239" s="8">
        <f>IF(B1239="Inactive", EDATE(D1239,K1239), "")</f>
        <v>45705</v>
      </c>
      <c r="F1239" t="s">
        <v>14</v>
      </c>
      <c r="G1239">
        <v>3.8</v>
      </c>
      <c r="H1239" t="str" cm="1">
        <f t="array" ref="H1239">_xlfn.IFS(G1239&gt;=20,"20-25", G1239&gt;=15,"15-20", G1239&gt;=10,"10-15", G1239&gt;=5,"5-10", G1239&gt;=1,"1-5", G1239&lt;1,"Less than 1")</f>
        <v>1-5</v>
      </c>
      <c r="I1239">
        <v>5</v>
      </c>
      <c r="J1239">
        <v>5</v>
      </c>
      <c r="K1239" s="6">
        <v>8</v>
      </c>
      <c r="L1239" s="2">
        <v>3.99</v>
      </c>
      <c r="M1239" s="6">
        <v>50</v>
      </c>
      <c r="N1239" t="str" cm="1">
        <f t="array" ref="N1239">_xlfn.IFS(M1239&gt;=50,"50-60 Days", M1239&gt;=40,"40-50 Days", M1239&gt;=30, "30-40 Days", M1239&gt;=20, "20-30 Days", M1239&gt;=10, "10-20 Days", M1239&gt;=0, "0-10 Days")</f>
        <v>50-60 Days</v>
      </c>
    </row>
    <row r="1240" spans="1:14">
      <c r="A1240">
        <v>1239</v>
      </c>
      <c r="B1240" t="s">
        <v>28</v>
      </c>
      <c r="C1240" s="5">
        <v>45137</v>
      </c>
      <c r="D1240" s="8">
        <v>45137</v>
      </c>
      <c r="E1240" s="8">
        <f>IF(B1240="Inactive", EDATE(D1240,K1240), "")</f>
        <v>45351</v>
      </c>
      <c r="F1240" t="s">
        <v>14</v>
      </c>
      <c r="G1240">
        <v>18.899999999999999</v>
      </c>
      <c r="H1240" t="str" cm="1">
        <f t="array" ref="H1240">_xlfn.IFS(G1240&gt;=20,"20-25", G1240&gt;=15,"15-20", G1240&gt;=10,"10-15", G1240&gt;=5,"5-10", G1240&gt;=1,"1-5", G1240&lt;1,"Less than 1")</f>
        <v>15-20</v>
      </c>
      <c r="I1240">
        <v>3</v>
      </c>
      <c r="J1240">
        <v>5</v>
      </c>
      <c r="K1240" s="6">
        <v>7</v>
      </c>
      <c r="L1240" s="2">
        <v>3.99</v>
      </c>
      <c r="M1240" s="6">
        <v>21</v>
      </c>
      <c r="N1240" t="str" cm="1">
        <f t="array" ref="N1240">_xlfn.IFS(M1240&gt;=50,"50-60 Days", M1240&gt;=40,"40-50 Days", M1240&gt;=30, "30-40 Days", M1240&gt;=20, "20-30 Days", M1240&gt;=10, "10-20 Days", M1240&gt;=0, "0-10 Days")</f>
        <v>20-30 Days</v>
      </c>
    </row>
    <row r="1241" spans="1:14">
      <c r="A1241">
        <v>1240</v>
      </c>
      <c r="B1241" t="s">
        <v>29</v>
      </c>
      <c r="C1241" s="5">
        <v>45549</v>
      </c>
      <c r="D1241" s="8">
        <v>45549</v>
      </c>
      <c r="E1241" s="8" t="str">
        <f>IF(B1241="Inactive", EDATE(D1241,K1241), "")</f>
        <v/>
      </c>
      <c r="F1241" t="s">
        <v>10</v>
      </c>
      <c r="G1241">
        <v>22.7</v>
      </c>
      <c r="H1241" t="str" cm="1">
        <f t="array" ref="H1241">_xlfn.IFS(G1241&gt;=20,"20-25", G1241&gt;=15,"15-20", G1241&gt;=10,"10-15", G1241&gt;=5,"5-10", G1241&gt;=1,"1-5", G1241&lt;1,"Less than 1")</f>
        <v>20-25</v>
      </c>
      <c r="I1241">
        <v>3</v>
      </c>
      <c r="J1241">
        <v>5</v>
      </c>
      <c r="K1241" s="6">
        <v>2</v>
      </c>
      <c r="L1241" s="2">
        <v>6.99</v>
      </c>
      <c r="M1241" s="6">
        <v>44</v>
      </c>
      <c r="N1241" t="str" cm="1">
        <f t="array" ref="N1241">_xlfn.IFS(M1241&gt;=50,"50-60 Days", M1241&gt;=40,"40-50 Days", M1241&gt;=30, "30-40 Days", M1241&gt;=20, "20-30 Days", M1241&gt;=10, "10-20 Days", M1241&gt;=0, "0-10 Days")</f>
        <v>40-50 Days</v>
      </c>
    </row>
    <row r="1242" spans="1:14">
      <c r="A1242">
        <v>1241</v>
      </c>
      <c r="B1242" t="s">
        <v>28</v>
      </c>
      <c r="C1242" s="5">
        <v>45430</v>
      </c>
      <c r="D1242" s="8">
        <v>45430</v>
      </c>
      <c r="E1242" s="8">
        <f>IF(B1242="Inactive", EDATE(D1242,K1242), "")</f>
        <v>45795</v>
      </c>
      <c r="F1242" t="s">
        <v>14</v>
      </c>
      <c r="G1242">
        <v>8.4</v>
      </c>
      <c r="H1242" t="str" cm="1">
        <f t="array" ref="H1242">_xlfn.IFS(G1242&gt;=20,"20-25", G1242&gt;=15,"15-20", G1242&gt;=10,"10-15", G1242&gt;=5,"5-10", G1242&gt;=1,"1-5", G1242&lt;1,"Less than 1")</f>
        <v>5-10</v>
      </c>
      <c r="I1242">
        <v>7</v>
      </c>
      <c r="J1242">
        <v>5</v>
      </c>
      <c r="K1242" s="6">
        <v>12</v>
      </c>
      <c r="L1242" s="2">
        <v>3.99</v>
      </c>
      <c r="M1242" s="6">
        <v>0</v>
      </c>
      <c r="N1242" t="str" cm="1">
        <f t="array" ref="N1242">_xlfn.IFS(M1242&gt;=50,"50-60 Days", M1242&gt;=40,"40-50 Days", M1242&gt;=30, "30-40 Days", M1242&gt;=20, "20-30 Days", M1242&gt;=10, "10-20 Days", M1242&gt;=0, "0-10 Days")</f>
        <v>0-10 Days</v>
      </c>
    </row>
    <row r="1243" spans="1:14">
      <c r="A1243">
        <v>1242</v>
      </c>
      <c r="B1243" t="s">
        <v>28</v>
      </c>
      <c r="C1243" s="5">
        <v>45533</v>
      </c>
      <c r="D1243" s="8">
        <v>45533</v>
      </c>
      <c r="E1243" s="8">
        <f>IF(B1243="Inactive", EDATE(D1243,K1243), "")</f>
        <v>45686</v>
      </c>
      <c r="F1243" t="s">
        <v>12</v>
      </c>
      <c r="G1243">
        <v>1.8</v>
      </c>
      <c r="H1243" t="str" cm="1">
        <f t="array" ref="H1243">_xlfn.IFS(G1243&gt;=20,"20-25", G1243&gt;=15,"15-20", G1243&gt;=10,"10-15", G1243&gt;=5,"5-10", G1243&gt;=1,"1-5", G1243&lt;1,"Less than 1")</f>
        <v>1-5</v>
      </c>
      <c r="I1243">
        <v>2</v>
      </c>
      <c r="J1243">
        <v>1</v>
      </c>
      <c r="K1243" s="6">
        <v>5</v>
      </c>
      <c r="L1243" s="2">
        <v>1.99</v>
      </c>
      <c r="M1243" s="6">
        <v>8</v>
      </c>
      <c r="N1243" t="str" cm="1">
        <f t="array" ref="N1243">_xlfn.IFS(M1243&gt;=50,"50-60 Days", M1243&gt;=40,"40-50 Days", M1243&gt;=30, "30-40 Days", M1243&gt;=20, "20-30 Days", M1243&gt;=10, "10-20 Days", M1243&gt;=0, "0-10 Days")</f>
        <v>0-10 Days</v>
      </c>
    </row>
    <row r="1244" spans="1:14">
      <c r="A1244">
        <v>1243</v>
      </c>
      <c r="B1244" t="s">
        <v>28</v>
      </c>
      <c r="C1244" s="5">
        <v>45095</v>
      </c>
      <c r="D1244" s="8">
        <v>45095</v>
      </c>
      <c r="E1244" s="8">
        <f>IF(B1244="Inactive", EDATE(D1244,K1244), "")</f>
        <v>45248</v>
      </c>
      <c r="F1244" t="s">
        <v>10</v>
      </c>
      <c r="G1244">
        <v>6.3</v>
      </c>
      <c r="H1244" t="str" cm="1">
        <f t="array" ref="H1244">_xlfn.IFS(G1244&gt;=20,"20-25", G1244&gt;=15,"15-20", G1244&gt;=10,"10-15", G1244&gt;=5,"5-10", G1244&gt;=1,"1-5", G1244&lt;1,"Less than 1")</f>
        <v>5-10</v>
      </c>
      <c r="I1244">
        <v>1</v>
      </c>
      <c r="J1244">
        <v>3</v>
      </c>
      <c r="K1244" s="6">
        <v>5</v>
      </c>
      <c r="L1244" s="2">
        <v>6.99</v>
      </c>
      <c r="M1244" s="6">
        <v>46</v>
      </c>
      <c r="N1244" t="str" cm="1">
        <f t="array" ref="N1244">_xlfn.IFS(M1244&gt;=50,"50-60 Days", M1244&gt;=40,"40-50 Days", M1244&gt;=30, "30-40 Days", M1244&gt;=20, "20-30 Days", M1244&gt;=10, "10-20 Days", M1244&gt;=0, "0-10 Days")</f>
        <v>40-50 Days</v>
      </c>
    </row>
    <row r="1245" spans="1:14">
      <c r="A1245">
        <v>1244</v>
      </c>
      <c r="B1245" t="s">
        <v>28</v>
      </c>
      <c r="C1245" s="5">
        <v>45517</v>
      </c>
      <c r="D1245" s="8">
        <v>45517</v>
      </c>
      <c r="E1245" s="8">
        <f>IF(B1245="Inactive", EDATE(D1245,K1245), "")</f>
        <v>45670</v>
      </c>
      <c r="F1245" t="s">
        <v>10</v>
      </c>
      <c r="G1245">
        <v>6.5</v>
      </c>
      <c r="H1245" t="str" cm="1">
        <f t="array" ref="H1245">_xlfn.IFS(G1245&gt;=20,"20-25", G1245&gt;=15,"15-20", G1245&gt;=10,"10-15", G1245&gt;=5,"5-10", G1245&gt;=1,"1-5", G1245&lt;1,"Less than 1")</f>
        <v>5-10</v>
      </c>
      <c r="I1245">
        <v>2</v>
      </c>
      <c r="J1245">
        <v>4</v>
      </c>
      <c r="K1245" s="6">
        <v>5</v>
      </c>
      <c r="L1245" s="2">
        <v>6.99</v>
      </c>
      <c r="M1245" s="6">
        <v>15</v>
      </c>
      <c r="N1245" t="str" cm="1">
        <f t="array" ref="N1245">_xlfn.IFS(M1245&gt;=50,"50-60 Days", M1245&gt;=40,"40-50 Days", M1245&gt;=30, "30-40 Days", M1245&gt;=20, "20-30 Days", M1245&gt;=10, "10-20 Days", M1245&gt;=0, "0-10 Days")</f>
        <v>10-20 Days</v>
      </c>
    </row>
    <row r="1246" spans="1:14">
      <c r="A1246">
        <v>1245</v>
      </c>
      <c r="B1246" t="s">
        <v>29</v>
      </c>
      <c r="C1246" s="5">
        <v>45334</v>
      </c>
      <c r="D1246" s="8">
        <v>45334</v>
      </c>
      <c r="E1246" s="8" t="str">
        <f>IF(B1246="Inactive", EDATE(D1246,K1246), "")</f>
        <v/>
      </c>
      <c r="F1246" t="s">
        <v>14</v>
      </c>
      <c r="G1246">
        <v>7.2</v>
      </c>
      <c r="H1246" t="str" cm="1">
        <f t="array" ref="H1246">_xlfn.IFS(G1246&gt;=20,"20-25", G1246&gt;=15,"15-20", G1246&gt;=10,"10-15", G1246&gt;=5,"5-10", G1246&gt;=1,"1-5", G1246&lt;1,"Less than 1")</f>
        <v>5-10</v>
      </c>
      <c r="I1246">
        <v>7</v>
      </c>
      <c r="J1246">
        <v>0</v>
      </c>
      <c r="K1246" s="6">
        <v>5</v>
      </c>
      <c r="L1246" s="2">
        <v>3.99</v>
      </c>
      <c r="M1246" s="6">
        <v>60</v>
      </c>
      <c r="N1246" t="str" cm="1">
        <f t="array" ref="N1246">_xlfn.IFS(M1246&gt;=50,"50-60 Days", M1246&gt;=40,"40-50 Days", M1246&gt;=30, "30-40 Days", M1246&gt;=20, "20-30 Days", M1246&gt;=10, "10-20 Days", M1246&gt;=0, "0-10 Days")</f>
        <v>50-60 Days</v>
      </c>
    </row>
    <row r="1247" spans="1:14">
      <c r="A1247">
        <v>1246</v>
      </c>
      <c r="B1247" t="s">
        <v>28</v>
      </c>
      <c r="C1247" s="5">
        <v>45086</v>
      </c>
      <c r="D1247" s="8">
        <v>45086</v>
      </c>
      <c r="E1247" s="8">
        <f>IF(B1247="Inactive", EDATE(D1247,K1247), "")</f>
        <v>45208</v>
      </c>
      <c r="F1247" t="s">
        <v>14</v>
      </c>
      <c r="G1247">
        <v>12</v>
      </c>
      <c r="H1247" t="str" cm="1">
        <f t="array" ref="H1247">_xlfn.IFS(G1247&gt;=20,"20-25", G1247&gt;=15,"15-20", G1247&gt;=10,"10-15", G1247&gt;=5,"5-10", G1247&gt;=1,"1-5", G1247&lt;1,"Less than 1")</f>
        <v>10-15</v>
      </c>
      <c r="I1247">
        <v>6</v>
      </c>
      <c r="J1247">
        <v>4</v>
      </c>
      <c r="K1247" s="6">
        <v>4</v>
      </c>
      <c r="L1247" s="2">
        <v>3.99</v>
      </c>
      <c r="M1247" s="6">
        <v>39</v>
      </c>
      <c r="N1247" t="str" cm="1">
        <f t="array" ref="N1247">_xlfn.IFS(M1247&gt;=50,"50-60 Days", M1247&gt;=40,"40-50 Days", M1247&gt;=30, "30-40 Days", M1247&gt;=20, "20-30 Days", M1247&gt;=10, "10-20 Days", M1247&gt;=0, "0-10 Days")</f>
        <v>30-40 Days</v>
      </c>
    </row>
    <row r="1248" spans="1:14">
      <c r="A1248">
        <v>1247</v>
      </c>
      <c r="B1248" t="s">
        <v>29</v>
      </c>
      <c r="C1248" s="5">
        <v>45234</v>
      </c>
      <c r="D1248" s="8">
        <v>45234</v>
      </c>
      <c r="E1248" s="8" t="str">
        <f>IF(B1248="Inactive", EDATE(D1248,K1248), "")</f>
        <v/>
      </c>
      <c r="F1248" t="s">
        <v>14</v>
      </c>
      <c r="G1248">
        <v>19.2</v>
      </c>
      <c r="H1248" t="str" cm="1">
        <f t="array" ref="H1248">_xlfn.IFS(G1248&gt;=20,"20-25", G1248&gt;=15,"15-20", G1248&gt;=10,"10-15", G1248&gt;=5,"5-10", G1248&gt;=1,"1-5", G1248&lt;1,"Less than 1")</f>
        <v>15-20</v>
      </c>
      <c r="I1248">
        <v>6</v>
      </c>
      <c r="J1248">
        <v>0</v>
      </c>
      <c r="K1248" s="6">
        <v>1</v>
      </c>
      <c r="L1248" s="2">
        <v>3.99</v>
      </c>
      <c r="M1248" s="6">
        <v>48</v>
      </c>
      <c r="N1248" t="str" cm="1">
        <f t="array" ref="N1248">_xlfn.IFS(M1248&gt;=50,"50-60 Days", M1248&gt;=40,"40-50 Days", M1248&gt;=30, "30-40 Days", M1248&gt;=20, "20-30 Days", M1248&gt;=10, "10-20 Days", M1248&gt;=0, "0-10 Days")</f>
        <v>40-50 Days</v>
      </c>
    </row>
    <row r="1249" spans="1:14">
      <c r="A1249">
        <v>1248</v>
      </c>
      <c r="B1249" t="s">
        <v>28</v>
      </c>
      <c r="C1249" s="5">
        <v>45391</v>
      </c>
      <c r="D1249" s="8">
        <v>45391</v>
      </c>
      <c r="E1249" s="8">
        <f>IF(B1249="Inactive", EDATE(D1249,K1249), "")</f>
        <v>45756</v>
      </c>
      <c r="F1249" t="s">
        <v>10</v>
      </c>
      <c r="G1249">
        <v>4.2</v>
      </c>
      <c r="H1249" t="str" cm="1">
        <f t="array" ref="H1249">_xlfn.IFS(G1249&gt;=20,"20-25", G1249&gt;=15,"15-20", G1249&gt;=10,"10-15", G1249&gt;=5,"5-10", G1249&gt;=1,"1-5", G1249&lt;1,"Less than 1")</f>
        <v>1-5</v>
      </c>
      <c r="I1249">
        <v>2</v>
      </c>
      <c r="J1249">
        <v>2</v>
      </c>
      <c r="K1249" s="6">
        <v>12</v>
      </c>
      <c r="L1249" s="2">
        <v>6.99</v>
      </c>
      <c r="M1249" s="6">
        <v>24</v>
      </c>
      <c r="N1249" t="str" cm="1">
        <f t="array" ref="N1249">_xlfn.IFS(M1249&gt;=50,"50-60 Days", M1249&gt;=40,"40-50 Days", M1249&gt;=30, "30-40 Days", M1249&gt;=20, "20-30 Days", M1249&gt;=10, "10-20 Days", M1249&gt;=0, "0-10 Days")</f>
        <v>20-30 Days</v>
      </c>
    </row>
    <row r="1250" spans="1:14">
      <c r="A1250">
        <v>1249</v>
      </c>
      <c r="B1250" t="s">
        <v>28</v>
      </c>
      <c r="C1250" s="5">
        <v>45407</v>
      </c>
      <c r="D1250" s="8">
        <v>45407</v>
      </c>
      <c r="E1250" s="8">
        <f>IF(B1250="Inactive", EDATE(D1250,K1250), "")</f>
        <v>45682</v>
      </c>
      <c r="F1250" t="s">
        <v>14</v>
      </c>
      <c r="G1250">
        <v>14.3</v>
      </c>
      <c r="H1250" t="str" cm="1">
        <f t="array" ref="H1250">_xlfn.IFS(G1250&gt;=20,"20-25", G1250&gt;=15,"15-20", G1250&gt;=10,"10-15", G1250&gt;=5,"5-10", G1250&gt;=1,"1-5", G1250&lt;1,"Less than 1")</f>
        <v>10-15</v>
      </c>
      <c r="I1250">
        <v>7</v>
      </c>
      <c r="J1250">
        <v>0</v>
      </c>
      <c r="K1250" s="6">
        <v>9</v>
      </c>
      <c r="L1250" s="2">
        <v>3.99</v>
      </c>
      <c r="M1250" s="6">
        <v>21</v>
      </c>
      <c r="N1250" t="str" cm="1">
        <f t="array" ref="N1250">_xlfn.IFS(M1250&gt;=50,"50-60 Days", M1250&gt;=40,"40-50 Days", M1250&gt;=30, "30-40 Days", M1250&gt;=20, "20-30 Days", M1250&gt;=10, "10-20 Days", M1250&gt;=0, "0-10 Days")</f>
        <v>20-30 Days</v>
      </c>
    </row>
    <row r="1251" spans="1:14">
      <c r="A1251">
        <v>1250</v>
      </c>
      <c r="B1251" t="s">
        <v>29</v>
      </c>
      <c r="C1251" s="5">
        <v>45310</v>
      </c>
      <c r="D1251" s="8">
        <v>45310</v>
      </c>
      <c r="E1251" s="8" t="str">
        <f>IF(B1251="Inactive", EDATE(D1251,K1251), "")</f>
        <v/>
      </c>
      <c r="F1251" t="s">
        <v>12</v>
      </c>
      <c r="G1251">
        <v>22.9</v>
      </c>
      <c r="H1251" t="str" cm="1">
        <f t="array" ref="H1251">_xlfn.IFS(G1251&gt;=20,"20-25", G1251&gt;=15,"15-20", G1251&gt;=10,"10-15", G1251&gt;=5,"5-10", G1251&gt;=1,"1-5", G1251&lt;1,"Less than 1")</f>
        <v>20-25</v>
      </c>
      <c r="I1251">
        <v>0</v>
      </c>
      <c r="J1251">
        <v>0</v>
      </c>
      <c r="K1251" s="6">
        <v>4</v>
      </c>
      <c r="L1251" s="2">
        <v>1.99</v>
      </c>
      <c r="M1251" s="6">
        <v>55</v>
      </c>
      <c r="N1251" t="str" cm="1">
        <f t="array" ref="N1251">_xlfn.IFS(M1251&gt;=50,"50-60 Days", M1251&gt;=40,"40-50 Days", M1251&gt;=30, "30-40 Days", M1251&gt;=20, "20-30 Days", M1251&gt;=10, "10-20 Days", M1251&gt;=0, "0-10 Days")</f>
        <v>50-60 Days</v>
      </c>
    </row>
    <row r="1252" spans="1:14">
      <c r="A1252">
        <v>1251</v>
      </c>
      <c r="B1252" t="s">
        <v>28</v>
      </c>
      <c r="C1252" s="5">
        <v>45242</v>
      </c>
      <c r="D1252" s="8">
        <v>45242</v>
      </c>
      <c r="E1252" s="8">
        <f>IF(B1252="Inactive", EDATE(D1252,K1252), "")</f>
        <v>45516</v>
      </c>
      <c r="F1252" t="s">
        <v>14</v>
      </c>
      <c r="G1252">
        <v>23.2</v>
      </c>
      <c r="H1252" t="str" cm="1">
        <f t="array" ref="H1252">_xlfn.IFS(G1252&gt;=20,"20-25", G1252&gt;=15,"15-20", G1252&gt;=10,"10-15", G1252&gt;=5,"5-10", G1252&gt;=1,"1-5", G1252&lt;1,"Less than 1")</f>
        <v>20-25</v>
      </c>
      <c r="I1252">
        <v>6</v>
      </c>
      <c r="J1252">
        <v>5</v>
      </c>
      <c r="K1252" s="6">
        <v>9</v>
      </c>
      <c r="L1252" s="2">
        <v>3.99</v>
      </c>
      <c r="M1252" s="6">
        <v>23</v>
      </c>
      <c r="N1252" t="str" cm="1">
        <f t="array" ref="N1252">_xlfn.IFS(M1252&gt;=50,"50-60 Days", M1252&gt;=40,"40-50 Days", M1252&gt;=30, "30-40 Days", M1252&gt;=20, "20-30 Days", M1252&gt;=10, "10-20 Days", M1252&gt;=0, "0-10 Days")</f>
        <v>20-30 Days</v>
      </c>
    </row>
    <row r="1253" spans="1:14">
      <c r="A1253">
        <v>1252</v>
      </c>
      <c r="B1253" t="s">
        <v>29</v>
      </c>
      <c r="C1253" s="5">
        <v>45093</v>
      </c>
      <c r="D1253" s="8">
        <v>45093</v>
      </c>
      <c r="E1253" s="8" t="str">
        <f>IF(B1253="Inactive", EDATE(D1253,K1253), "")</f>
        <v/>
      </c>
      <c r="F1253" t="s">
        <v>10</v>
      </c>
      <c r="G1253">
        <v>10.5</v>
      </c>
      <c r="H1253" t="str" cm="1">
        <f t="array" ref="H1253">_xlfn.IFS(G1253&gt;=20,"20-25", G1253&gt;=15,"15-20", G1253&gt;=10,"10-15", G1253&gt;=5,"5-10", G1253&gt;=1,"1-5", G1253&lt;1,"Less than 1")</f>
        <v>10-15</v>
      </c>
      <c r="I1253">
        <v>0</v>
      </c>
      <c r="J1253">
        <v>0</v>
      </c>
      <c r="K1253" s="6">
        <v>2</v>
      </c>
      <c r="L1253" s="2">
        <v>6.99</v>
      </c>
      <c r="M1253" s="6">
        <v>24</v>
      </c>
      <c r="N1253" t="str" cm="1">
        <f t="array" ref="N1253">_xlfn.IFS(M1253&gt;=50,"50-60 Days", M1253&gt;=40,"40-50 Days", M1253&gt;=30, "30-40 Days", M1253&gt;=20, "20-30 Days", M1253&gt;=10, "10-20 Days", M1253&gt;=0, "0-10 Days")</f>
        <v>20-30 Days</v>
      </c>
    </row>
    <row r="1254" spans="1:14">
      <c r="A1254">
        <v>1253</v>
      </c>
      <c r="B1254" t="s">
        <v>28</v>
      </c>
      <c r="C1254" s="5">
        <v>45632</v>
      </c>
      <c r="D1254" s="8">
        <v>45632</v>
      </c>
      <c r="E1254" s="8">
        <f>IF(B1254="Inactive", EDATE(D1254,K1254), "")</f>
        <v>45936</v>
      </c>
      <c r="F1254" t="s">
        <v>12</v>
      </c>
      <c r="G1254">
        <v>23.9</v>
      </c>
      <c r="H1254" t="str" cm="1">
        <f t="array" ref="H1254">_xlfn.IFS(G1254&gt;=20,"20-25", G1254&gt;=15,"15-20", G1254&gt;=10,"10-15", G1254&gt;=5,"5-10", G1254&gt;=1,"1-5", G1254&lt;1,"Less than 1")</f>
        <v>20-25</v>
      </c>
      <c r="I1254">
        <v>5</v>
      </c>
      <c r="J1254">
        <v>4</v>
      </c>
      <c r="K1254" s="6">
        <v>10</v>
      </c>
      <c r="L1254" s="2">
        <v>1.99</v>
      </c>
      <c r="M1254" s="6">
        <v>45</v>
      </c>
      <c r="N1254" t="str" cm="1">
        <f t="array" ref="N1254">_xlfn.IFS(M1254&gt;=50,"50-60 Days", M1254&gt;=40,"40-50 Days", M1254&gt;=30, "30-40 Days", M1254&gt;=20, "20-30 Days", M1254&gt;=10, "10-20 Days", M1254&gt;=0, "0-10 Days")</f>
        <v>40-50 Days</v>
      </c>
    </row>
    <row r="1255" spans="1:14">
      <c r="A1255">
        <v>1254</v>
      </c>
      <c r="B1255" t="s">
        <v>28</v>
      </c>
      <c r="C1255" s="5">
        <v>44962</v>
      </c>
      <c r="D1255" s="8">
        <v>44962</v>
      </c>
      <c r="E1255" s="8">
        <f>IF(B1255="Inactive", EDATE(D1255,K1255), "")</f>
        <v>45021</v>
      </c>
      <c r="F1255" t="s">
        <v>14</v>
      </c>
      <c r="G1255">
        <v>16.399999999999999</v>
      </c>
      <c r="H1255" t="str" cm="1">
        <f t="array" ref="H1255">_xlfn.IFS(G1255&gt;=20,"20-25", G1255&gt;=15,"15-20", G1255&gt;=10,"10-15", G1255&gt;=5,"5-10", G1255&gt;=1,"1-5", G1255&lt;1,"Less than 1")</f>
        <v>15-20</v>
      </c>
      <c r="I1255">
        <v>6</v>
      </c>
      <c r="J1255">
        <v>5</v>
      </c>
      <c r="K1255" s="6">
        <v>2</v>
      </c>
      <c r="L1255" s="2">
        <v>3.99</v>
      </c>
      <c r="M1255" s="6">
        <v>15</v>
      </c>
      <c r="N1255" t="str" cm="1">
        <f t="array" ref="N1255">_xlfn.IFS(M1255&gt;=50,"50-60 Days", M1255&gt;=40,"40-50 Days", M1255&gt;=30, "30-40 Days", M1255&gt;=20, "20-30 Days", M1255&gt;=10, "10-20 Days", M1255&gt;=0, "0-10 Days")</f>
        <v>10-20 Days</v>
      </c>
    </row>
    <row r="1256" spans="1:14">
      <c r="A1256">
        <v>1255</v>
      </c>
      <c r="B1256" t="s">
        <v>28</v>
      </c>
      <c r="C1256" s="5">
        <v>45624</v>
      </c>
      <c r="D1256" s="8">
        <v>45624</v>
      </c>
      <c r="E1256" s="8">
        <f>IF(B1256="Inactive", EDATE(D1256,K1256), "")</f>
        <v>45654</v>
      </c>
      <c r="F1256" t="s">
        <v>14</v>
      </c>
      <c r="G1256">
        <v>17.600000000000001</v>
      </c>
      <c r="H1256" t="str" cm="1">
        <f t="array" ref="H1256">_xlfn.IFS(G1256&gt;=20,"20-25", G1256&gt;=15,"15-20", G1256&gt;=10,"10-15", G1256&gt;=5,"5-10", G1256&gt;=1,"1-5", G1256&lt;1,"Less than 1")</f>
        <v>15-20</v>
      </c>
      <c r="I1256">
        <v>2</v>
      </c>
      <c r="J1256">
        <v>2</v>
      </c>
      <c r="K1256" s="6">
        <v>1</v>
      </c>
      <c r="L1256" s="2">
        <v>3.99</v>
      </c>
      <c r="M1256" s="6">
        <v>38</v>
      </c>
      <c r="N1256" t="str" cm="1">
        <f t="array" ref="N1256">_xlfn.IFS(M1256&gt;=50,"50-60 Days", M1256&gt;=40,"40-50 Days", M1256&gt;=30, "30-40 Days", M1256&gt;=20, "20-30 Days", M1256&gt;=10, "10-20 Days", M1256&gt;=0, "0-10 Days")</f>
        <v>30-40 Days</v>
      </c>
    </row>
    <row r="1257" spans="1:14">
      <c r="A1257">
        <v>1256</v>
      </c>
      <c r="B1257" t="s">
        <v>29</v>
      </c>
      <c r="C1257" s="5">
        <v>45586</v>
      </c>
      <c r="D1257" s="8">
        <v>45586</v>
      </c>
      <c r="E1257" s="8" t="str">
        <f>IF(B1257="Inactive", EDATE(D1257,K1257), "")</f>
        <v/>
      </c>
      <c r="F1257" t="s">
        <v>12</v>
      </c>
      <c r="G1257">
        <v>6.6</v>
      </c>
      <c r="H1257" t="str" cm="1">
        <f t="array" ref="H1257">_xlfn.IFS(G1257&gt;=20,"20-25", G1257&gt;=15,"15-20", G1257&gt;=10,"10-15", G1257&gt;=5,"5-10", G1257&gt;=1,"1-5", G1257&lt;1,"Less than 1")</f>
        <v>5-10</v>
      </c>
      <c r="I1257">
        <v>2</v>
      </c>
      <c r="J1257">
        <v>0</v>
      </c>
      <c r="K1257" s="6">
        <v>6</v>
      </c>
      <c r="L1257" s="2">
        <v>1.99</v>
      </c>
      <c r="M1257" s="6">
        <v>7</v>
      </c>
      <c r="N1257" t="str" cm="1">
        <f t="array" ref="N1257">_xlfn.IFS(M1257&gt;=50,"50-60 Days", M1257&gt;=40,"40-50 Days", M1257&gt;=30, "30-40 Days", M1257&gt;=20, "20-30 Days", M1257&gt;=10, "10-20 Days", M1257&gt;=0, "0-10 Days")</f>
        <v>0-10 Days</v>
      </c>
    </row>
    <row r="1258" spans="1:14">
      <c r="A1258">
        <v>1257</v>
      </c>
      <c r="B1258" t="s">
        <v>28</v>
      </c>
      <c r="C1258" s="5">
        <v>45360</v>
      </c>
      <c r="D1258" s="8">
        <v>45360</v>
      </c>
      <c r="E1258" s="8">
        <f>IF(B1258="Inactive", EDATE(D1258,K1258), "")</f>
        <v>45635</v>
      </c>
      <c r="F1258" t="s">
        <v>10</v>
      </c>
      <c r="G1258">
        <v>10.199999999999999</v>
      </c>
      <c r="H1258" t="str" cm="1">
        <f t="array" ref="H1258">_xlfn.IFS(G1258&gt;=20,"20-25", G1258&gt;=15,"15-20", G1258&gt;=10,"10-15", G1258&gt;=5,"5-10", G1258&gt;=1,"1-5", G1258&lt;1,"Less than 1")</f>
        <v>10-15</v>
      </c>
      <c r="I1258">
        <v>1</v>
      </c>
      <c r="J1258">
        <v>4</v>
      </c>
      <c r="K1258" s="6">
        <v>9</v>
      </c>
      <c r="L1258" s="2">
        <v>6.99</v>
      </c>
      <c r="M1258" s="6">
        <v>58</v>
      </c>
      <c r="N1258" t="str" cm="1">
        <f t="array" ref="N1258">_xlfn.IFS(M1258&gt;=50,"50-60 Days", M1258&gt;=40,"40-50 Days", M1258&gt;=30, "30-40 Days", M1258&gt;=20, "20-30 Days", M1258&gt;=10, "10-20 Days", M1258&gt;=0, "0-10 Days")</f>
        <v>50-60 Days</v>
      </c>
    </row>
    <row r="1259" spans="1:14">
      <c r="A1259">
        <v>1258</v>
      </c>
      <c r="B1259" t="s">
        <v>28</v>
      </c>
      <c r="C1259" s="5">
        <v>45318</v>
      </c>
      <c r="D1259" s="8">
        <v>45318</v>
      </c>
      <c r="E1259" s="8">
        <f>IF(B1259="Inactive", EDATE(D1259,K1259), "")</f>
        <v>45623</v>
      </c>
      <c r="F1259" t="s">
        <v>12</v>
      </c>
      <c r="G1259">
        <v>6.7</v>
      </c>
      <c r="H1259" t="str" cm="1">
        <f t="array" ref="H1259">_xlfn.IFS(G1259&gt;=20,"20-25", G1259&gt;=15,"15-20", G1259&gt;=10,"10-15", G1259&gt;=5,"5-10", G1259&gt;=1,"1-5", G1259&lt;1,"Less than 1")</f>
        <v>5-10</v>
      </c>
      <c r="I1259">
        <v>4</v>
      </c>
      <c r="J1259">
        <v>4</v>
      </c>
      <c r="K1259" s="6">
        <v>10</v>
      </c>
      <c r="L1259" s="2">
        <v>1.99</v>
      </c>
      <c r="M1259" s="6">
        <v>34</v>
      </c>
      <c r="N1259" t="str" cm="1">
        <f t="array" ref="N1259">_xlfn.IFS(M1259&gt;=50,"50-60 Days", M1259&gt;=40,"40-50 Days", M1259&gt;=30, "30-40 Days", M1259&gt;=20, "20-30 Days", M1259&gt;=10, "10-20 Days", M1259&gt;=0, "0-10 Days")</f>
        <v>30-40 Days</v>
      </c>
    </row>
    <row r="1260" spans="1:14">
      <c r="A1260">
        <v>1259</v>
      </c>
      <c r="B1260" t="s">
        <v>29</v>
      </c>
      <c r="C1260" s="5">
        <v>45279</v>
      </c>
      <c r="D1260" s="8">
        <v>45279</v>
      </c>
      <c r="E1260" s="8" t="str">
        <f>IF(B1260="Inactive", EDATE(D1260,K1260), "")</f>
        <v/>
      </c>
      <c r="F1260" t="s">
        <v>10</v>
      </c>
      <c r="G1260">
        <v>18.5</v>
      </c>
      <c r="H1260" t="str" cm="1">
        <f t="array" ref="H1260">_xlfn.IFS(G1260&gt;=20,"20-25", G1260&gt;=15,"15-20", G1260&gt;=10,"10-15", G1260&gt;=5,"5-10", G1260&gt;=1,"1-5", G1260&lt;1,"Less than 1")</f>
        <v>15-20</v>
      </c>
      <c r="I1260">
        <v>1</v>
      </c>
      <c r="J1260">
        <v>0</v>
      </c>
      <c r="K1260" s="6">
        <v>7</v>
      </c>
      <c r="L1260" s="2">
        <v>6.99</v>
      </c>
      <c r="M1260" s="6">
        <v>40</v>
      </c>
      <c r="N1260" t="str" cm="1">
        <f t="array" ref="N1260">_xlfn.IFS(M1260&gt;=50,"50-60 Days", M1260&gt;=40,"40-50 Days", M1260&gt;=30, "30-40 Days", M1260&gt;=20, "20-30 Days", M1260&gt;=10, "10-20 Days", M1260&gt;=0, "0-10 Days")</f>
        <v>40-50 Days</v>
      </c>
    </row>
    <row r="1261" spans="1:14">
      <c r="A1261">
        <v>1260</v>
      </c>
      <c r="B1261" t="s">
        <v>28</v>
      </c>
      <c r="C1261" s="5">
        <v>45099</v>
      </c>
      <c r="D1261" s="8">
        <v>45099</v>
      </c>
      <c r="E1261" s="8">
        <f>IF(B1261="Inactive", EDATE(D1261,K1261), "")</f>
        <v>45282</v>
      </c>
      <c r="F1261" t="s">
        <v>12</v>
      </c>
      <c r="G1261">
        <v>18.8</v>
      </c>
      <c r="H1261" t="str" cm="1">
        <f t="array" ref="H1261">_xlfn.IFS(G1261&gt;=20,"20-25", G1261&gt;=15,"15-20", G1261&gt;=10,"10-15", G1261&gt;=5,"5-10", G1261&gt;=1,"1-5", G1261&lt;1,"Less than 1")</f>
        <v>15-20</v>
      </c>
      <c r="I1261">
        <v>6</v>
      </c>
      <c r="J1261">
        <v>5</v>
      </c>
      <c r="K1261" s="6">
        <v>6</v>
      </c>
      <c r="L1261" s="2">
        <v>1.99</v>
      </c>
      <c r="M1261" s="6">
        <v>19</v>
      </c>
      <c r="N1261" t="str" cm="1">
        <f t="array" ref="N1261">_xlfn.IFS(M1261&gt;=50,"50-60 Days", M1261&gt;=40,"40-50 Days", M1261&gt;=30, "30-40 Days", M1261&gt;=20, "20-30 Days", M1261&gt;=10, "10-20 Days", M1261&gt;=0, "0-10 Days")</f>
        <v>10-20 Days</v>
      </c>
    </row>
    <row r="1262" spans="1:14">
      <c r="A1262">
        <v>1261</v>
      </c>
      <c r="B1262" t="s">
        <v>28</v>
      </c>
      <c r="C1262" s="5">
        <v>45368</v>
      </c>
      <c r="D1262" s="8">
        <v>45368</v>
      </c>
      <c r="E1262" s="8">
        <f>IF(B1262="Inactive", EDATE(D1262,K1262), "")</f>
        <v>45399</v>
      </c>
      <c r="F1262" t="s">
        <v>14</v>
      </c>
      <c r="G1262">
        <v>2.9</v>
      </c>
      <c r="H1262" t="str" cm="1">
        <f t="array" ref="H1262">_xlfn.IFS(G1262&gt;=20,"20-25", G1262&gt;=15,"15-20", G1262&gt;=10,"10-15", G1262&gt;=5,"5-10", G1262&gt;=1,"1-5", G1262&lt;1,"Less than 1")</f>
        <v>1-5</v>
      </c>
      <c r="I1262">
        <v>6</v>
      </c>
      <c r="J1262">
        <v>4</v>
      </c>
      <c r="K1262" s="6">
        <v>1</v>
      </c>
      <c r="L1262" s="2">
        <v>3.99</v>
      </c>
      <c r="M1262" s="6">
        <v>26</v>
      </c>
      <c r="N1262" t="str" cm="1">
        <f t="array" ref="N1262">_xlfn.IFS(M1262&gt;=50,"50-60 Days", M1262&gt;=40,"40-50 Days", M1262&gt;=30, "30-40 Days", M1262&gt;=20, "20-30 Days", M1262&gt;=10, "10-20 Days", M1262&gt;=0, "0-10 Days")</f>
        <v>20-30 Days</v>
      </c>
    </row>
    <row r="1263" spans="1:14">
      <c r="A1263">
        <v>1262</v>
      </c>
      <c r="B1263" t="s">
        <v>28</v>
      </c>
      <c r="C1263" s="5">
        <v>45039</v>
      </c>
      <c r="D1263" s="8">
        <v>45039</v>
      </c>
      <c r="E1263" s="8">
        <f>IF(B1263="Inactive", EDATE(D1263,K1263), "")</f>
        <v>45161</v>
      </c>
      <c r="F1263" t="s">
        <v>12</v>
      </c>
      <c r="G1263">
        <v>9.6999999999999993</v>
      </c>
      <c r="H1263" t="str" cm="1">
        <f t="array" ref="H1263">_xlfn.IFS(G1263&gt;=20,"20-25", G1263&gt;=15,"15-20", G1263&gt;=10,"10-15", G1263&gt;=5,"5-10", G1263&gt;=1,"1-5", G1263&lt;1,"Less than 1")</f>
        <v>5-10</v>
      </c>
      <c r="I1263">
        <v>2</v>
      </c>
      <c r="J1263">
        <v>1</v>
      </c>
      <c r="K1263" s="6">
        <v>4</v>
      </c>
      <c r="L1263" s="2">
        <v>1.99</v>
      </c>
      <c r="M1263" s="6">
        <v>31</v>
      </c>
      <c r="N1263" t="str" cm="1">
        <f t="array" ref="N1263">_xlfn.IFS(M1263&gt;=50,"50-60 Days", M1263&gt;=40,"40-50 Days", M1263&gt;=30, "30-40 Days", M1263&gt;=20, "20-30 Days", M1263&gt;=10, "10-20 Days", M1263&gt;=0, "0-10 Days")</f>
        <v>30-40 Days</v>
      </c>
    </row>
    <row r="1264" spans="1:14">
      <c r="A1264">
        <v>1263</v>
      </c>
      <c r="B1264" t="s">
        <v>29</v>
      </c>
      <c r="C1264" s="5">
        <v>45123</v>
      </c>
      <c r="D1264" s="8">
        <v>45123</v>
      </c>
      <c r="E1264" s="8" t="str">
        <f>IF(B1264="Inactive", EDATE(D1264,K1264), "")</f>
        <v/>
      </c>
      <c r="F1264" t="s">
        <v>14</v>
      </c>
      <c r="G1264">
        <v>5</v>
      </c>
      <c r="H1264" t="str" cm="1">
        <f t="array" ref="H1264">_xlfn.IFS(G1264&gt;=20,"20-25", G1264&gt;=15,"15-20", G1264&gt;=10,"10-15", G1264&gt;=5,"5-10", G1264&gt;=1,"1-5", G1264&lt;1,"Less than 1")</f>
        <v>5-10</v>
      </c>
      <c r="I1264">
        <v>0</v>
      </c>
      <c r="J1264">
        <v>5</v>
      </c>
      <c r="K1264" s="6">
        <v>5</v>
      </c>
      <c r="L1264" s="2">
        <v>3.99</v>
      </c>
      <c r="M1264" s="6">
        <v>11</v>
      </c>
      <c r="N1264" t="str" cm="1">
        <f t="array" ref="N1264">_xlfn.IFS(M1264&gt;=50,"50-60 Days", M1264&gt;=40,"40-50 Days", M1264&gt;=30, "30-40 Days", M1264&gt;=20, "20-30 Days", M1264&gt;=10, "10-20 Days", M1264&gt;=0, "0-10 Days")</f>
        <v>10-20 Days</v>
      </c>
    </row>
    <row r="1265" spans="1:14">
      <c r="A1265">
        <v>1264</v>
      </c>
      <c r="B1265" t="s">
        <v>28</v>
      </c>
      <c r="C1265" s="5">
        <v>45014</v>
      </c>
      <c r="D1265" s="8">
        <v>45014</v>
      </c>
      <c r="E1265" s="8">
        <f>IF(B1265="Inactive", EDATE(D1265,K1265), "")</f>
        <v>45289</v>
      </c>
      <c r="F1265" t="s">
        <v>14</v>
      </c>
      <c r="G1265">
        <v>11.3</v>
      </c>
      <c r="H1265" t="str" cm="1">
        <f t="array" ref="H1265">_xlfn.IFS(G1265&gt;=20,"20-25", G1265&gt;=15,"15-20", G1265&gt;=10,"10-15", G1265&gt;=5,"5-10", G1265&gt;=1,"1-5", G1265&lt;1,"Less than 1")</f>
        <v>10-15</v>
      </c>
      <c r="I1265">
        <v>1</v>
      </c>
      <c r="J1265">
        <v>5</v>
      </c>
      <c r="K1265" s="6">
        <v>9</v>
      </c>
      <c r="L1265" s="2">
        <v>3.99</v>
      </c>
      <c r="M1265" s="6">
        <v>10</v>
      </c>
      <c r="N1265" t="str" cm="1">
        <f t="array" ref="N1265">_xlfn.IFS(M1265&gt;=50,"50-60 Days", M1265&gt;=40,"40-50 Days", M1265&gt;=30, "30-40 Days", M1265&gt;=20, "20-30 Days", M1265&gt;=10, "10-20 Days", M1265&gt;=0, "0-10 Days")</f>
        <v>10-20 Days</v>
      </c>
    </row>
    <row r="1266" spans="1:14">
      <c r="A1266">
        <v>1265</v>
      </c>
      <c r="B1266" t="s">
        <v>28</v>
      </c>
      <c r="C1266" s="5">
        <v>45423</v>
      </c>
      <c r="D1266" s="8">
        <v>45423</v>
      </c>
      <c r="E1266" s="8">
        <f>IF(B1266="Inactive", EDATE(D1266,K1266), "")</f>
        <v>45515</v>
      </c>
      <c r="F1266" t="s">
        <v>14</v>
      </c>
      <c r="G1266">
        <v>7.3</v>
      </c>
      <c r="H1266" t="str" cm="1">
        <f t="array" ref="H1266">_xlfn.IFS(G1266&gt;=20,"20-25", G1266&gt;=15,"15-20", G1266&gt;=10,"10-15", G1266&gt;=5,"5-10", G1266&gt;=1,"1-5", G1266&lt;1,"Less than 1")</f>
        <v>5-10</v>
      </c>
      <c r="I1266">
        <v>5</v>
      </c>
      <c r="J1266">
        <v>0</v>
      </c>
      <c r="K1266" s="6">
        <v>3</v>
      </c>
      <c r="L1266" s="2">
        <v>3.99</v>
      </c>
      <c r="M1266" s="6">
        <v>37</v>
      </c>
      <c r="N1266" t="str" cm="1">
        <f t="array" ref="N1266">_xlfn.IFS(M1266&gt;=50,"50-60 Days", M1266&gt;=40,"40-50 Days", M1266&gt;=30, "30-40 Days", M1266&gt;=20, "20-30 Days", M1266&gt;=10, "10-20 Days", M1266&gt;=0, "0-10 Days")</f>
        <v>30-40 Days</v>
      </c>
    </row>
    <row r="1267" spans="1:14">
      <c r="A1267">
        <v>1266</v>
      </c>
      <c r="B1267" t="s">
        <v>28</v>
      </c>
      <c r="C1267" s="5">
        <v>44969</v>
      </c>
      <c r="D1267" s="8">
        <v>44969</v>
      </c>
      <c r="E1267" s="8">
        <f>IF(B1267="Inactive", EDATE(D1267,K1267), "")</f>
        <v>45058</v>
      </c>
      <c r="F1267" t="s">
        <v>10</v>
      </c>
      <c r="G1267">
        <v>0.7</v>
      </c>
      <c r="H1267" t="str" cm="1">
        <f t="array" ref="H1267">_xlfn.IFS(G1267&gt;=20,"20-25", G1267&gt;=15,"15-20", G1267&gt;=10,"10-15", G1267&gt;=5,"5-10", G1267&gt;=1,"1-5", G1267&lt;1,"Less than 1")</f>
        <v>Less than 1</v>
      </c>
      <c r="I1267">
        <v>4</v>
      </c>
      <c r="J1267">
        <v>0</v>
      </c>
      <c r="K1267" s="6">
        <v>3</v>
      </c>
      <c r="L1267" s="2">
        <v>6.99</v>
      </c>
      <c r="M1267" s="6">
        <v>42</v>
      </c>
      <c r="N1267" t="str" cm="1">
        <f t="array" ref="N1267">_xlfn.IFS(M1267&gt;=50,"50-60 Days", M1267&gt;=40,"40-50 Days", M1267&gt;=30, "30-40 Days", M1267&gt;=20, "20-30 Days", M1267&gt;=10, "10-20 Days", M1267&gt;=0, "0-10 Days")</f>
        <v>40-50 Days</v>
      </c>
    </row>
    <row r="1268" spans="1:14">
      <c r="A1268">
        <v>1267</v>
      </c>
      <c r="B1268" t="s">
        <v>28</v>
      </c>
      <c r="C1268" s="5">
        <v>45199</v>
      </c>
      <c r="D1268" s="8">
        <v>45199</v>
      </c>
      <c r="E1268" s="8">
        <f>IF(B1268="Inactive", EDATE(D1268,K1268), "")</f>
        <v>45351</v>
      </c>
      <c r="F1268" t="s">
        <v>12</v>
      </c>
      <c r="G1268">
        <v>13.3</v>
      </c>
      <c r="H1268" t="str" cm="1">
        <f t="array" ref="H1268">_xlfn.IFS(G1268&gt;=20,"20-25", G1268&gt;=15,"15-20", G1268&gt;=10,"10-15", G1268&gt;=5,"5-10", G1268&gt;=1,"1-5", G1268&lt;1,"Less than 1")</f>
        <v>10-15</v>
      </c>
      <c r="I1268">
        <v>0</v>
      </c>
      <c r="J1268">
        <v>3</v>
      </c>
      <c r="K1268" s="6">
        <v>5</v>
      </c>
      <c r="L1268" s="2">
        <v>1.99</v>
      </c>
      <c r="M1268" s="6">
        <v>38</v>
      </c>
      <c r="N1268" t="str" cm="1">
        <f t="array" ref="N1268">_xlfn.IFS(M1268&gt;=50,"50-60 Days", M1268&gt;=40,"40-50 Days", M1268&gt;=30, "30-40 Days", M1268&gt;=20, "20-30 Days", M1268&gt;=10, "10-20 Days", M1268&gt;=0, "0-10 Days")</f>
        <v>30-40 Days</v>
      </c>
    </row>
    <row r="1269" spans="1:14">
      <c r="A1269">
        <v>1268</v>
      </c>
      <c r="B1269" t="s">
        <v>28</v>
      </c>
      <c r="C1269" s="5">
        <v>45278</v>
      </c>
      <c r="D1269" s="8">
        <v>45278</v>
      </c>
      <c r="E1269" s="8">
        <f>IF(B1269="Inactive", EDATE(D1269,K1269), "")</f>
        <v>45614</v>
      </c>
      <c r="F1269" t="s">
        <v>14</v>
      </c>
      <c r="G1269">
        <v>19</v>
      </c>
      <c r="H1269" t="str" cm="1">
        <f t="array" ref="H1269">_xlfn.IFS(G1269&gt;=20,"20-25", G1269&gt;=15,"15-20", G1269&gt;=10,"10-15", G1269&gt;=5,"5-10", G1269&gt;=1,"1-5", G1269&lt;1,"Less than 1")</f>
        <v>15-20</v>
      </c>
      <c r="I1269">
        <v>6</v>
      </c>
      <c r="J1269">
        <v>2</v>
      </c>
      <c r="K1269" s="6">
        <v>11</v>
      </c>
      <c r="L1269" s="2">
        <v>3.99</v>
      </c>
      <c r="M1269" s="6">
        <v>23</v>
      </c>
      <c r="N1269" t="str" cm="1">
        <f t="array" ref="N1269">_xlfn.IFS(M1269&gt;=50,"50-60 Days", M1269&gt;=40,"40-50 Days", M1269&gt;=30, "30-40 Days", M1269&gt;=20, "20-30 Days", M1269&gt;=10, "10-20 Days", M1269&gt;=0, "0-10 Days")</f>
        <v>20-30 Days</v>
      </c>
    </row>
    <row r="1270" spans="1:14">
      <c r="A1270">
        <v>1269</v>
      </c>
      <c r="B1270" t="s">
        <v>28</v>
      </c>
      <c r="C1270" s="5">
        <v>45291</v>
      </c>
      <c r="D1270" s="8">
        <v>45291</v>
      </c>
      <c r="E1270" s="8">
        <f>IF(B1270="Inactive", EDATE(D1270,K1270), "")</f>
        <v>45473</v>
      </c>
      <c r="F1270" t="s">
        <v>14</v>
      </c>
      <c r="G1270">
        <v>23.6</v>
      </c>
      <c r="H1270" t="str" cm="1">
        <f t="array" ref="H1270">_xlfn.IFS(G1270&gt;=20,"20-25", G1270&gt;=15,"15-20", G1270&gt;=10,"10-15", G1270&gt;=5,"5-10", G1270&gt;=1,"1-5", G1270&lt;1,"Less than 1")</f>
        <v>20-25</v>
      </c>
      <c r="I1270">
        <v>6</v>
      </c>
      <c r="J1270">
        <v>3</v>
      </c>
      <c r="K1270" s="6">
        <v>6</v>
      </c>
      <c r="L1270" s="2">
        <v>3.99</v>
      </c>
      <c r="M1270" s="6">
        <v>39</v>
      </c>
      <c r="N1270" t="str" cm="1">
        <f t="array" ref="N1270">_xlfn.IFS(M1270&gt;=50,"50-60 Days", M1270&gt;=40,"40-50 Days", M1270&gt;=30, "30-40 Days", M1270&gt;=20, "20-30 Days", M1270&gt;=10, "10-20 Days", M1270&gt;=0, "0-10 Days")</f>
        <v>30-40 Days</v>
      </c>
    </row>
    <row r="1271" spans="1:14">
      <c r="A1271">
        <v>1270</v>
      </c>
      <c r="B1271" t="s">
        <v>28</v>
      </c>
      <c r="C1271" s="5">
        <v>45069</v>
      </c>
      <c r="D1271" s="8">
        <v>45069</v>
      </c>
      <c r="E1271" s="8">
        <f>IF(B1271="Inactive", EDATE(D1271,K1271), "")</f>
        <v>45161</v>
      </c>
      <c r="F1271" t="s">
        <v>14</v>
      </c>
      <c r="G1271">
        <v>0.6</v>
      </c>
      <c r="H1271" t="str" cm="1">
        <f t="array" ref="H1271">_xlfn.IFS(G1271&gt;=20,"20-25", G1271&gt;=15,"15-20", G1271&gt;=10,"10-15", G1271&gt;=5,"5-10", G1271&gt;=1,"1-5", G1271&lt;1,"Less than 1")</f>
        <v>Less than 1</v>
      </c>
      <c r="I1271">
        <v>6</v>
      </c>
      <c r="J1271">
        <v>5</v>
      </c>
      <c r="K1271" s="6">
        <v>3</v>
      </c>
      <c r="L1271" s="2">
        <v>3.99</v>
      </c>
      <c r="M1271" s="6">
        <v>53</v>
      </c>
      <c r="N1271" t="str" cm="1">
        <f t="array" ref="N1271">_xlfn.IFS(M1271&gt;=50,"50-60 Days", M1271&gt;=40,"40-50 Days", M1271&gt;=30, "30-40 Days", M1271&gt;=20, "20-30 Days", M1271&gt;=10, "10-20 Days", M1271&gt;=0, "0-10 Days")</f>
        <v>50-60 Days</v>
      </c>
    </row>
    <row r="1272" spans="1:14">
      <c r="A1272">
        <v>1271</v>
      </c>
      <c r="B1272" t="s">
        <v>29</v>
      </c>
      <c r="C1272" s="5">
        <v>45304</v>
      </c>
      <c r="D1272" s="8">
        <v>45304</v>
      </c>
      <c r="E1272" s="8" t="str">
        <f>IF(B1272="Inactive", EDATE(D1272,K1272), "")</f>
        <v/>
      </c>
      <c r="F1272" t="s">
        <v>12</v>
      </c>
      <c r="G1272">
        <v>21.8</v>
      </c>
      <c r="H1272" t="str" cm="1">
        <f t="array" ref="H1272">_xlfn.IFS(G1272&gt;=20,"20-25", G1272&gt;=15,"15-20", G1272&gt;=10,"10-15", G1272&gt;=5,"5-10", G1272&gt;=1,"1-5", G1272&lt;1,"Less than 1")</f>
        <v>20-25</v>
      </c>
      <c r="I1272">
        <v>4</v>
      </c>
      <c r="J1272">
        <v>5</v>
      </c>
      <c r="K1272" s="6">
        <v>3</v>
      </c>
      <c r="L1272" s="2">
        <v>1.99</v>
      </c>
      <c r="M1272" s="6">
        <v>48</v>
      </c>
      <c r="N1272" t="str" cm="1">
        <f t="array" ref="N1272">_xlfn.IFS(M1272&gt;=50,"50-60 Days", M1272&gt;=40,"40-50 Days", M1272&gt;=30, "30-40 Days", M1272&gt;=20, "20-30 Days", M1272&gt;=10, "10-20 Days", M1272&gt;=0, "0-10 Days")</f>
        <v>40-50 Days</v>
      </c>
    </row>
    <row r="1273" spans="1:14">
      <c r="A1273">
        <v>1272</v>
      </c>
      <c r="B1273" t="s">
        <v>29</v>
      </c>
      <c r="C1273" s="5">
        <v>45256</v>
      </c>
      <c r="D1273" s="8">
        <v>45256</v>
      </c>
      <c r="E1273" s="8" t="str">
        <f>IF(B1273="Inactive", EDATE(D1273,K1273), "")</f>
        <v/>
      </c>
      <c r="F1273" t="s">
        <v>14</v>
      </c>
      <c r="G1273">
        <v>13.1</v>
      </c>
      <c r="H1273" t="str" cm="1">
        <f t="array" ref="H1273">_xlfn.IFS(G1273&gt;=20,"20-25", G1273&gt;=15,"15-20", G1273&gt;=10,"10-15", G1273&gt;=5,"5-10", G1273&gt;=1,"1-5", G1273&lt;1,"Less than 1")</f>
        <v>10-15</v>
      </c>
      <c r="I1273">
        <v>3</v>
      </c>
      <c r="J1273">
        <v>0</v>
      </c>
      <c r="K1273" s="6">
        <v>11</v>
      </c>
      <c r="L1273" s="2">
        <v>3.99</v>
      </c>
      <c r="M1273" s="6">
        <v>40</v>
      </c>
      <c r="N1273" t="str" cm="1">
        <f t="array" ref="N1273">_xlfn.IFS(M1273&gt;=50,"50-60 Days", M1273&gt;=40,"40-50 Days", M1273&gt;=30, "30-40 Days", M1273&gt;=20, "20-30 Days", M1273&gt;=10, "10-20 Days", M1273&gt;=0, "0-10 Days")</f>
        <v>40-50 Days</v>
      </c>
    </row>
    <row r="1274" spans="1:14">
      <c r="A1274">
        <v>1273</v>
      </c>
      <c r="B1274" t="s">
        <v>28</v>
      </c>
      <c r="C1274" s="5">
        <v>45423</v>
      </c>
      <c r="D1274" s="8">
        <v>45423</v>
      </c>
      <c r="E1274" s="8">
        <f>IF(B1274="Inactive", EDATE(D1274,K1274), "")</f>
        <v>45668</v>
      </c>
      <c r="F1274" t="s">
        <v>12</v>
      </c>
      <c r="G1274">
        <v>21.9</v>
      </c>
      <c r="H1274" t="str" cm="1">
        <f t="array" ref="H1274">_xlfn.IFS(G1274&gt;=20,"20-25", G1274&gt;=15,"15-20", G1274&gt;=10,"10-15", G1274&gt;=5,"5-10", G1274&gt;=1,"1-5", G1274&lt;1,"Less than 1")</f>
        <v>20-25</v>
      </c>
      <c r="I1274">
        <v>5</v>
      </c>
      <c r="J1274">
        <v>5</v>
      </c>
      <c r="K1274" s="6">
        <v>8</v>
      </c>
      <c r="L1274" s="2">
        <v>1.99</v>
      </c>
      <c r="M1274" s="6">
        <v>28</v>
      </c>
      <c r="N1274" t="str" cm="1">
        <f t="array" ref="N1274">_xlfn.IFS(M1274&gt;=50,"50-60 Days", M1274&gt;=40,"40-50 Days", M1274&gt;=30, "30-40 Days", M1274&gt;=20, "20-30 Days", M1274&gt;=10, "10-20 Days", M1274&gt;=0, "0-10 Days")</f>
        <v>20-30 Days</v>
      </c>
    </row>
    <row r="1275" spans="1:14">
      <c r="A1275">
        <v>1274</v>
      </c>
      <c r="B1275" t="s">
        <v>28</v>
      </c>
      <c r="C1275" s="5">
        <v>45029</v>
      </c>
      <c r="D1275" s="8">
        <v>45029</v>
      </c>
      <c r="E1275" s="8">
        <f>IF(B1275="Inactive", EDATE(D1275,K1275), "")</f>
        <v>45090</v>
      </c>
      <c r="F1275" t="s">
        <v>14</v>
      </c>
      <c r="G1275">
        <v>9</v>
      </c>
      <c r="H1275" t="str" cm="1">
        <f t="array" ref="H1275">_xlfn.IFS(G1275&gt;=20,"20-25", G1275&gt;=15,"15-20", G1275&gt;=10,"10-15", G1275&gt;=5,"5-10", G1275&gt;=1,"1-5", G1275&lt;1,"Less than 1")</f>
        <v>5-10</v>
      </c>
      <c r="I1275">
        <v>7</v>
      </c>
      <c r="J1275">
        <v>5</v>
      </c>
      <c r="K1275" s="6">
        <v>2</v>
      </c>
      <c r="L1275" s="2">
        <v>3.99</v>
      </c>
      <c r="M1275" s="6">
        <v>54</v>
      </c>
      <c r="N1275" t="str" cm="1">
        <f t="array" ref="N1275">_xlfn.IFS(M1275&gt;=50,"50-60 Days", M1275&gt;=40,"40-50 Days", M1275&gt;=30, "30-40 Days", M1275&gt;=20, "20-30 Days", M1275&gt;=10, "10-20 Days", M1275&gt;=0, "0-10 Days")</f>
        <v>50-60 Days</v>
      </c>
    </row>
    <row r="1276" spans="1:14">
      <c r="A1276">
        <v>1275</v>
      </c>
      <c r="B1276" t="s">
        <v>29</v>
      </c>
      <c r="C1276" s="5">
        <v>45512</v>
      </c>
      <c r="D1276" s="8">
        <v>45512</v>
      </c>
      <c r="E1276" s="8" t="str">
        <f>IF(B1276="Inactive", EDATE(D1276,K1276), "")</f>
        <v/>
      </c>
      <c r="F1276" t="s">
        <v>10</v>
      </c>
      <c r="G1276">
        <v>7.7</v>
      </c>
      <c r="H1276" t="str" cm="1">
        <f t="array" ref="H1276">_xlfn.IFS(G1276&gt;=20,"20-25", G1276&gt;=15,"15-20", G1276&gt;=10,"10-15", G1276&gt;=5,"5-10", G1276&gt;=1,"1-5", G1276&lt;1,"Less than 1")</f>
        <v>5-10</v>
      </c>
      <c r="I1276">
        <v>3</v>
      </c>
      <c r="J1276">
        <v>5</v>
      </c>
      <c r="K1276" s="6">
        <v>9</v>
      </c>
      <c r="L1276" s="2">
        <v>6.99</v>
      </c>
      <c r="M1276" s="6">
        <v>9</v>
      </c>
      <c r="N1276" t="str" cm="1">
        <f t="array" ref="N1276">_xlfn.IFS(M1276&gt;=50,"50-60 Days", M1276&gt;=40,"40-50 Days", M1276&gt;=30, "30-40 Days", M1276&gt;=20, "20-30 Days", M1276&gt;=10, "10-20 Days", M1276&gt;=0, "0-10 Days")</f>
        <v>0-10 Days</v>
      </c>
    </row>
    <row r="1277" spans="1:14">
      <c r="A1277">
        <v>1276</v>
      </c>
      <c r="B1277" t="s">
        <v>29</v>
      </c>
      <c r="C1277" s="5">
        <v>45488</v>
      </c>
      <c r="D1277" s="8">
        <v>45488</v>
      </c>
      <c r="E1277" s="8" t="str">
        <f>IF(B1277="Inactive", EDATE(D1277,K1277), "")</f>
        <v/>
      </c>
      <c r="F1277" t="s">
        <v>10</v>
      </c>
      <c r="G1277">
        <v>1.3</v>
      </c>
      <c r="H1277" t="str" cm="1">
        <f t="array" ref="H1277">_xlfn.IFS(G1277&gt;=20,"20-25", G1277&gt;=15,"15-20", G1277&gt;=10,"10-15", G1277&gt;=5,"5-10", G1277&gt;=1,"1-5", G1277&lt;1,"Less than 1")</f>
        <v>1-5</v>
      </c>
      <c r="I1277">
        <v>7</v>
      </c>
      <c r="J1277">
        <v>0</v>
      </c>
      <c r="K1277" s="6">
        <v>11</v>
      </c>
      <c r="L1277" s="2">
        <v>6.99</v>
      </c>
      <c r="M1277" s="6">
        <v>19</v>
      </c>
      <c r="N1277" t="str" cm="1">
        <f t="array" ref="N1277">_xlfn.IFS(M1277&gt;=50,"50-60 Days", M1277&gt;=40,"40-50 Days", M1277&gt;=30, "30-40 Days", M1277&gt;=20, "20-30 Days", M1277&gt;=10, "10-20 Days", M1277&gt;=0, "0-10 Days")</f>
        <v>10-20 Days</v>
      </c>
    </row>
    <row r="1278" spans="1:14">
      <c r="A1278">
        <v>1277</v>
      </c>
      <c r="B1278" t="s">
        <v>28</v>
      </c>
      <c r="C1278" s="5">
        <v>45176</v>
      </c>
      <c r="D1278" s="8">
        <v>45176</v>
      </c>
      <c r="E1278" s="8">
        <f>IF(B1278="Inactive", EDATE(D1278,K1278), "")</f>
        <v>45298</v>
      </c>
      <c r="F1278" t="s">
        <v>14</v>
      </c>
      <c r="G1278">
        <v>22.5</v>
      </c>
      <c r="H1278" t="str" cm="1">
        <f t="array" ref="H1278">_xlfn.IFS(G1278&gt;=20,"20-25", G1278&gt;=15,"15-20", G1278&gt;=10,"10-15", G1278&gt;=5,"5-10", G1278&gt;=1,"1-5", G1278&lt;1,"Less than 1")</f>
        <v>20-25</v>
      </c>
      <c r="I1278">
        <v>1</v>
      </c>
      <c r="J1278">
        <v>3</v>
      </c>
      <c r="K1278" s="6">
        <v>4</v>
      </c>
      <c r="L1278" s="2">
        <v>3.99</v>
      </c>
      <c r="M1278" s="6">
        <v>42</v>
      </c>
      <c r="N1278" t="str" cm="1">
        <f t="array" ref="N1278">_xlfn.IFS(M1278&gt;=50,"50-60 Days", M1278&gt;=40,"40-50 Days", M1278&gt;=30, "30-40 Days", M1278&gt;=20, "20-30 Days", M1278&gt;=10, "10-20 Days", M1278&gt;=0, "0-10 Days")</f>
        <v>40-50 Days</v>
      </c>
    </row>
    <row r="1279" spans="1:14">
      <c r="A1279">
        <v>1278</v>
      </c>
      <c r="B1279" t="s">
        <v>29</v>
      </c>
      <c r="C1279" s="5">
        <v>44956</v>
      </c>
      <c r="D1279" s="8">
        <v>44956</v>
      </c>
      <c r="E1279" s="8" t="str">
        <f>IF(B1279="Inactive", EDATE(D1279,K1279), "")</f>
        <v/>
      </c>
      <c r="F1279" t="s">
        <v>12</v>
      </c>
      <c r="G1279">
        <v>19</v>
      </c>
      <c r="H1279" t="str" cm="1">
        <f t="array" ref="H1279">_xlfn.IFS(G1279&gt;=20,"20-25", G1279&gt;=15,"15-20", G1279&gt;=10,"10-15", G1279&gt;=5,"5-10", G1279&gt;=1,"1-5", G1279&lt;1,"Less than 1")</f>
        <v>15-20</v>
      </c>
      <c r="I1279">
        <v>1</v>
      </c>
      <c r="J1279">
        <v>0</v>
      </c>
      <c r="K1279" s="6">
        <v>4</v>
      </c>
      <c r="L1279" s="2">
        <v>1.99</v>
      </c>
      <c r="M1279" s="6">
        <v>27</v>
      </c>
      <c r="N1279" t="str" cm="1">
        <f t="array" ref="N1279">_xlfn.IFS(M1279&gt;=50,"50-60 Days", M1279&gt;=40,"40-50 Days", M1279&gt;=30, "30-40 Days", M1279&gt;=20, "20-30 Days", M1279&gt;=10, "10-20 Days", M1279&gt;=0, "0-10 Days")</f>
        <v>20-30 Days</v>
      </c>
    </row>
    <row r="1280" spans="1:14">
      <c r="A1280">
        <v>1279</v>
      </c>
      <c r="B1280" t="s">
        <v>28</v>
      </c>
      <c r="C1280" s="5">
        <v>45414</v>
      </c>
      <c r="D1280" s="8">
        <v>45414</v>
      </c>
      <c r="E1280" s="8">
        <f>IF(B1280="Inactive", EDATE(D1280,K1280), "")</f>
        <v>45628</v>
      </c>
      <c r="F1280" t="s">
        <v>12</v>
      </c>
      <c r="G1280">
        <v>22.6</v>
      </c>
      <c r="H1280" t="str" cm="1">
        <f t="array" ref="H1280">_xlfn.IFS(G1280&gt;=20,"20-25", G1280&gt;=15,"15-20", G1280&gt;=10,"10-15", G1280&gt;=5,"5-10", G1280&gt;=1,"1-5", G1280&lt;1,"Less than 1")</f>
        <v>20-25</v>
      </c>
      <c r="I1280">
        <v>4</v>
      </c>
      <c r="J1280">
        <v>1</v>
      </c>
      <c r="K1280" s="6">
        <v>7</v>
      </c>
      <c r="L1280" s="2">
        <v>1.99</v>
      </c>
      <c r="M1280" s="6">
        <v>46</v>
      </c>
      <c r="N1280" t="str" cm="1">
        <f t="array" ref="N1280">_xlfn.IFS(M1280&gt;=50,"50-60 Days", M1280&gt;=40,"40-50 Days", M1280&gt;=30, "30-40 Days", M1280&gt;=20, "20-30 Days", M1280&gt;=10, "10-20 Days", M1280&gt;=0, "0-10 Days")</f>
        <v>40-50 Days</v>
      </c>
    </row>
    <row r="1281" spans="1:14">
      <c r="A1281">
        <v>1280</v>
      </c>
      <c r="B1281" t="s">
        <v>28</v>
      </c>
      <c r="C1281" s="5">
        <v>45635</v>
      </c>
      <c r="D1281" s="8">
        <v>45635</v>
      </c>
      <c r="E1281" s="8">
        <f>IF(B1281="Inactive", EDATE(D1281,K1281), "")</f>
        <v>45725</v>
      </c>
      <c r="F1281" t="s">
        <v>10</v>
      </c>
      <c r="G1281">
        <v>16.8</v>
      </c>
      <c r="H1281" t="str" cm="1">
        <f t="array" ref="H1281">_xlfn.IFS(G1281&gt;=20,"20-25", G1281&gt;=15,"15-20", G1281&gt;=10,"10-15", G1281&gt;=5,"5-10", G1281&gt;=1,"1-5", G1281&lt;1,"Less than 1")</f>
        <v>15-20</v>
      </c>
      <c r="I1281">
        <v>8</v>
      </c>
      <c r="J1281">
        <v>5</v>
      </c>
      <c r="K1281" s="6">
        <v>3</v>
      </c>
      <c r="L1281" s="2">
        <v>6.99</v>
      </c>
      <c r="M1281" s="6">
        <v>46</v>
      </c>
      <c r="N1281" t="str" cm="1">
        <f t="array" ref="N1281">_xlfn.IFS(M1281&gt;=50,"50-60 Days", M1281&gt;=40,"40-50 Days", M1281&gt;=30, "30-40 Days", M1281&gt;=20, "20-30 Days", M1281&gt;=10, "10-20 Days", M1281&gt;=0, "0-10 Days")</f>
        <v>40-50 Days</v>
      </c>
    </row>
    <row r="1282" spans="1:14">
      <c r="A1282">
        <v>1281</v>
      </c>
      <c r="B1282" t="s">
        <v>28</v>
      </c>
      <c r="C1282" s="5">
        <v>45317</v>
      </c>
      <c r="D1282" s="8">
        <v>45317</v>
      </c>
      <c r="E1282" s="8">
        <f>IF(B1282="Inactive", EDATE(D1282,K1282), "")</f>
        <v>45469</v>
      </c>
      <c r="F1282" t="s">
        <v>14</v>
      </c>
      <c r="G1282">
        <v>23.3</v>
      </c>
      <c r="H1282" t="str" cm="1">
        <f t="array" ref="H1282">_xlfn.IFS(G1282&gt;=20,"20-25", G1282&gt;=15,"15-20", G1282&gt;=10,"10-15", G1282&gt;=5,"5-10", G1282&gt;=1,"1-5", G1282&lt;1,"Less than 1")</f>
        <v>20-25</v>
      </c>
      <c r="I1282">
        <v>1</v>
      </c>
      <c r="J1282">
        <v>5</v>
      </c>
      <c r="K1282" s="6">
        <v>5</v>
      </c>
      <c r="L1282" s="2">
        <v>3.99</v>
      </c>
      <c r="M1282" s="6">
        <v>21</v>
      </c>
      <c r="N1282" t="str" cm="1">
        <f t="array" ref="N1282">_xlfn.IFS(M1282&gt;=50,"50-60 Days", M1282&gt;=40,"40-50 Days", M1282&gt;=30, "30-40 Days", M1282&gt;=20, "20-30 Days", M1282&gt;=10, "10-20 Days", M1282&gt;=0, "0-10 Days")</f>
        <v>20-30 Days</v>
      </c>
    </row>
    <row r="1283" spans="1:14">
      <c r="A1283">
        <v>1282</v>
      </c>
      <c r="B1283" t="s">
        <v>29</v>
      </c>
      <c r="C1283" s="5">
        <v>45224</v>
      </c>
      <c r="D1283" s="8">
        <v>45224</v>
      </c>
      <c r="E1283" s="8" t="str">
        <f>IF(B1283="Inactive", EDATE(D1283,K1283), "")</f>
        <v/>
      </c>
      <c r="F1283" t="s">
        <v>10</v>
      </c>
      <c r="G1283">
        <v>24.2</v>
      </c>
      <c r="H1283" t="str" cm="1">
        <f t="array" ref="H1283">_xlfn.IFS(G1283&gt;=20,"20-25", G1283&gt;=15,"15-20", G1283&gt;=10,"10-15", G1283&gt;=5,"5-10", G1283&gt;=1,"1-5", G1283&lt;1,"Less than 1")</f>
        <v>20-25</v>
      </c>
      <c r="I1283">
        <v>6</v>
      </c>
      <c r="J1283">
        <v>1</v>
      </c>
      <c r="K1283" s="6">
        <v>12</v>
      </c>
      <c r="L1283" s="2">
        <v>6.99</v>
      </c>
      <c r="M1283" s="6">
        <v>14</v>
      </c>
      <c r="N1283" t="str" cm="1">
        <f t="array" ref="N1283">_xlfn.IFS(M1283&gt;=50,"50-60 Days", M1283&gt;=40,"40-50 Days", M1283&gt;=30, "30-40 Days", M1283&gt;=20, "20-30 Days", M1283&gt;=10, "10-20 Days", M1283&gt;=0, "0-10 Days")</f>
        <v>10-20 Days</v>
      </c>
    </row>
    <row r="1284" spans="1:14">
      <c r="A1284">
        <v>1283</v>
      </c>
      <c r="B1284" t="s">
        <v>28</v>
      </c>
      <c r="C1284" s="5">
        <v>45303</v>
      </c>
      <c r="D1284" s="8">
        <v>45303</v>
      </c>
      <c r="E1284" s="8">
        <f>IF(B1284="Inactive", EDATE(D1284,K1284), "")</f>
        <v>45394</v>
      </c>
      <c r="F1284" t="s">
        <v>12</v>
      </c>
      <c r="G1284">
        <v>2.7</v>
      </c>
      <c r="H1284" t="str" cm="1">
        <f t="array" ref="H1284">_xlfn.IFS(G1284&gt;=20,"20-25", G1284&gt;=15,"15-20", G1284&gt;=10,"10-15", G1284&gt;=5,"5-10", G1284&gt;=1,"1-5", G1284&lt;1,"Less than 1")</f>
        <v>1-5</v>
      </c>
      <c r="I1284">
        <v>3</v>
      </c>
      <c r="J1284">
        <v>5</v>
      </c>
      <c r="K1284" s="6">
        <v>3</v>
      </c>
      <c r="L1284" s="2">
        <v>1.99</v>
      </c>
      <c r="M1284" s="6">
        <v>60</v>
      </c>
      <c r="N1284" t="str" cm="1">
        <f t="array" ref="N1284">_xlfn.IFS(M1284&gt;=50,"50-60 Days", M1284&gt;=40,"40-50 Days", M1284&gt;=30, "30-40 Days", M1284&gt;=20, "20-30 Days", M1284&gt;=10, "10-20 Days", M1284&gt;=0, "0-10 Days")</f>
        <v>50-60 Days</v>
      </c>
    </row>
    <row r="1285" spans="1:14">
      <c r="A1285">
        <v>1284</v>
      </c>
      <c r="B1285" t="s">
        <v>29</v>
      </c>
      <c r="C1285" s="5">
        <v>45121</v>
      </c>
      <c r="D1285" s="8">
        <v>45121</v>
      </c>
      <c r="E1285" s="8" t="str">
        <f>IF(B1285="Inactive", EDATE(D1285,K1285), "")</f>
        <v/>
      </c>
      <c r="F1285" t="s">
        <v>12</v>
      </c>
      <c r="G1285">
        <v>23.9</v>
      </c>
      <c r="H1285" t="str" cm="1">
        <f t="array" ref="H1285">_xlfn.IFS(G1285&gt;=20,"20-25", G1285&gt;=15,"15-20", G1285&gt;=10,"10-15", G1285&gt;=5,"5-10", G1285&gt;=1,"1-5", G1285&lt;1,"Less than 1")</f>
        <v>20-25</v>
      </c>
      <c r="I1285">
        <v>0</v>
      </c>
      <c r="J1285">
        <v>2</v>
      </c>
      <c r="K1285" s="6">
        <v>7</v>
      </c>
      <c r="L1285" s="2">
        <v>1.99</v>
      </c>
      <c r="M1285" s="6">
        <v>3</v>
      </c>
      <c r="N1285" t="str" cm="1">
        <f t="array" ref="N1285">_xlfn.IFS(M1285&gt;=50,"50-60 Days", M1285&gt;=40,"40-50 Days", M1285&gt;=30, "30-40 Days", M1285&gt;=20, "20-30 Days", M1285&gt;=10, "10-20 Days", M1285&gt;=0, "0-10 Days")</f>
        <v>0-10 Days</v>
      </c>
    </row>
    <row r="1286" spans="1:14">
      <c r="A1286">
        <v>1285</v>
      </c>
      <c r="B1286" t="s">
        <v>29</v>
      </c>
      <c r="C1286" s="5">
        <v>45459</v>
      </c>
      <c r="D1286" s="8">
        <v>45459</v>
      </c>
      <c r="E1286" s="8" t="str">
        <f>IF(B1286="Inactive", EDATE(D1286,K1286), "")</f>
        <v/>
      </c>
      <c r="F1286" t="s">
        <v>14</v>
      </c>
      <c r="G1286">
        <v>8.3000000000000007</v>
      </c>
      <c r="H1286" t="str" cm="1">
        <f t="array" ref="H1286">_xlfn.IFS(G1286&gt;=20,"20-25", G1286&gt;=15,"15-20", G1286&gt;=10,"10-15", G1286&gt;=5,"5-10", G1286&gt;=1,"1-5", G1286&lt;1,"Less than 1")</f>
        <v>5-10</v>
      </c>
      <c r="I1286">
        <v>5</v>
      </c>
      <c r="J1286">
        <v>5</v>
      </c>
      <c r="K1286" s="6">
        <v>10</v>
      </c>
      <c r="L1286" s="2">
        <v>3.99</v>
      </c>
      <c r="M1286" s="6">
        <v>59</v>
      </c>
      <c r="N1286" t="str" cm="1">
        <f t="array" ref="N1286">_xlfn.IFS(M1286&gt;=50,"50-60 Days", M1286&gt;=40,"40-50 Days", M1286&gt;=30, "30-40 Days", M1286&gt;=20, "20-30 Days", M1286&gt;=10, "10-20 Days", M1286&gt;=0, "0-10 Days")</f>
        <v>50-60 Days</v>
      </c>
    </row>
    <row r="1287" spans="1:14">
      <c r="A1287">
        <v>1286</v>
      </c>
      <c r="B1287" t="s">
        <v>28</v>
      </c>
      <c r="C1287" s="5">
        <v>45075</v>
      </c>
      <c r="D1287" s="8">
        <v>45075</v>
      </c>
      <c r="E1287" s="8">
        <f>IF(B1287="Inactive", EDATE(D1287,K1287), "")</f>
        <v>45228</v>
      </c>
      <c r="F1287" t="s">
        <v>10</v>
      </c>
      <c r="G1287">
        <v>3.1</v>
      </c>
      <c r="H1287" t="str" cm="1">
        <f t="array" ref="H1287">_xlfn.IFS(G1287&gt;=20,"20-25", G1287&gt;=15,"15-20", G1287&gt;=10,"10-15", G1287&gt;=5,"5-10", G1287&gt;=1,"1-5", G1287&lt;1,"Less than 1")</f>
        <v>1-5</v>
      </c>
      <c r="I1287">
        <v>0</v>
      </c>
      <c r="J1287">
        <v>4</v>
      </c>
      <c r="K1287" s="6">
        <v>5</v>
      </c>
      <c r="L1287" s="2">
        <v>6.99</v>
      </c>
      <c r="M1287" s="6">
        <v>54</v>
      </c>
      <c r="N1287" t="str" cm="1">
        <f t="array" ref="N1287">_xlfn.IFS(M1287&gt;=50,"50-60 Days", M1287&gt;=40,"40-50 Days", M1287&gt;=30, "30-40 Days", M1287&gt;=20, "20-30 Days", M1287&gt;=10, "10-20 Days", M1287&gt;=0, "0-10 Days")</f>
        <v>50-60 Days</v>
      </c>
    </row>
    <row r="1288" spans="1:14">
      <c r="A1288">
        <v>1287</v>
      </c>
      <c r="B1288" t="s">
        <v>28</v>
      </c>
      <c r="C1288" s="5">
        <v>45608</v>
      </c>
      <c r="D1288" s="8">
        <v>45608</v>
      </c>
      <c r="E1288" s="8">
        <f>IF(B1288="Inactive", EDATE(D1288,K1288), "")</f>
        <v>45759</v>
      </c>
      <c r="F1288" t="s">
        <v>14</v>
      </c>
      <c r="G1288">
        <v>12.7</v>
      </c>
      <c r="H1288" t="str" cm="1">
        <f t="array" ref="H1288">_xlfn.IFS(G1288&gt;=20,"20-25", G1288&gt;=15,"15-20", G1288&gt;=10,"10-15", G1288&gt;=5,"5-10", G1288&gt;=1,"1-5", G1288&lt;1,"Less than 1")</f>
        <v>10-15</v>
      </c>
      <c r="I1288">
        <v>7</v>
      </c>
      <c r="J1288">
        <v>1</v>
      </c>
      <c r="K1288" s="6">
        <v>5</v>
      </c>
      <c r="L1288" s="2">
        <v>3.99</v>
      </c>
      <c r="M1288" s="6">
        <v>38</v>
      </c>
      <c r="N1288" t="str" cm="1">
        <f t="array" ref="N1288">_xlfn.IFS(M1288&gt;=50,"50-60 Days", M1288&gt;=40,"40-50 Days", M1288&gt;=30, "30-40 Days", M1288&gt;=20, "20-30 Days", M1288&gt;=10, "10-20 Days", M1288&gt;=0, "0-10 Days")</f>
        <v>30-40 Days</v>
      </c>
    </row>
    <row r="1289" spans="1:14">
      <c r="A1289">
        <v>1288</v>
      </c>
      <c r="B1289" t="s">
        <v>28</v>
      </c>
      <c r="C1289" s="5">
        <v>45650</v>
      </c>
      <c r="D1289" s="8">
        <v>45650</v>
      </c>
      <c r="E1289" s="8">
        <f>IF(B1289="Inactive", EDATE(D1289,K1289), "")</f>
        <v>45681</v>
      </c>
      <c r="F1289" t="s">
        <v>10</v>
      </c>
      <c r="G1289">
        <v>15.2</v>
      </c>
      <c r="H1289" t="str" cm="1">
        <f t="array" ref="H1289">_xlfn.IFS(G1289&gt;=20,"20-25", G1289&gt;=15,"15-20", G1289&gt;=10,"10-15", G1289&gt;=5,"5-10", G1289&gt;=1,"1-5", G1289&lt;1,"Less than 1")</f>
        <v>15-20</v>
      </c>
      <c r="I1289">
        <v>4</v>
      </c>
      <c r="J1289">
        <v>4</v>
      </c>
      <c r="K1289" s="6">
        <v>1</v>
      </c>
      <c r="L1289" s="2">
        <v>6.99</v>
      </c>
      <c r="M1289" s="6">
        <v>44</v>
      </c>
      <c r="N1289" t="str" cm="1">
        <f t="array" ref="N1289">_xlfn.IFS(M1289&gt;=50,"50-60 Days", M1289&gt;=40,"40-50 Days", M1289&gt;=30, "30-40 Days", M1289&gt;=20, "20-30 Days", M1289&gt;=10, "10-20 Days", M1289&gt;=0, "0-10 Days")</f>
        <v>40-50 Days</v>
      </c>
    </row>
    <row r="1290" spans="1:14">
      <c r="A1290">
        <v>1289</v>
      </c>
      <c r="B1290" t="s">
        <v>29</v>
      </c>
      <c r="C1290" s="5">
        <v>45312</v>
      </c>
      <c r="D1290" s="8">
        <v>45312</v>
      </c>
      <c r="E1290" s="8" t="str">
        <f>IF(B1290="Inactive", EDATE(D1290,K1290), "")</f>
        <v/>
      </c>
      <c r="F1290" t="s">
        <v>10</v>
      </c>
      <c r="G1290">
        <v>16</v>
      </c>
      <c r="H1290" t="str" cm="1">
        <f t="array" ref="H1290">_xlfn.IFS(G1290&gt;=20,"20-25", G1290&gt;=15,"15-20", G1290&gt;=10,"10-15", G1290&gt;=5,"5-10", G1290&gt;=1,"1-5", G1290&lt;1,"Less than 1")</f>
        <v>15-20</v>
      </c>
      <c r="I1290">
        <v>3</v>
      </c>
      <c r="J1290">
        <v>3</v>
      </c>
      <c r="K1290" s="6">
        <v>11</v>
      </c>
      <c r="L1290" s="2">
        <v>6.99</v>
      </c>
      <c r="M1290" s="6">
        <v>18</v>
      </c>
      <c r="N1290" t="str" cm="1">
        <f t="array" ref="N1290">_xlfn.IFS(M1290&gt;=50,"50-60 Days", M1290&gt;=40,"40-50 Days", M1290&gt;=30, "30-40 Days", M1290&gt;=20, "20-30 Days", M1290&gt;=10, "10-20 Days", M1290&gt;=0, "0-10 Days")</f>
        <v>10-20 Days</v>
      </c>
    </row>
    <row r="1291" spans="1:14">
      <c r="A1291">
        <v>1290</v>
      </c>
      <c r="B1291" t="s">
        <v>28</v>
      </c>
      <c r="C1291" s="5">
        <v>45644</v>
      </c>
      <c r="D1291" s="8">
        <v>45644</v>
      </c>
      <c r="E1291" s="8">
        <f>IF(B1291="Inactive", EDATE(D1291,K1291), "")</f>
        <v>45887</v>
      </c>
      <c r="F1291" t="s">
        <v>12</v>
      </c>
      <c r="G1291">
        <v>4.2</v>
      </c>
      <c r="H1291" t="str" cm="1">
        <f t="array" ref="H1291">_xlfn.IFS(G1291&gt;=20,"20-25", G1291&gt;=15,"15-20", G1291&gt;=10,"10-15", G1291&gt;=5,"5-10", G1291&gt;=1,"1-5", G1291&lt;1,"Less than 1")</f>
        <v>1-5</v>
      </c>
      <c r="I1291">
        <v>3</v>
      </c>
      <c r="J1291">
        <v>5</v>
      </c>
      <c r="K1291" s="6">
        <v>8</v>
      </c>
      <c r="L1291" s="2">
        <v>1.99</v>
      </c>
      <c r="M1291" s="6">
        <v>59</v>
      </c>
      <c r="N1291" t="str" cm="1">
        <f t="array" ref="N1291">_xlfn.IFS(M1291&gt;=50,"50-60 Days", M1291&gt;=40,"40-50 Days", M1291&gt;=30, "30-40 Days", M1291&gt;=20, "20-30 Days", M1291&gt;=10, "10-20 Days", M1291&gt;=0, "0-10 Days")</f>
        <v>50-60 Days</v>
      </c>
    </row>
    <row r="1292" spans="1:14">
      <c r="A1292">
        <v>1291</v>
      </c>
      <c r="B1292" t="s">
        <v>28</v>
      </c>
      <c r="C1292" s="5">
        <v>45602</v>
      </c>
      <c r="D1292" s="8">
        <v>45602</v>
      </c>
      <c r="E1292" s="8">
        <f>IF(B1292="Inactive", EDATE(D1292,K1292), "")</f>
        <v>45663</v>
      </c>
      <c r="F1292" t="s">
        <v>10</v>
      </c>
      <c r="G1292">
        <v>23.1</v>
      </c>
      <c r="H1292" t="str" cm="1">
        <f t="array" ref="H1292">_xlfn.IFS(G1292&gt;=20,"20-25", G1292&gt;=15,"15-20", G1292&gt;=10,"10-15", G1292&gt;=5,"5-10", G1292&gt;=1,"1-5", G1292&lt;1,"Less than 1")</f>
        <v>20-25</v>
      </c>
      <c r="I1292">
        <v>2</v>
      </c>
      <c r="J1292">
        <v>3</v>
      </c>
      <c r="K1292" s="6">
        <v>2</v>
      </c>
      <c r="L1292" s="2">
        <v>6.99</v>
      </c>
      <c r="M1292" s="6">
        <v>46</v>
      </c>
      <c r="N1292" t="str" cm="1">
        <f t="array" ref="N1292">_xlfn.IFS(M1292&gt;=50,"50-60 Days", M1292&gt;=40,"40-50 Days", M1292&gt;=30, "30-40 Days", M1292&gt;=20, "20-30 Days", M1292&gt;=10, "10-20 Days", M1292&gt;=0, "0-10 Days")</f>
        <v>40-50 Days</v>
      </c>
    </row>
    <row r="1293" spans="1:14">
      <c r="A1293">
        <v>1292</v>
      </c>
      <c r="B1293" t="s">
        <v>28</v>
      </c>
      <c r="C1293" s="5">
        <v>45283</v>
      </c>
      <c r="D1293" s="8">
        <v>45283</v>
      </c>
      <c r="E1293" s="8">
        <f>IF(B1293="Inactive", EDATE(D1293,K1293), "")</f>
        <v>45314</v>
      </c>
      <c r="F1293" t="s">
        <v>12</v>
      </c>
      <c r="G1293">
        <v>13.9</v>
      </c>
      <c r="H1293" t="str" cm="1">
        <f t="array" ref="H1293">_xlfn.IFS(G1293&gt;=20,"20-25", G1293&gt;=15,"15-20", G1293&gt;=10,"10-15", G1293&gt;=5,"5-10", G1293&gt;=1,"1-5", G1293&lt;1,"Less than 1")</f>
        <v>10-15</v>
      </c>
      <c r="I1293">
        <v>5</v>
      </c>
      <c r="J1293">
        <v>3</v>
      </c>
      <c r="K1293" s="6">
        <v>1</v>
      </c>
      <c r="L1293" s="2">
        <v>1.99</v>
      </c>
      <c r="M1293" s="6">
        <v>43</v>
      </c>
      <c r="N1293" t="str" cm="1">
        <f t="array" ref="N1293">_xlfn.IFS(M1293&gt;=50,"50-60 Days", M1293&gt;=40,"40-50 Days", M1293&gt;=30, "30-40 Days", M1293&gt;=20, "20-30 Days", M1293&gt;=10, "10-20 Days", M1293&gt;=0, "0-10 Days")</f>
        <v>40-50 Days</v>
      </c>
    </row>
    <row r="1294" spans="1:14">
      <c r="A1294">
        <v>1293</v>
      </c>
      <c r="B1294" t="s">
        <v>28</v>
      </c>
      <c r="C1294" s="5">
        <v>45644</v>
      </c>
      <c r="D1294" s="8">
        <v>45644</v>
      </c>
      <c r="E1294" s="8">
        <f>IF(B1294="Inactive", EDATE(D1294,K1294), "")</f>
        <v>45918</v>
      </c>
      <c r="F1294" t="s">
        <v>14</v>
      </c>
      <c r="G1294">
        <v>2.2999999999999998</v>
      </c>
      <c r="H1294" t="str" cm="1">
        <f t="array" ref="H1294">_xlfn.IFS(G1294&gt;=20,"20-25", G1294&gt;=15,"15-20", G1294&gt;=10,"10-15", G1294&gt;=5,"5-10", G1294&gt;=1,"1-5", G1294&lt;1,"Less than 1")</f>
        <v>1-5</v>
      </c>
      <c r="I1294">
        <v>4</v>
      </c>
      <c r="J1294">
        <v>2</v>
      </c>
      <c r="K1294" s="6">
        <v>9</v>
      </c>
      <c r="L1294" s="2">
        <v>3.99</v>
      </c>
      <c r="M1294" s="6">
        <v>44</v>
      </c>
      <c r="N1294" t="str" cm="1">
        <f t="array" ref="N1294">_xlfn.IFS(M1294&gt;=50,"50-60 Days", M1294&gt;=40,"40-50 Days", M1294&gt;=30, "30-40 Days", M1294&gt;=20, "20-30 Days", M1294&gt;=10, "10-20 Days", M1294&gt;=0, "0-10 Days")</f>
        <v>40-50 Days</v>
      </c>
    </row>
    <row r="1295" spans="1:14">
      <c r="A1295">
        <v>1294</v>
      </c>
      <c r="B1295" t="s">
        <v>28</v>
      </c>
      <c r="C1295" s="5">
        <v>45653</v>
      </c>
      <c r="D1295" s="8">
        <v>45653</v>
      </c>
      <c r="E1295" s="8">
        <f>IF(B1295="Inactive", EDATE(D1295,K1295), "")</f>
        <v>45927</v>
      </c>
      <c r="F1295" t="s">
        <v>10</v>
      </c>
      <c r="G1295">
        <v>2.9</v>
      </c>
      <c r="H1295" t="str" cm="1">
        <f t="array" ref="H1295">_xlfn.IFS(G1295&gt;=20,"20-25", G1295&gt;=15,"15-20", G1295&gt;=10,"10-15", G1295&gt;=5,"5-10", G1295&gt;=1,"1-5", G1295&lt;1,"Less than 1")</f>
        <v>1-5</v>
      </c>
      <c r="I1295">
        <v>5</v>
      </c>
      <c r="J1295">
        <v>4</v>
      </c>
      <c r="K1295" s="6">
        <v>9</v>
      </c>
      <c r="L1295" s="2">
        <v>6.99</v>
      </c>
      <c r="M1295" s="6">
        <v>55</v>
      </c>
      <c r="N1295" t="str" cm="1">
        <f t="array" ref="N1295">_xlfn.IFS(M1295&gt;=50,"50-60 Days", M1295&gt;=40,"40-50 Days", M1295&gt;=30, "30-40 Days", M1295&gt;=20, "20-30 Days", M1295&gt;=10, "10-20 Days", M1295&gt;=0, "0-10 Days")</f>
        <v>50-60 Days</v>
      </c>
    </row>
    <row r="1296" spans="1:14">
      <c r="A1296">
        <v>1295</v>
      </c>
      <c r="B1296" t="s">
        <v>28</v>
      </c>
      <c r="C1296" s="5">
        <v>45075</v>
      </c>
      <c r="D1296" s="8">
        <v>45075</v>
      </c>
      <c r="E1296" s="8">
        <f>IF(B1296="Inactive", EDATE(D1296,K1296), "")</f>
        <v>45380</v>
      </c>
      <c r="F1296" t="s">
        <v>14</v>
      </c>
      <c r="G1296">
        <v>16.5</v>
      </c>
      <c r="H1296" t="str" cm="1">
        <f t="array" ref="H1296">_xlfn.IFS(G1296&gt;=20,"20-25", G1296&gt;=15,"15-20", G1296&gt;=10,"10-15", G1296&gt;=5,"5-10", G1296&gt;=1,"1-5", G1296&lt;1,"Less than 1")</f>
        <v>15-20</v>
      </c>
      <c r="I1296">
        <v>2</v>
      </c>
      <c r="J1296">
        <v>3</v>
      </c>
      <c r="K1296" s="6">
        <v>10</v>
      </c>
      <c r="L1296" s="2">
        <v>3.99</v>
      </c>
      <c r="M1296" s="6">
        <v>44</v>
      </c>
      <c r="N1296" t="str" cm="1">
        <f t="array" ref="N1296">_xlfn.IFS(M1296&gt;=50,"50-60 Days", M1296&gt;=40,"40-50 Days", M1296&gt;=30, "30-40 Days", M1296&gt;=20, "20-30 Days", M1296&gt;=10, "10-20 Days", M1296&gt;=0, "0-10 Days")</f>
        <v>40-50 Days</v>
      </c>
    </row>
    <row r="1297" spans="1:14">
      <c r="A1297">
        <v>1296</v>
      </c>
      <c r="B1297" t="s">
        <v>28</v>
      </c>
      <c r="C1297" s="5">
        <v>45516</v>
      </c>
      <c r="D1297" s="8">
        <v>45516</v>
      </c>
      <c r="E1297" s="8">
        <f>IF(B1297="Inactive", EDATE(D1297,K1297), "")</f>
        <v>45669</v>
      </c>
      <c r="F1297" t="s">
        <v>12</v>
      </c>
      <c r="G1297">
        <v>20.2</v>
      </c>
      <c r="H1297" t="str" cm="1">
        <f t="array" ref="H1297">_xlfn.IFS(G1297&gt;=20,"20-25", G1297&gt;=15,"15-20", G1297&gt;=10,"10-15", G1297&gt;=5,"5-10", G1297&gt;=1,"1-5", G1297&lt;1,"Less than 1")</f>
        <v>20-25</v>
      </c>
      <c r="I1297">
        <v>3</v>
      </c>
      <c r="J1297">
        <v>5</v>
      </c>
      <c r="K1297" s="6">
        <v>5</v>
      </c>
      <c r="L1297" s="2">
        <v>1.99</v>
      </c>
      <c r="M1297" s="6">
        <v>41</v>
      </c>
      <c r="N1297" t="str" cm="1">
        <f t="array" ref="N1297">_xlfn.IFS(M1297&gt;=50,"50-60 Days", M1297&gt;=40,"40-50 Days", M1297&gt;=30, "30-40 Days", M1297&gt;=20, "20-30 Days", M1297&gt;=10, "10-20 Days", M1297&gt;=0, "0-10 Days")</f>
        <v>40-50 Days</v>
      </c>
    </row>
    <row r="1298" spans="1:14">
      <c r="A1298">
        <v>1297</v>
      </c>
      <c r="B1298" t="s">
        <v>28</v>
      </c>
      <c r="C1298" s="5">
        <v>44984</v>
      </c>
      <c r="D1298" s="8">
        <v>44984</v>
      </c>
      <c r="E1298" s="8">
        <f>IF(B1298="Inactive", EDATE(D1298,K1298), "")</f>
        <v>45104</v>
      </c>
      <c r="F1298" t="s">
        <v>12</v>
      </c>
      <c r="G1298">
        <v>9.6999999999999993</v>
      </c>
      <c r="H1298" t="str" cm="1">
        <f t="array" ref="H1298">_xlfn.IFS(G1298&gt;=20,"20-25", G1298&gt;=15,"15-20", G1298&gt;=10,"10-15", G1298&gt;=5,"5-10", G1298&gt;=1,"1-5", G1298&lt;1,"Less than 1")</f>
        <v>5-10</v>
      </c>
      <c r="I1298">
        <v>6</v>
      </c>
      <c r="J1298">
        <v>5</v>
      </c>
      <c r="K1298" s="6">
        <v>4</v>
      </c>
      <c r="L1298" s="2">
        <v>1.99</v>
      </c>
      <c r="M1298" s="6">
        <v>53</v>
      </c>
      <c r="N1298" t="str" cm="1">
        <f t="array" ref="N1298">_xlfn.IFS(M1298&gt;=50,"50-60 Days", M1298&gt;=40,"40-50 Days", M1298&gt;=30, "30-40 Days", M1298&gt;=20, "20-30 Days", M1298&gt;=10, "10-20 Days", M1298&gt;=0, "0-10 Days")</f>
        <v>50-60 Days</v>
      </c>
    </row>
    <row r="1299" spans="1:14">
      <c r="A1299">
        <v>1298</v>
      </c>
      <c r="B1299" t="s">
        <v>29</v>
      </c>
      <c r="C1299" s="5">
        <v>45592</v>
      </c>
      <c r="D1299" s="8">
        <v>45592</v>
      </c>
      <c r="E1299" s="8" t="str">
        <f>IF(B1299="Inactive", EDATE(D1299,K1299), "")</f>
        <v/>
      </c>
      <c r="F1299" t="s">
        <v>12</v>
      </c>
      <c r="G1299">
        <v>24.4</v>
      </c>
      <c r="H1299" t="str" cm="1">
        <f t="array" ref="H1299">_xlfn.IFS(G1299&gt;=20,"20-25", G1299&gt;=15,"15-20", G1299&gt;=10,"10-15", G1299&gt;=5,"5-10", G1299&gt;=1,"1-5", G1299&lt;1,"Less than 1")</f>
        <v>20-25</v>
      </c>
      <c r="I1299">
        <v>2</v>
      </c>
      <c r="J1299">
        <v>0</v>
      </c>
      <c r="K1299" s="6">
        <v>8</v>
      </c>
      <c r="L1299" s="2">
        <v>1.99</v>
      </c>
      <c r="M1299" s="6">
        <v>7</v>
      </c>
      <c r="N1299" t="str" cm="1">
        <f t="array" ref="N1299">_xlfn.IFS(M1299&gt;=50,"50-60 Days", M1299&gt;=40,"40-50 Days", M1299&gt;=30, "30-40 Days", M1299&gt;=20, "20-30 Days", M1299&gt;=10, "10-20 Days", M1299&gt;=0, "0-10 Days")</f>
        <v>0-10 Days</v>
      </c>
    </row>
    <row r="1300" spans="1:14">
      <c r="A1300">
        <v>1299</v>
      </c>
      <c r="B1300" t="s">
        <v>28</v>
      </c>
      <c r="C1300" s="5">
        <v>45333</v>
      </c>
      <c r="D1300" s="8">
        <v>45333</v>
      </c>
      <c r="E1300" s="8">
        <f>IF(B1300="Inactive", EDATE(D1300,K1300), "")</f>
        <v>45637</v>
      </c>
      <c r="F1300" t="s">
        <v>14</v>
      </c>
      <c r="G1300">
        <v>24.3</v>
      </c>
      <c r="H1300" t="str" cm="1">
        <f t="array" ref="H1300">_xlfn.IFS(G1300&gt;=20,"20-25", G1300&gt;=15,"15-20", G1300&gt;=10,"10-15", G1300&gt;=5,"5-10", G1300&gt;=1,"1-5", G1300&lt;1,"Less than 1")</f>
        <v>20-25</v>
      </c>
      <c r="I1300">
        <v>6</v>
      </c>
      <c r="J1300">
        <v>1</v>
      </c>
      <c r="K1300" s="6">
        <v>10</v>
      </c>
      <c r="L1300" s="2">
        <v>3.99</v>
      </c>
      <c r="M1300" s="6">
        <v>2</v>
      </c>
      <c r="N1300" t="str" cm="1">
        <f t="array" ref="N1300">_xlfn.IFS(M1300&gt;=50,"50-60 Days", M1300&gt;=40,"40-50 Days", M1300&gt;=30, "30-40 Days", M1300&gt;=20, "20-30 Days", M1300&gt;=10, "10-20 Days", M1300&gt;=0, "0-10 Days")</f>
        <v>0-10 Days</v>
      </c>
    </row>
    <row r="1301" spans="1:14">
      <c r="A1301">
        <v>1300</v>
      </c>
      <c r="B1301" t="s">
        <v>28</v>
      </c>
      <c r="C1301" s="5">
        <v>45635</v>
      </c>
      <c r="D1301" s="8">
        <v>45635</v>
      </c>
      <c r="E1301" s="8">
        <f>IF(B1301="Inactive", EDATE(D1301,K1301), "")</f>
        <v>45847</v>
      </c>
      <c r="F1301" t="s">
        <v>14</v>
      </c>
      <c r="G1301">
        <v>17.399999999999999</v>
      </c>
      <c r="H1301" t="str" cm="1">
        <f t="array" ref="H1301">_xlfn.IFS(G1301&gt;=20,"20-25", G1301&gt;=15,"15-20", G1301&gt;=10,"10-15", G1301&gt;=5,"5-10", G1301&gt;=1,"1-5", G1301&lt;1,"Less than 1")</f>
        <v>15-20</v>
      </c>
      <c r="I1301">
        <v>2</v>
      </c>
      <c r="J1301">
        <v>5</v>
      </c>
      <c r="K1301" s="6">
        <v>7</v>
      </c>
      <c r="L1301" s="2">
        <v>3.99</v>
      </c>
      <c r="M1301" s="6">
        <v>47</v>
      </c>
      <c r="N1301" t="str" cm="1">
        <f t="array" ref="N1301">_xlfn.IFS(M1301&gt;=50,"50-60 Days", M1301&gt;=40,"40-50 Days", M1301&gt;=30, "30-40 Days", M1301&gt;=20, "20-30 Days", M1301&gt;=10, "10-20 Days", M1301&gt;=0, "0-10 Days")</f>
        <v>40-50 Days</v>
      </c>
    </row>
    <row r="1302" spans="1:14">
      <c r="A1302">
        <v>1301</v>
      </c>
      <c r="B1302" t="s">
        <v>28</v>
      </c>
      <c r="C1302" s="5">
        <v>45303</v>
      </c>
      <c r="D1302" s="8">
        <v>45303</v>
      </c>
      <c r="E1302" s="8">
        <f>IF(B1302="Inactive", EDATE(D1302,K1302), "")</f>
        <v>45363</v>
      </c>
      <c r="F1302" t="s">
        <v>10</v>
      </c>
      <c r="G1302">
        <v>19.600000000000001</v>
      </c>
      <c r="H1302" t="str" cm="1">
        <f t="array" ref="H1302">_xlfn.IFS(G1302&gt;=20,"20-25", G1302&gt;=15,"15-20", G1302&gt;=10,"10-15", G1302&gt;=5,"5-10", G1302&gt;=1,"1-5", G1302&lt;1,"Less than 1")</f>
        <v>15-20</v>
      </c>
      <c r="I1302">
        <v>6</v>
      </c>
      <c r="J1302">
        <v>2</v>
      </c>
      <c r="K1302" s="6">
        <v>2</v>
      </c>
      <c r="L1302" s="2">
        <v>6.99</v>
      </c>
      <c r="M1302" s="6">
        <v>40</v>
      </c>
      <c r="N1302" t="str" cm="1">
        <f t="array" ref="N1302">_xlfn.IFS(M1302&gt;=50,"50-60 Days", M1302&gt;=40,"40-50 Days", M1302&gt;=30, "30-40 Days", M1302&gt;=20, "20-30 Days", M1302&gt;=10, "10-20 Days", M1302&gt;=0, "0-10 Days")</f>
        <v>40-50 Days</v>
      </c>
    </row>
    <row r="1303" spans="1:14">
      <c r="A1303">
        <v>1302</v>
      </c>
      <c r="B1303" t="s">
        <v>28</v>
      </c>
      <c r="C1303" s="5">
        <v>45448</v>
      </c>
      <c r="D1303" s="8">
        <v>45448</v>
      </c>
      <c r="E1303" s="8">
        <f>IF(B1303="Inactive", EDATE(D1303,K1303), "")</f>
        <v>45540</v>
      </c>
      <c r="F1303" t="s">
        <v>12</v>
      </c>
      <c r="G1303">
        <v>3.4</v>
      </c>
      <c r="H1303" t="str" cm="1">
        <f t="array" ref="H1303">_xlfn.IFS(G1303&gt;=20,"20-25", G1303&gt;=15,"15-20", G1303&gt;=10,"10-15", G1303&gt;=5,"5-10", G1303&gt;=1,"1-5", G1303&lt;1,"Less than 1")</f>
        <v>1-5</v>
      </c>
      <c r="I1303">
        <v>1</v>
      </c>
      <c r="J1303">
        <v>3</v>
      </c>
      <c r="K1303" s="6">
        <v>3</v>
      </c>
      <c r="L1303" s="2">
        <v>1.99</v>
      </c>
      <c r="M1303" s="6">
        <v>41</v>
      </c>
      <c r="N1303" t="str" cm="1">
        <f t="array" ref="N1303">_xlfn.IFS(M1303&gt;=50,"50-60 Days", M1303&gt;=40,"40-50 Days", M1303&gt;=30, "30-40 Days", M1303&gt;=20, "20-30 Days", M1303&gt;=10, "10-20 Days", M1303&gt;=0, "0-10 Days")</f>
        <v>40-50 Days</v>
      </c>
    </row>
    <row r="1304" spans="1:14">
      <c r="A1304">
        <v>1303</v>
      </c>
      <c r="B1304" t="s">
        <v>28</v>
      </c>
      <c r="C1304" s="5">
        <v>45534</v>
      </c>
      <c r="D1304" s="8">
        <v>45534</v>
      </c>
      <c r="E1304" s="8">
        <f>IF(B1304="Inactive", EDATE(D1304,K1304), "")</f>
        <v>45565</v>
      </c>
      <c r="F1304" t="s">
        <v>12</v>
      </c>
      <c r="G1304">
        <v>14.9</v>
      </c>
      <c r="H1304" t="str" cm="1">
        <f t="array" ref="H1304">_xlfn.IFS(G1304&gt;=20,"20-25", G1304&gt;=15,"15-20", G1304&gt;=10,"10-15", G1304&gt;=5,"5-10", G1304&gt;=1,"1-5", G1304&lt;1,"Less than 1")</f>
        <v>10-15</v>
      </c>
      <c r="I1304">
        <v>7</v>
      </c>
      <c r="J1304">
        <v>2</v>
      </c>
      <c r="K1304" s="6">
        <v>1</v>
      </c>
      <c r="L1304" s="2">
        <v>1.99</v>
      </c>
      <c r="M1304" s="6">
        <v>44</v>
      </c>
      <c r="N1304" t="str" cm="1">
        <f t="array" ref="N1304">_xlfn.IFS(M1304&gt;=50,"50-60 Days", M1304&gt;=40,"40-50 Days", M1304&gt;=30, "30-40 Days", M1304&gt;=20, "20-30 Days", M1304&gt;=10, "10-20 Days", M1304&gt;=0, "0-10 Days")</f>
        <v>40-50 Days</v>
      </c>
    </row>
    <row r="1305" spans="1:14">
      <c r="A1305">
        <v>1304</v>
      </c>
      <c r="B1305" t="s">
        <v>28</v>
      </c>
      <c r="C1305" s="5">
        <v>45260</v>
      </c>
      <c r="D1305" s="8">
        <v>45260</v>
      </c>
      <c r="E1305" s="8">
        <f>IF(B1305="Inactive", EDATE(D1305,K1305), "")</f>
        <v>45534</v>
      </c>
      <c r="F1305" t="s">
        <v>12</v>
      </c>
      <c r="G1305">
        <v>12.4</v>
      </c>
      <c r="H1305" t="str" cm="1">
        <f t="array" ref="H1305">_xlfn.IFS(G1305&gt;=20,"20-25", G1305&gt;=15,"15-20", G1305&gt;=10,"10-15", G1305&gt;=5,"5-10", G1305&gt;=1,"1-5", G1305&lt;1,"Less than 1")</f>
        <v>10-15</v>
      </c>
      <c r="I1305">
        <v>6</v>
      </c>
      <c r="J1305">
        <v>2</v>
      </c>
      <c r="K1305" s="6">
        <v>9</v>
      </c>
      <c r="L1305" s="2">
        <v>1.99</v>
      </c>
      <c r="M1305" s="6">
        <v>36</v>
      </c>
      <c r="N1305" t="str" cm="1">
        <f t="array" ref="N1305">_xlfn.IFS(M1305&gt;=50,"50-60 Days", M1305&gt;=40,"40-50 Days", M1305&gt;=30, "30-40 Days", M1305&gt;=20, "20-30 Days", M1305&gt;=10, "10-20 Days", M1305&gt;=0, "0-10 Days")</f>
        <v>30-40 Days</v>
      </c>
    </row>
    <row r="1306" spans="1:14">
      <c r="A1306">
        <v>1305</v>
      </c>
      <c r="B1306" t="s">
        <v>29</v>
      </c>
      <c r="C1306" s="5">
        <v>45469</v>
      </c>
      <c r="D1306" s="8">
        <v>45469</v>
      </c>
      <c r="E1306" s="8" t="str">
        <f>IF(B1306="Inactive", EDATE(D1306,K1306), "")</f>
        <v/>
      </c>
      <c r="F1306" t="s">
        <v>12</v>
      </c>
      <c r="G1306">
        <v>5</v>
      </c>
      <c r="H1306" t="str" cm="1">
        <f t="array" ref="H1306">_xlfn.IFS(G1306&gt;=20,"20-25", G1306&gt;=15,"15-20", G1306&gt;=10,"10-15", G1306&gt;=5,"5-10", G1306&gt;=1,"1-5", G1306&lt;1,"Less than 1")</f>
        <v>5-10</v>
      </c>
      <c r="I1306">
        <v>0</v>
      </c>
      <c r="J1306">
        <v>3</v>
      </c>
      <c r="K1306" s="6">
        <v>12</v>
      </c>
      <c r="L1306" s="2">
        <v>1.99</v>
      </c>
      <c r="M1306" s="6">
        <v>35</v>
      </c>
      <c r="N1306" t="str" cm="1">
        <f t="array" ref="N1306">_xlfn.IFS(M1306&gt;=50,"50-60 Days", M1306&gt;=40,"40-50 Days", M1306&gt;=30, "30-40 Days", M1306&gt;=20, "20-30 Days", M1306&gt;=10, "10-20 Days", M1306&gt;=0, "0-10 Days")</f>
        <v>30-40 Days</v>
      </c>
    </row>
    <row r="1307" spans="1:14">
      <c r="A1307">
        <v>1306</v>
      </c>
      <c r="B1307" t="s">
        <v>29</v>
      </c>
      <c r="C1307" s="5">
        <v>45054</v>
      </c>
      <c r="D1307" s="8">
        <v>45054</v>
      </c>
      <c r="E1307" s="8" t="str">
        <f>IF(B1307="Inactive", EDATE(D1307,K1307), "")</f>
        <v/>
      </c>
      <c r="F1307" t="s">
        <v>14</v>
      </c>
      <c r="G1307">
        <v>13.2</v>
      </c>
      <c r="H1307" t="str" cm="1">
        <f t="array" ref="H1307">_xlfn.IFS(G1307&gt;=20,"20-25", G1307&gt;=15,"15-20", G1307&gt;=10,"10-15", G1307&gt;=5,"5-10", G1307&gt;=1,"1-5", G1307&lt;1,"Less than 1")</f>
        <v>10-15</v>
      </c>
      <c r="I1307">
        <v>8</v>
      </c>
      <c r="J1307">
        <v>5</v>
      </c>
      <c r="K1307" s="6">
        <v>2</v>
      </c>
      <c r="L1307" s="2">
        <v>3.99</v>
      </c>
      <c r="M1307" s="6">
        <v>52</v>
      </c>
      <c r="N1307" t="str" cm="1">
        <f t="array" ref="N1307">_xlfn.IFS(M1307&gt;=50,"50-60 Days", M1307&gt;=40,"40-50 Days", M1307&gt;=30, "30-40 Days", M1307&gt;=20, "20-30 Days", M1307&gt;=10, "10-20 Days", M1307&gt;=0, "0-10 Days")</f>
        <v>50-60 Days</v>
      </c>
    </row>
    <row r="1308" spans="1:14">
      <c r="A1308">
        <v>1307</v>
      </c>
      <c r="B1308" t="s">
        <v>28</v>
      </c>
      <c r="C1308" s="5">
        <v>45248</v>
      </c>
      <c r="D1308" s="8">
        <v>45248</v>
      </c>
      <c r="E1308" s="8">
        <f>IF(B1308="Inactive", EDATE(D1308,K1308), "")</f>
        <v>45340</v>
      </c>
      <c r="F1308" t="s">
        <v>12</v>
      </c>
      <c r="G1308">
        <v>4.9000000000000004</v>
      </c>
      <c r="H1308" t="str" cm="1">
        <f t="array" ref="H1308">_xlfn.IFS(G1308&gt;=20,"20-25", G1308&gt;=15,"15-20", G1308&gt;=10,"10-15", G1308&gt;=5,"5-10", G1308&gt;=1,"1-5", G1308&lt;1,"Less than 1")</f>
        <v>1-5</v>
      </c>
      <c r="I1308">
        <v>2</v>
      </c>
      <c r="J1308">
        <v>0</v>
      </c>
      <c r="K1308" s="6">
        <v>3</v>
      </c>
      <c r="L1308" s="2">
        <v>1.99</v>
      </c>
      <c r="M1308" s="6">
        <v>35</v>
      </c>
      <c r="N1308" t="str" cm="1">
        <f t="array" ref="N1308">_xlfn.IFS(M1308&gt;=50,"50-60 Days", M1308&gt;=40,"40-50 Days", M1308&gt;=30, "30-40 Days", M1308&gt;=20, "20-30 Days", M1308&gt;=10, "10-20 Days", M1308&gt;=0, "0-10 Days")</f>
        <v>30-40 Days</v>
      </c>
    </row>
    <row r="1309" spans="1:14">
      <c r="A1309">
        <v>1308</v>
      </c>
      <c r="B1309" t="s">
        <v>28</v>
      </c>
      <c r="C1309" s="5">
        <v>45189</v>
      </c>
      <c r="D1309" s="8">
        <v>45189</v>
      </c>
      <c r="E1309" s="8">
        <f>IF(B1309="Inactive", EDATE(D1309,K1309), "")</f>
        <v>45219</v>
      </c>
      <c r="F1309" t="s">
        <v>12</v>
      </c>
      <c r="G1309">
        <v>3.7</v>
      </c>
      <c r="H1309" t="str" cm="1">
        <f t="array" ref="H1309">_xlfn.IFS(G1309&gt;=20,"20-25", G1309&gt;=15,"15-20", G1309&gt;=10,"10-15", G1309&gt;=5,"5-10", G1309&gt;=1,"1-5", G1309&lt;1,"Less than 1")</f>
        <v>1-5</v>
      </c>
      <c r="I1309">
        <v>3</v>
      </c>
      <c r="J1309">
        <v>5</v>
      </c>
      <c r="K1309" s="6">
        <v>1</v>
      </c>
      <c r="L1309" s="2">
        <v>1.99</v>
      </c>
      <c r="M1309" s="6">
        <v>10</v>
      </c>
      <c r="N1309" t="str" cm="1">
        <f t="array" ref="N1309">_xlfn.IFS(M1309&gt;=50,"50-60 Days", M1309&gt;=40,"40-50 Days", M1309&gt;=30, "30-40 Days", M1309&gt;=20, "20-30 Days", M1309&gt;=10, "10-20 Days", M1309&gt;=0, "0-10 Days")</f>
        <v>10-20 Days</v>
      </c>
    </row>
    <row r="1310" spans="1:14">
      <c r="A1310">
        <v>1309</v>
      </c>
      <c r="B1310" t="s">
        <v>29</v>
      </c>
      <c r="C1310" s="5">
        <v>45102</v>
      </c>
      <c r="D1310" s="8">
        <v>45102</v>
      </c>
      <c r="E1310" s="8" t="str">
        <f>IF(B1310="Inactive", EDATE(D1310,K1310), "")</f>
        <v/>
      </c>
      <c r="F1310" t="s">
        <v>12</v>
      </c>
      <c r="G1310">
        <v>24.5</v>
      </c>
      <c r="H1310" t="str" cm="1">
        <f t="array" ref="H1310">_xlfn.IFS(G1310&gt;=20,"20-25", G1310&gt;=15,"15-20", G1310&gt;=10,"10-15", G1310&gt;=5,"5-10", G1310&gt;=1,"1-5", G1310&lt;1,"Less than 1")</f>
        <v>20-25</v>
      </c>
      <c r="I1310">
        <v>8</v>
      </c>
      <c r="J1310">
        <v>2</v>
      </c>
      <c r="K1310" s="6">
        <v>2</v>
      </c>
      <c r="L1310" s="2">
        <v>1.99</v>
      </c>
      <c r="M1310" s="6">
        <v>23</v>
      </c>
      <c r="N1310" t="str" cm="1">
        <f t="array" ref="N1310">_xlfn.IFS(M1310&gt;=50,"50-60 Days", M1310&gt;=40,"40-50 Days", M1310&gt;=30, "30-40 Days", M1310&gt;=20, "20-30 Days", M1310&gt;=10, "10-20 Days", M1310&gt;=0, "0-10 Days")</f>
        <v>20-30 Days</v>
      </c>
    </row>
    <row r="1311" spans="1:14">
      <c r="A1311">
        <v>1310</v>
      </c>
      <c r="B1311" t="s">
        <v>29</v>
      </c>
      <c r="C1311" s="5">
        <v>45601</v>
      </c>
      <c r="D1311" s="8">
        <v>45601</v>
      </c>
      <c r="E1311" s="8" t="str">
        <f>IF(B1311="Inactive", EDATE(D1311,K1311), "")</f>
        <v/>
      </c>
      <c r="F1311" t="s">
        <v>14</v>
      </c>
      <c r="G1311">
        <v>6.6</v>
      </c>
      <c r="H1311" t="str" cm="1">
        <f t="array" ref="H1311">_xlfn.IFS(G1311&gt;=20,"20-25", G1311&gt;=15,"15-20", G1311&gt;=10,"10-15", G1311&gt;=5,"5-10", G1311&gt;=1,"1-5", G1311&lt;1,"Less than 1")</f>
        <v>5-10</v>
      </c>
      <c r="I1311">
        <v>0</v>
      </c>
      <c r="J1311">
        <v>4</v>
      </c>
      <c r="K1311" s="6">
        <v>1</v>
      </c>
      <c r="L1311" s="2">
        <v>3.99</v>
      </c>
      <c r="M1311" s="6">
        <v>57</v>
      </c>
      <c r="N1311" t="str" cm="1">
        <f t="array" ref="N1311">_xlfn.IFS(M1311&gt;=50,"50-60 Days", M1311&gt;=40,"40-50 Days", M1311&gt;=30, "30-40 Days", M1311&gt;=20, "20-30 Days", M1311&gt;=10, "10-20 Days", M1311&gt;=0, "0-10 Days")</f>
        <v>50-60 Days</v>
      </c>
    </row>
    <row r="1312" spans="1:14">
      <c r="A1312">
        <v>1311</v>
      </c>
      <c r="B1312" t="s">
        <v>28</v>
      </c>
      <c r="C1312" s="5">
        <v>45287</v>
      </c>
      <c r="D1312" s="8">
        <v>45287</v>
      </c>
      <c r="E1312" s="8">
        <f>IF(B1312="Inactive", EDATE(D1312,K1312), "")</f>
        <v>45592</v>
      </c>
      <c r="F1312" t="s">
        <v>10</v>
      </c>
      <c r="G1312">
        <v>3.9</v>
      </c>
      <c r="H1312" t="str" cm="1">
        <f t="array" ref="H1312">_xlfn.IFS(G1312&gt;=20,"20-25", G1312&gt;=15,"15-20", G1312&gt;=10,"10-15", G1312&gt;=5,"5-10", G1312&gt;=1,"1-5", G1312&lt;1,"Less than 1")</f>
        <v>1-5</v>
      </c>
      <c r="I1312">
        <v>7</v>
      </c>
      <c r="J1312">
        <v>5</v>
      </c>
      <c r="K1312" s="6">
        <v>10</v>
      </c>
      <c r="L1312" s="2">
        <v>6.99</v>
      </c>
      <c r="M1312" s="6">
        <v>20</v>
      </c>
      <c r="N1312" t="str" cm="1">
        <f t="array" ref="N1312">_xlfn.IFS(M1312&gt;=50,"50-60 Days", M1312&gt;=40,"40-50 Days", M1312&gt;=30, "30-40 Days", M1312&gt;=20, "20-30 Days", M1312&gt;=10, "10-20 Days", M1312&gt;=0, "0-10 Days")</f>
        <v>20-30 Days</v>
      </c>
    </row>
    <row r="1313" spans="1:14">
      <c r="A1313">
        <v>1312</v>
      </c>
      <c r="B1313" t="s">
        <v>28</v>
      </c>
      <c r="C1313" s="5">
        <v>44964</v>
      </c>
      <c r="D1313" s="8">
        <v>44964</v>
      </c>
      <c r="E1313" s="8">
        <f>IF(B1313="Inactive", EDATE(D1313,K1313), "")</f>
        <v>45329</v>
      </c>
      <c r="F1313" t="s">
        <v>10</v>
      </c>
      <c r="G1313">
        <v>13</v>
      </c>
      <c r="H1313" t="str" cm="1">
        <f t="array" ref="H1313">_xlfn.IFS(G1313&gt;=20,"20-25", G1313&gt;=15,"15-20", G1313&gt;=10,"10-15", G1313&gt;=5,"5-10", G1313&gt;=1,"1-5", G1313&lt;1,"Less than 1")</f>
        <v>10-15</v>
      </c>
      <c r="I1313">
        <v>1</v>
      </c>
      <c r="J1313">
        <v>5</v>
      </c>
      <c r="K1313" s="6">
        <v>12</v>
      </c>
      <c r="L1313" s="2">
        <v>6.99</v>
      </c>
      <c r="M1313" s="6">
        <v>52</v>
      </c>
      <c r="N1313" t="str" cm="1">
        <f t="array" ref="N1313">_xlfn.IFS(M1313&gt;=50,"50-60 Days", M1313&gt;=40,"40-50 Days", M1313&gt;=30, "30-40 Days", M1313&gt;=20, "20-30 Days", M1313&gt;=10, "10-20 Days", M1313&gt;=0, "0-10 Days")</f>
        <v>50-60 Days</v>
      </c>
    </row>
    <row r="1314" spans="1:14">
      <c r="A1314">
        <v>1313</v>
      </c>
      <c r="B1314" t="s">
        <v>29</v>
      </c>
      <c r="C1314" s="5">
        <v>45532</v>
      </c>
      <c r="D1314" s="8">
        <v>45532</v>
      </c>
      <c r="E1314" s="8" t="str">
        <f>IF(B1314="Inactive", EDATE(D1314,K1314), "")</f>
        <v/>
      </c>
      <c r="F1314" t="s">
        <v>12</v>
      </c>
      <c r="G1314">
        <v>7.8</v>
      </c>
      <c r="H1314" t="str" cm="1">
        <f t="array" ref="H1314">_xlfn.IFS(G1314&gt;=20,"20-25", G1314&gt;=15,"15-20", G1314&gt;=10,"10-15", G1314&gt;=5,"5-10", G1314&gt;=1,"1-5", G1314&lt;1,"Less than 1")</f>
        <v>5-10</v>
      </c>
      <c r="I1314">
        <v>3</v>
      </c>
      <c r="J1314">
        <v>1</v>
      </c>
      <c r="K1314" s="6">
        <v>4</v>
      </c>
      <c r="L1314" s="2">
        <v>1.99</v>
      </c>
      <c r="M1314" s="6">
        <v>38</v>
      </c>
      <c r="N1314" t="str" cm="1">
        <f t="array" ref="N1314">_xlfn.IFS(M1314&gt;=50,"50-60 Days", M1314&gt;=40,"40-50 Days", M1314&gt;=30, "30-40 Days", M1314&gt;=20, "20-30 Days", M1314&gt;=10, "10-20 Days", M1314&gt;=0, "0-10 Days")</f>
        <v>30-40 Days</v>
      </c>
    </row>
    <row r="1315" spans="1:14">
      <c r="A1315">
        <v>1314</v>
      </c>
      <c r="B1315" t="s">
        <v>28</v>
      </c>
      <c r="C1315" s="5">
        <v>45317</v>
      </c>
      <c r="D1315" s="8">
        <v>45317</v>
      </c>
      <c r="E1315" s="8">
        <f>IF(B1315="Inactive", EDATE(D1315,K1315), "")</f>
        <v>45499</v>
      </c>
      <c r="F1315" t="s">
        <v>14</v>
      </c>
      <c r="G1315">
        <v>3.6</v>
      </c>
      <c r="H1315" t="str" cm="1">
        <f t="array" ref="H1315">_xlfn.IFS(G1315&gt;=20,"20-25", G1315&gt;=15,"15-20", G1315&gt;=10,"10-15", G1315&gt;=5,"5-10", G1315&gt;=1,"1-5", G1315&lt;1,"Less than 1")</f>
        <v>1-5</v>
      </c>
      <c r="I1315">
        <v>6</v>
      </c>
      <c r="J1315">
        <v>0</v>
      </c>
      <c r="K1315" s="6">
        <v>6</v>
      </c>
      <c r="L1315" s="2">
        <v>3.99</v>
      </c>
      <c r="M1315" s="6">
        <v>35</v>
      </c>
      <c r="N1315" t="str" cm="1">
        <f t="array" ref="N1315">_xlfn.IFS(M1315&gt;=50,"50-60 Days", M1315&gt;=40,"40-50 Days", M1315&gt;=30, "30-40 Days", M1315&gt;=20, "20-30 Days", M1315&gt;=10, "10-20 Days", M1315&gt;=0, "0-10 Days")</f>
        <v>30-40 Days</v>
      </c>
    </row>
    <row r="1316" spans="1:14">
      <c r="A1316">
        <v>1315</v>
      </c>
      <c r="B1316" t="s">
        <v>28</v>
      </c>
      <c r="C1316" s="5">
        <v>45638</v>
      </c>
      <c r="D1316" s="8">
        <v>45638</v>
      </c>
      <c r="E1316" s="8">
        <f>IF(B1316="Inactive", EDATE(D1316,K1316), "")</f>
        <v>45759</v>
      </c>
      <c r="F1316" t="s">
        <v>10</v>
      </c>
      <c r="G1316">
        <v>10.3</v>
      </c>
      <c r="H1316" t="str" cm="1">
        <f t="array" ref="H1316">_xlfn.IFS(G1316&gt;=20,"20-25", G1316&gt;=15,"15-20", G1316&gt;=10,"10-15", G1316&gt;=5,"5-10", G1316&gt;=1,"1-5", G1316&lt;1,"Less than 1")</f>
        <v>10-15</v>
      </c>
      <c r="I1316">
        <v>1</v>
      </c>
      <c r="J1316">
        <v>2</v>
      </c>
      <c r="K1316" s="6">
        <v>4</v>
      </c>
      <c r="L1316" s="2">
        <v>6.99</v>
      </c>
      <c r="M1316" s="6">
        <v>43</v>
      </c>
      <c r="N1316" t="str" cm="1">
        <f t="array" ref="N1316">_xlfn.IFS(M1316&gt;=50,"50-60 Days", M1316&gt;=40,"40-50 Days", M1316&gt;=30, "30-40 Days", M1316&gt;=20, "20-30 Days", M1316&gt;=10, "10-20 Days", M1316&gt;=0, "0-10 Days")</f>
        <v>40-50 Days</v>
      </c>
    </row>
    <row r="1317" spans="1:14">
      <c r="A1317">
        <v>1316</v>
      </c>
      <c r="B1317" t="s">
        <v>28</v>
      </c>
      <c r="C1317" s="5">
        <v>45308</v>
      </c>
      <c r="D1317" s="8">
        <v>45308</v>
      </c>
      <c r="E1317" s="8">
        <f>IF(B1317="Inactive", EDATE(D1317,K1317), "")</f>
        <v>45674</v>
      </c>
      <c r="F1317" t="s">
        <v>12</v>
      </c>
      <c r="G1317">
        <v>5.5</v>
      </c>
      <c r="H1317" t="str" cm="1">
        <f t="array" ref="H1317">_xlfn.IFS(G1317&gt;=20,"20-25", G1317&gt;=15,"15-20", G1317&gt;=10,"10-15", G1317&gt;=5,"5-10", G1317&gt;=1,"1-5", G1317&lt;1,"Less than 1")</f>
        <v>5-10</v>
      </c>
      <c r="I1317">
        <v>4</v>
      </c>
      <c r="J1317">
        <v>5</v>
      </c>
      <c r="K1317" s="6">
        <v>12</v>
      </c>
      <c r="L1317" s="2">
        <v>1.99</v>
      </c>
      <c r="M1317" s="6">
        <v>44</v>
      </c>
      <c r="N1317" t="str" cm="1">
        <f t="array" ref="N1317">_xlfn.IFS(M1317&gt;=50,"50-60 Days", M1317&gt;=40,"40-50 Days", M1317&gt;=30, "30-40 Days", M1317&gt;=20, "20-30 Days", M1317&gt;=10, "10-20 Days", M1317&gt;=0, "0-10 Days")</f>
        <v>40-50 Days</v>
      </c>
    </row>
    <row r="1318" spans="1:14">
      <c r="A1318">
        <v>1317</v>
      </c>
      <c r="B1318" t="s">
        <v>29</v>
      </c>
      <c r="C1318" s="5">
        <v>45371</v>
      </c>
      <c r="D1318" s="8">
        <v>45371</v>
      </c>
      <c r="E1318" s="8" t="str">
        <f>IF(B1318="Inactive", EDATE(D1318,K1318), "")</f>
        <v/>
      </c>
      <c r="F1318" t="s">
        <v>10</v>
      </c>
      <c r="G1318">
        <v>15.3</v>
      </c>
      <c r="H1318" t="str" cm="1">
        <f t="array" ref="H1318">_xlfn.IFS(G1318&gt;=20,"20-25", G1318&gt;=15,"15-20", G1318&gt;=10,"10-15", G1318&gt;=5,"5-10", G1318&gt;=1,"1-5", G1318&lt;1,"Less than 1")</f>
        <v>15-20</v>
      </c>
      <c r="I1318">
        <v>6</v>
      </c>
      <c r="J1318">
        <v>1</v>
      </c>
      <c r="K1318" s="6">
        <v>11</v>
      </c>
      <c r="L1318" s="2">
        <v>6.99</v>
      </c>
      <c r="M1318" s="6">
        <v>20</v>
      </c>
      <c r="N1318" t="str" cm="1">
        <f t="array" ref="N1318">_xlfn.IFS(M1318&gt;=50,"50-60 Days", M1318&gt;=40,"40-50 Days", M1318&gt;=30, "30-40 Days", M1318&gt;=20, "20-30 Days", M1318&gt;=10, "10-20 Days", M1318&gt;=0, "0-10 Days")</f>
        <v>20-30 Days</v>
      </c>
    </row>
    <row r="1319" spans="1:14">
      <c r="A1319">
        <v>1318</v>
      </c>
      <c r="B1319" t="s">
        <v>29</v>
      </c>
      <c r="C1319" s="5">
        <v>45039</v>
      </c>
      <c r="D1319" s="8">
        <v>45039</v>
      </c>
      <c r="E1319" s="8" t="str">
        <f>IF(B1319="Inactive", EDATE(D1319,K1319), "")</f>
        <v/>
      </c>
      <c r="F1319" t="s">
        <v>14</v>
      </c>
      <c r="G1319">
        <v>24.1</v>
      </c>
      <c r="H1319" t="str" cm="1">
        <f t="array" ref="H1319">_xlfn.IFS(G1319&gt;=20,"20-25", G1319&gt;=15,"15-20", G1319&gt;=10,"10-15", G1319&gt;=5,"5-10", G1319&gt;=1,"1-5", G1319&lt;1,"Less than 1")</f>
        <v>20-25</v>
      </c>
      <c r="I1319">
        <v>3</v>
      </c>
      <c r="J1319">
        <v>0</v>
      </c>
      <c r="K1319" s="6">
        <v>1</v>
      </c>
      <c r="L1319" s="2">
        <v>3.99</v>
      </c>
      <c r="M1319" s="6">
        <v>17</v>
      </c>
      <c r="N1319" t="str" cm="1">
        <f t="array" ref="N1319">_xlfn.IFS(M1319&gt;=50,"50-60 Days", M1319&gt;=40,"40-50 Days", M1319&gt;=30, "30-40 Days", M1319&gt;=20, "20-30 Days", M1319&gt;=10, "10-20 Days", M1319&gt;=0, "0-10 Days")</f>
        <v>10-20 Days</v>
      </c>
    </row>
    <row r="1320" spans="1:14">
      <c r="A1320">
        <v>1319</v>
      </c>
      <c r="B1320" t="s">
        <v>28</v>
      </c>
      <c r="C1320" s="5">
        <v>45268</v>
      </c>
      <c r="D1320" s="8">
        <v>45268</v>
      </c>
      <c r="E1320" s="8">
        <f>IF(B1320="Inactive", EDATE(D1320,K1320), "")</f>
        <v>45634</v>
      </c>
      <c r="F1320" t="s">
        <v>10</v>
      </c>
      <c r="G1320">
        <v>10.5</v>
      </c>
      <c r="H1320" t="str" cm="1">
        <f t="array" ref="H1320">_xlfn.IFS(G1320&gt;=20,"20-25", G1320&gt;=15,"15-20", G1320&gt;=10,"10-15", G1320&gt;=5,"5-10", G1320&gt;=1,"1-5", G1320&lt;1,"Less than 1")</f>
        <v>10-15</v>
      </c>
      <c r="I1320">
        <v>5</v>
      </c>
      <c r="J1320">
        <v>5</v>
      </c>
      <c r="K1320" s="6">
        <v>12</v>
      </c>
      <c r="L1320" s="2">
        <v>6.99</v>
      </c>
      <c r="M1320" s="6">
        <v>5</v>
      </c>
      <c r="N1320" t="str" cm="1">
        <f t="array" ref="N1320">_xlfn.IFS(M1320&gt;=50,"50-60 Days", M1320&gt;=40,"40-50 Days", M1320&gt;=30, "30-40 Days", M1320&gt;=20, "20-30 Days", M1320&gt;=10, "10-20 Days", M1320&gt;=0, "0-10 Days")</f>
        <v>0-10 Days</v>
      </c>
    </row>
    <row r="1321" spans="1:14">
      <c r="A1321">
        <v>1320</v>
      </c>
      <c r="B1321" t="s">
        <v>28</v>
      </c>
      <c r="C1321" s="5">
        <v>45154</v>
      </c>
      <c r="D1321" s="8">
        <v>45154</v>
      </c>
      <c r="E1321" s="8">
        <f>IF(B1321="Inactive", EDATE(D1321,K1321), "")</f>
        <v>45276</v>
      </c>
      <c r="F1321" t="s">
        <v>14</v>
      </c>
      <c r="G1321">
        <v>21.8</v>
      </c>
      <c r="H1321" t="str" cm="1">
        <f t="array" ref="H1321">_xlfn.IFS(G1321&gt;=20,"20-25", G1321&gt;=15,"15-20", G1321&gt;=10,"10-15", G1321&gt;=5,"5-10", G1321&gt;=1,"1-5", G1321&lt;1,"Less than 1")</f>
        <v>20-25</v>
      </c>
      <c r="I1321">
        <v>3</v>
      </c>
      <c r="J1321">
        <v>2</v>
      </c>
      <c r="K1321" s="6">
        <v>4</v>
      </c>
      <c r="L1321" s="2">
        <v>3.99</v>
      </c>
      <c r="M1321" s="6">
        <v>0</v>
      </c>
      <c r="N1321" t="str" cm="1">
        <f t="array" ref="N1321">_xlfn.IFS(M1321&gt;=50,"50-60 Days", M1321&gt;=40,"40-50 Days", M1321&gt;=30, "30-40 Days", M1321&gt;=20, "20-30 Days", M1321&gt;=10, "10-20 Days", M1321&gt;=0, "0-10 Days")</f>
        <v>0-10 Days</v>
      </c>
    </row>
    <row r="1322" spans="1:14">
      <c r="A1322">
        <v>1321</v>
      </c>
      <c r="B1322" t="s">
        <v>29</v>
      </c>
      <c r="C1322" s="5">
        <v>45240</v>
      </c>
      <c r="D1322" s="8">
        <v>45240</v>
      </c>
      <c r="E1322" s="8" t="str">
        <f>IF(B1322="Inactive", EDATE(D1322,K1322), "")</f>
        <v/>
      </c>
      <c r="F1322" t="s">
        <v>14</v>
      </c>
      <c r="G1322">
        <v>19.7</v>
      </c>
      <c r="H1322" t="str" cm="1">
        <f t="array" ref="H1322">_xlfn.IFS(G1322&gt;=20,"20-25", G1322&gt;=15,"15-20", G1322&gt;=10,"10-15", G1322&gt;=5,"5-10", G1322&gt;=1,"1-5", G1322&lt;1,"Less than 1")</f>
        <v>15-20</v>
      </c>
      <c r="I1322">
        <v>1</v>
      </c>
      <c r="J1322">
        <v>1</v>
      </c>
      <c r="K1322" s="6">
        <v>3</v>
      </c>
      <c r="L1322" s="2">
        <v>3.99</v>
      </c>
      <c r="M1322" s="6">
        <v>33</v>
      </c>
      <c r="N1322" t="str" cm="1">
        <f t="array" ref="N1322">_xlfn.IFS(M1322&gt;=50,"50-60 Days", M1322&gt;=40,"40-50 Days", M1322&gt;=30, "30-40 Days", M1322&gt;=20, "20-30 Days", M1322&gt;=10, "10-20 Days", M1322&gt;=0, "0-10 Days")</f>
        <v>30-40 Days</v>
      </c>
    </row>
    <row r="1323" spans="1:14">
      <c r="A1323">
        <v>1322</v>
      </c>
      <c r="B1323" t="s">
        <v>28</v>
      </c>
      <c r="C1323" s="5">
        <v>45491</v>
      </c>
      <c r="D1323" s="8">
        <v>45491</v>
      </c>
      <c r="E1323" s="8">
        <f>IF(B1323="Inactive", EDATE(D1323,K1323), "")</f>
        <v>45826</v>
      </c>
      <c r="F1323" t="s">
        <v>10</v>
      </c>
      <c r="G1323">
        <v>2.8</v>
      </c>
      <c r="H1323" t="str" cm="1">
        <f t="array" ref="H1323">_xlfn.IFS(G1323&gt;=20,"20-25", G1323&gt;=15,"15-20", G1323&gt;=10,"10-15", G1323&gt;=5,"5-10", G1323&gt;=1,"1-5", G1323&lt;1,"Less than 1")</f>
        <v>1-5</v>
      </c>
      <c r="I1323">
        <v>5</v>
      </c>
      <c r="J1323">
        <v>5</v>
      </c>
      <c r="K1323" s="6">
        <v>11</v>
      </c>
      <c r="L1323" s="2">
        <v>6.99</v>
      </c>
      <c r="M1323" s="6">
        <v>36</v>
      </c>
      <c r="N1323" t="str" cm="1">
        <f t="array" ref="N1323">_xlfn.IFS(M1323&gt;=50,"50-60 Days", M1323&gt;=40,"40-50 Days", M1323&gt;=30, "30-40 Days", M1323&gt;=20, "20-30 Days", M1323&gt;=10, "10-20 Days", M1323&gt;=0, "0-10 Days")</f>
        <v>30-40 Days</v>
      </c>
    </row>
    <row r="1324" spans="1:14">
      <c r="A1324">
        <v>1323</v>
      </c>
      <c r="B1324" t="s">
        <v>29</v>
      </c>
      <c r="C1324" s="5">
        <v>45112</v>
      </c>
      <c r="D1324" s="8">
        <v>45112</v>
      </c>
      <c r="E1324" s="8" t="str">
        <f>IF(B1324="Inactive", EDATE(D1324,K1324), "")</f>
        <v/>
      </c>
      <c r="F1324" t="s">
        <v>14</v>
      </c>
      <c r="G1324">
        <v>22.5</v>
      </c>
      <c r="H1324" t="str" cm="1">
        <f t="array" ref="H1324">_xlfn.IFS(G1324&gt;=20,"20-25", G1324&gt;=15,"15-20", G1324&gt;=10,"10-15", G1324&gt;=5,"5-10", G1324&gt;=1,"1-5", G1324&lt;1,"Less than 1")</f>
        <v>20-25</v>
      </c>
      <c r="I1324">
        <v>2</v>
      </c>
      <c r="J1324">
        <v>2</v>
      </c>
      <c r="K1324" s="6">
        <v>3</v>
      </c>
      <c r="L1324" s="2">
        <v>3.99</v>
      </c>
      <c r="M1324" s="6">
        <v>60</v>
      </c>
      <c r="N1324" t="str" cm="1">
        <f t="array" ref="N1324">_xlfn.IFS(M1324&gt;=50,"50-60 Days", M1324&gt;=40,"40-50 Days", M1324&gt;=30, "30-40 Days", M1324&gt;=20, "20-30 Days", M1324&gt;=10, "10-20 Days", M1324&gt;=0, "0-10 Days")</f>
        <v>50-60 Days</v>
      </c>
    </row>
    <row r="1325" spans="1:14">
      <c r="A1325">
        <v>1324</v>
      </c>
      <c r="B1325" t="s">
        <v>28</v>
      </c>
      <c r="C1325" s="5">
        <v>44936</v>
      </c>
      <c r="D1325" s="8">
        <v>44936</v>
      </c>
      <c r="E1325" s="8">
        <f>IF(B1325="Inactive", EDATE(D1325,K1325), "")</f>
        <v>45301</v>
      </c>
      <c r="F1325" t="s">
        <v>14</v>
      </c>
      <c r="G1325">
        <v>14</v>
      </c>
      <c r="H1325" t="str" cm="1">
        <f t="array" ref="H1325">_xlfn.IFS(G1325&gt;=20,"20-25", G1325&gt;=15,"15-20", G1325&gt;=10,"10-15", G1325&gt;=5,"5-10", G1325&gt;=1,"1-5", G1325&lt;1,"Less than 1")</f>
        <v>10-15</v>
      </c>
      <c r="I1325">
        <v>6</v>
      </c>
      <c r="J1325">
        <v>3</v>
      </c>
      <c r="K1325" s="6">
        <v>12</v>
      </c>
      <c r="L1325" s="2">
        <v>3.99</v>
      </c>
      <c r="M1325" s="6">
        <v>37</v>
      </c>
      <c r="N1325" t="str" cm="1">
        <f t="array" ref="N1325">_xlfn.IFS(M1325&gt;=50,"50-60 Days", M1325&gt;=40,"40-50 Days", M1325&gt;=30, "30-40 Days", M1325&gt;=20, "20-30 Days", M1325&gt;=10, "10-20 Days", M1325&gt;=0, "0-10 Days")</f>
        <v>30-40 Days</v>
      </c>
    </row>
    <row r="1326" spans="1:14">
      <c r="A1326">
        <v>1325</v>
      </c>
      <c r="B1326" t="s">
        <v>29</v>
      </c>
      <c r="C1326" s="5">
        <v>45200</v>
      </c>
      <c r="D1326" s="8">
        <v>45200</v>
      </c>
      <c r="E1326" s="8" t="str">
        <f>IF(B1326="Inactive", EDATE(D1326,K1326), "")</f>
        <v/>
      </c>
      <c r="F1326" t="s">
        <v>10</v>
      </c>
      <c r="G1326">
        <v>18</v>
      </c>
      <c r="H1326" t="str" cm="1">
        <f t="array" ref="H1326">_xlfn.IFS(G1326&gt;=20,"20-25", G1326&gt;=15,"15-20", G1326&gt;=10,"10-15", G1326&gt;=5,"5-10", G1326&gt;=1,"1-5", G1326&lt;1,"Less than 1")</f>
        <v>15-20</v>
      </c>
      <c r="I1326">
        <v>2</v>
      </c>
      <c r="J1326">
        <v>1</v>
      </c>
      <c r="K1326" s="6">
        <v>11</v>
      </c>
      <c r="L1326" s="2">
        <v>6.99</v>
      </c>
      <c r="M1326" s="6">
        <v>24</v>
      </c>
      <c r="N1326" t="str" cm="1">
        <f t="array" ref="N1326">_xlfn.IFS(M1326&gt;=50,"50-60 Days", M1326&gt;=40,"40-50 Days", M1326&gt;=30, "30-40 Days", M1326&gt;=20, "20-30 Days", M1326&gt;=10, "10-20 Days", M1326&gt;=0, "0-10 Days")</f>
        <v>20-30 Days</v>
      </c>
    </row>
    <row r="1327" spans="1:14">
      <c r="A1327">
        <v>1326</v>
      </c>
      <c r="B1327" t="s">
        <v>28</v>
      </c>
      <c r="C1327" s="5">
        <v>45395</v>
      </c>
      <c r="D1327" s="8">
        <v>45395</v>
      </c>
      <c r="E1327" s="8">
        <f>IF(B1327="Inactive", EDATE(D1327,K1327), "")</f>
        <v>45639</v>
      </c>
      <c r="F1327" t="s">
        <v>12</v>
      </c>
      <c r="G1327">
        <v>17.8</v>
      </c>
      <c r="H1327" t="str" cm="1">
        <f t="array" ref="H1327">_xlfn.IFS(G1327&gt;=20,"20-25", G1327&gt;=15,"15-20", G1327&gt;=10,"10-15", G1327&gt;=5,"5-10", G1327&gt;=1,"1-5", G1327&lt;1,"Less than 1")</f>
        <v>15-20</v>
      </c>
      <c r="I1327">
        <v>3</v>
      </c>
      <c r="J1327">
        <v>5</v>
      </c>
      <c r="K1327" s="6">
        <v>8</v>
      </c>
      <c r="L1327" s="2">
        <v>1.99</v>
      </c>
      <c r="M1327" s="6">
        <v>38</v>
      </c>
      <c r="N1327" t="str" cm="1">
        <f t="array" ref="N1327">_xlfn.IFS(M1327&gt;=50,"50-60 Days", M1327&gt;=40,"40-50 Days", M1327&gt;=30, "30-40 Days", M1327&gt;=20, "20-30 Days", M1327&gt;=10, "10-20 Days", M1327&gt;=0, "0-10 Days")</f>
        <v>30-40 Days</v>
      </c>
    </row>
    <row r="1328" spans="1:14">
      <c r="A1328">
        <v>1327</v>
      </c>
      <c r="B1328" t="s">
        <v>28</v>
      </c>
      <c r="C1328" s="5">
        <v>45365</v>
      </c>
      <c r="D1328" s="8">
        <v>45365</v>
      </c>
      <c r="E1328" s="8">
        <f>IF(B1328="Inactive", EDATE(D1328,K1328), "")</f>
        <v>45671</v>
      </c>
      <c r="F1328" t="s">
        <v>12</v>
      </c>
      <c r="G1328">
        <v>24.7</v>
      </c>
      <c r="H1328" t="str" cm="1">
        <f t="array" ref="H1328">_xlfn.IFS(G1328&gt;=20,"20-25", G1328&gt;=15,"15-20", G1328&gt;=10,"10-15", G1328&gt;=5,"5-10", G1328&gt;=1,"1-5", G1328&lt;1,"Less than 1")</f>
        <v>20-25</v>
      </c>
      <c r="I1328">
        <v>7</v>
      </c>
      <c r="J1328">
        <v>4</v>
      </c>
      <c r="K1328" s="6">
        <v>10</v>
      </c>
      <c r="L1328" s="2">
        <v>1.99</v>
      </c>
      <c r="M1328" s="6">
        <v>18</v>
      </c>
      <c r="N1328" t="str" cm="1">
        <f t="array" ref="N1328">_xlfn.IFS(M1328&gt;=50,"50-60 Days", M1328&gt;=40,"40-50 Days", M1328&gt;=30, "30-40 Days", M1328&gt;=20, "20-30 Days", M1328&gt;=10, "10-20 Days", M1328&gt;=0, "0-10 Days")</f>
        <v>10-20 Days</v>
      </c>
    </row>
    <row r="1329" spans="1:14">
      <c r="A1329">
        <v>1328</v>
      </c>
      <c r="B1329" t="s">
        <v>29</v>
      </c>
      <c r="C1329" s="5">
        <v>45019</v>
      </c>
      <c r="D1329" s="8">
        <v>45019</v>
      </c>
      <c r="E1329" s="8" t="str">
        <f>IF(B1329="Inactive", EDATE(D1329,K1329), "")</f>
        <v/>
      </c>
      <c r="F1329" t="s">
        <v>10</v>
      </c>
      <c r="G1329">
        <v>8</v>
      </c>
      <c r="H1329" t="str" cm="1">
        <f t="array" ref="H1329">_xlfn.IFS(G1329&gt;=20,"20-25", G1329&gt;=15,"15-20", G1329&gt;=10,"10-15", G1329&gt;=5,"5-10", G1329&gt;=1,"1-5", G1329&lt;1,"Less than 1")</f>
        <v>5-10</v>
      </c>
      <c r="I1329">
        <v>1</v>
      </c>
      <c r="J1329">
        <v>2</v>
      </c>
      <c r="K1329" s="6">
        <v>5</v>
      </c>
      <c r="L1329" s="2">
        <v>6.99</v>
      </c>
      <c r="M1329" s="6">
        <v>26</v>
      </c>
      <c r="N1329" t="str" cm="1">
        <f t="array" ref="N1329">_xlfn.IFS(M1329&gt;=50,"50-60 Days", M1329&gt;=40,"40-50 Days", M1329&gt;=30, "30-40 Days", M1329&gt;=20, "20-30 Days", M1329&gt;=10, "10-20 Days", M1329&gt;=0, "0-10 Days")</f>
        <v>20-30 Days</v>
      </c>
    </row>
    <row r="1330" spans="1:14">
      <c r="A1330">
        <v>1329</v>
      </c>
      <c r="B1330" t="s">
        <v>29</v>
      </c>
      <c r="C1330" s="5">
        <v>45013</v>
      </c>
      <c r="D1330" s="8">
        <v>45013</v>
      </c>
      <c r="E1330" s="8" t="str">
        <f>IF(B1330="Inactive", EDATE(D1330,K1330), "")</f>
        <v/>
      </c>
      <c r="F1330" t="s">
        <v>10</v>
      </c>
      <c r="G1330">
        <v>2.4</v>
      </c>
      <c r="H1330" t="str" cm="1">
        <f t="array" ref="H1330">_xlfn.IFS(G1330&gt;=20,"20-25", G1330&gt;=15,"15-20", G1330&gt;=10,"10-15", G1330&gt;=5,"5-10", G1330&gt;=1,"1-5", G1330&lt;1,"Less than 1")</f>
        <v>1-5</v>
      </c>
      <c r="I1330">
        <v>3</v>
      </c>
      <c r="J1330">
        <v>0</v>
      </c>
      <c r="K1330" s="6">
        <v>2</v>
      </c>
      <c r="L1330" s="2">
        <v>6.99</v>
      </c>
      <c r="M1330" s="6">
        <v>10</v>
      </c>
      <c r="N1330" t="str" cm="1">
        <f t="array" ref="N1330">_xlfn.IFS(M1330&gt;=50,"50-60 Days", M1330&gt;=40,"40-50 Days", M1330&gt;=30, "30-40 Days", M1330&gt;=20, "20-30 Days", M1330&gt;=10, "10-20 Days", M1330&gt;=0, "0-10 Days")</f>
        <v>10-20 Days</v>
      </c>
    </row>
    <row r="1331" spans="1:14">
      <c r="A1331">
        <v>1330</v>
      </c>
      <c r="B1331" t="s">
        <v>28</v>
      </c>
      <c r="C1331" s="5">
        <v>45447</v>
      </c>
      <c r="D1331" s="8">
        <v>45447</v>
      </c>
      <c r="E1331" s="8">
        <f>IF(B1331="Inactive", EDATE(D1331,K1331), "")</f>
        <v>45661</v>
      </c>
      <c r="F1331" t="s">
        <v>10</v>
      </c>
      <c r="G1331">
        <v>14.1</v>
      </c>
      <c r="H1331" t="str" cm="1">
        <f t="array" ref="H1331">_xlfn.IFS(G1331&gt;=20,"20-25", G1331&gt;=15,"15-20", G1331&gt;=10,"10-15", G1331&gt;=5,"5-10", G1331&gt;=1,"1-5", G1331&lt;1,"Less than 1")</f>
        <v>10-15</v>
      </c>
      <c r="I1331">
        <v>7</v>
      </c>
      <c r="J1331">
        <v>0</v>
      </c>
      <c r="K1331" s="6">
        <v>7</v>
      </c>
      <c r="L1331" s="2">
        <v>6.99</v>
      </c>
      <c r="M1331" s="6">
        <v>60</v>
      </c>
      <c r="N1331" t="str" cm="1">
        <f t="array" ref="N1331">_xlfn.IFS(M1331&gt;=50,"50-60 Days", M1331&gt;=40,"40-50 Days", M1331&gt;=30, "30-40 Days", M1331&gt;=20, "20-30 Days", M1331&gt;=10, "10-20 Days", M1331&gt;=0, "0-10 Days")</f>
        <v>50-60 Days</v>
      </c>
    </row>
    <row r="1332" spans="1:14">
      <c r="A1332">
        <v>1331</v>
      </c>
      <c r="B1332" t="s">
        <v>29</v>
      </c>
      <c r="C1332" s="5">
        <v>45641</v>
      </c>
      <c r="D1332" s="8">
        <v>45641</v>
      </c>
      <c r="E1332" s="8" t="str">
        <f>IF(B1332="Inactive", EDATE(D1332,K1332), "")</f>
        <v/>
      </c>
      <c r="F1332" t="s">
        <v>10</v>
      </c>
      <c r="G1332">
        <v>12.3</v>
      </c>
      <c r="H1332" t="str" cm="1">
        <f t="array" ref="H1332">_xlfn.IFS(G1332&gt;=20,"20-25", G1332&gt;=15,"15-20", G1332&gt;=10,"10-15", G1332&gt;=5,"5-10", G1332&gt;=1,"1-5", G1332&lt;1,"Less than 1")</f>
        <v>10-15</v>
      </c>
      <c r="I1332">
        <v>8</v>
      </c>
      <c r="J1332">
        <v>5</v>
      </c>
      <c r="K1332" s="6">
        <v>3</v>
      </c>
      <c r="L1332" s="2">
        <v>6.99</v>
      </c>
      <c r="M1332" s="6">
        <v>43</v>
      </c>
      <c r="N1332" t="str" cm="1">
        <f t="array" ref="N1332">_xlfn.IFS(M1332&gt;=50,"50-60 Days", M1332&gt;=40,"40-50 Days", M1332&gt;=30, "30-40 Days", M1332&gt;=20, "20-30 Days", M1332&gt;=10, "10-20 Days", M1332&gt;=0, "0-10 Days")</f>
        <v>40-50 Days</v>
      </c>
    </row>
    <row r="1333" spans="1:14">
      <c r="A1333">
        <v>1332</v>
      </c>
      <c r="B1333" t="s">
        <v>29</v>
      </c>
      <c r="C1333" s="5">
        <v>45646</v>
      </c>
      <c r="D1333" s="8">
        <v>45646</v>
      </c>
      <c r="E1333" s="8" t="str">
        <f>IF(B1333="Inactive", EDATE(D1333,K1333), "")</f>
        <v/>
      </c>
      <c r="F1333" t="s">
        <v>12</v>
      </c>
      <c r="G1333">
        <v>0.8</v>
      </c>
      <c r="H1333" t="str" cm="1">
        <f t="array" ref="H1333">_xlfn.IFS(G1333&gt;=20,"20-25", G1333&gt;=15,"15-20", G1333&gt;=10,"10-15", G1333&gt;=5,"5-10", G1333&gt;=1,"1-5", G1333&lt;1,"Less than 1")</f>
        <v>Less than 1</v>
      </c>
      <c r="I1333">
        <v>3</v>
      </c>
      <c r="J1333">
        <v>5</v>
      </c>
      <c r="K1333" s="6">
        <v>9</v>
      </c>
      <c r="L1333" s="2">
        <v>1.99</v>
      </c>
      <c r="M1333" s="6">
        <v>0</v>
      </c>
      <c r="N1333" t="str" cm="1">
        <f t="array" ref="N1333">_xlfn.IFS(M1333&gt;=50,"50-60 Days", M1333&gt;=40,"40-50 Days", M1333&gt;=30, "30-40 Days", M1333&gt;=20, "20-30 Days", M1333&gt;=10, "10-20 Days", M1333&gt;=0, "0-10 Days")</f>
        <v>0-10 Days</v>
      </c>
    </row>
    <row r="1334" spans="1:14">
      <c r="A1334">
        <v>1333</v>
      </c>
      <c r="B1334" t="s">
        <v>28</v>
      </c>
      <c r="C1334" s="5">
        <v>45386</v>
      </c>
      <c r="D1334" s="8">
        <v>45386</v>
      </c>
      <c r="E1334" s="8">
        <f>IF(B1334="Inactive", EDATE(D1334,K1334), "")</f>
        <v>45630</v>
      </c>
      <c r="F1334" t="s">
        <v>10</v>
      </c>
      <c r="G1334">
        <v>6.5</v>
      </c>
      <c r="H1334" t="str" cm="1">
        <f t="array" ref="H1334">_xlfn.IFS(G1334&gt;=20,"20-25", G1334&gt;=15,"15-20", G1334&gt;=10,"10-15", G1334&gt;=5,"5-10", G1334&gt;=1,"1-5", G1334&lt;1,"Less than 1")</f>
        <v>5-10</v>
      </c>
      <c r="I1334">
        <v>8</v>
      </c>
      <c r="J1334">
        <v>5</v>
      </c>
      <c r="K1334" s="6">
        <v>8</v>
      </c>
      <c r="L1334" s="2">
        <v>6.99</v>
      </c>
      <c r="M1334" s="6">
        <v>38</v>
      </c>
      <c r="N1334" t="str" cm="1">
        <f t="array" ref="N1334">_xlfn.IFS(M1334&gt;=50,"50-60 Days", M1334&gt;=40,"40-50 Days", M1334&gt;=30, "30-40 Days", M1334&gt;=20, "20-30 Days", M1334&gt;=10, "10-20 Days", M1334&gt;=0, "0-10 Days")</f>
        <v>30-40 Days</v>
      </c>
    </row>
    <row r="1335" spans="1:14">
      <c r="A1335">
        <v>1334</v>
      </c>
      <c r="B1335" t="s">
        <v>29</v>
      </c>
      <c r="C1335" s="5">
        <v>45453</v>
      </c>
      <c r="D1335" s="8">
        <v>45453</v>
      </c>
      <c r="E1335" s="8" t="str">
        <f>IF(B1335="Inactive", EDATE(D1335,K1335), "")</f>
        <v/>
      </c>
      <c r="F1335" t="s">
        <v>12</v>
      </c>
      <c r="G1335">
        <v>22.6</v>
      </c>
      <c r="H1335" t="str" cm="1">
        <f t="array" ref="H1335">_xlfn.IFS(G1335&gt;=20,"20-25", G1335&gt;=15,"15-20", G1335&gt;=10,"10-15", G1335&gt;=5,"5-10", G1335&gt;=1,"1-5", G1335&lt;1,"Less than 1")</f>
        <v>20-25</v>
      </c>
      <c r="I1335">
        <v>2</v>
      </c>
      <c r="J1335">
        <v>0</v>
      </c>
      <c r="K1335" s="6">
        <v>12</v>
      </c>
      <c r="L1335" s="2">
        <v>1.99</v>
      </c>
      <c r="M1335" s="6">
        <v>23</v>
      </c>
      <c r="N1335" t="str" cm="1">
        <f t="array" ref="N1335">_xlfn.IFS(M1335&gt;=50,"50-60 Days", M1335&gt;=40,"40-50 Days", M1335&gt;=30, "30-40 Days", M1335&gt;=20, "20-30 Days", M1335&gt;=10, "10-20 Days", M1335&gt;=0, "0-10 Days")</f>
        <v>20-30 Days</v>
      </c>
    </row>
    <row r="1336" spans="1:14">
      <c r="A1336">
        <v>1335</v>
      </c>
      <c r="B1336" t="s">
        <v>29</v>
      </c>
      <c r="C1336" s="5">
        <v>45273</v>
      </c>
      <c r="D1336" s="8">
        <v>45273</v>
      </c>
      <c r="E1336" s="8" t="str">
        <f>IF(B1336="Inactive", EDATE(D1336,K1336), "")</f>
        <v/>
      </c>
      <c r="F1336" t="s">
        <v>14</v>
      </c>
      <c r="G1336">
        <v>10.9</v>
      </c>
      <c r="H1336" t="str" cm="1">
        <f t="array" ref="H1336">_xlfn.IFS(G1336&gt;=20,"20-25", G1336&gt;=15,"15-20", G1336&gt;=10,"10-15", G1336&gt;=5,"5-10", G1336&gt;=1,"1-5", G1336&lt;1,"Less than 1")</f>
        <v>10-15</v>
      </c>
      <c r="I1336">
        <v>6</v>
      </c>
      <c r="J1336">
        <v>1</v>
      </c>
      <c r="K1336" s="6">
        <v>2</v>
      </c>
      <c r="L1336" s="2">
        <v>3.99</v>
      </c>
      <c r="M1336" s="6">
        <v>23</v>
      </c>
      <c r="N1336" t="str" cm="1">
        <f t="array" ref="N1336">_xlfn.IFS(M1336&gt;=50,"50-60 Days", M1336&gt;=40,"40-50 Days", M1336&gt;=30, "30-40 Days", M1336&gt;=20, "20-30 Days", M1336&gt;=10, "10-20 Days", M1336&gt;=0, "0-10 Days")</f>
        <v>20-30 Days</v>
      </c>
    </row>
    <row r="1337" spans="1:14">
      <c r="A1337">
        <v>1336</v>
      </c>
      <c r="B1337" t="s">
        <v>29</v>
      </c>
      <c r="C1337" s="5">
        <v>45198</v>
      </c>
      <c r="D1337" s="8">
        <v>45198</v>
      </c>
      <c r="E1337" s="8" t="str">
        <f>IF(B1337="Inactive", EDATE(D1337,K1337), "")</f>
        <v/>
      </c>
      <c r="F1337" t="s">
        <v>10</v>
      </c>
      <c r="G1337">
        <v>20.9</v>
      </c>
      <c r="H1337" t="str" cm="1">
        <f t="array" ref="H1337">_xlfn.IFS(G1337&gt;=20,"20-25", G1337&gt;=15,"15-20", G1337&gt;=10,"10-15", G1337&gt;=5,"5-10", G1337&gt;=1,"1-5", G1337&lt;1,"Less than 1")</f>
        <v>20-25</v>
      </c>
      <c r="I1337">
        <v>1</v>
      </c>
      <c r="J1337">
        <v>2</v>
      </c>
      <c r="K1337" s="6">
        <v>6</v>
      </c>
      <c r="L1337" s="2">
        <v>6.99</v>
      </c>
      <c r="M1337" s="6">
        <v>19</v>
      </c>
      <c r="N1337" t="str" cm="1">
        <f t="array" ref="N1337">_xlfn.IFS(M1337&gt;=50,"50-60 Days", M1337&gt;=40,"40-50 Days", M1337&gt;=30, "30-40 Days", M1337&gt;=20, "20-30 Days", M1337&gt;=10, "10-20 Days", M1337&gt;=0, "0-10 Days")</f>
        <v>10-20 Days</v>
      </c>
    </row>
    <row r="1338" spans="1:14">
      <c r="A1338">
        <v>1337</v>
      </c>
      <c r="B1338" t="s">
        <v>28</v>
      </c>
      <c r="C1338" s="5">
        <v>45585</v>
      </c>
      <c r="D1338" s="8">
        <v>45585</v>
      </c>
      <c r="E1338" s="8">
        <f>IF(B1338="Inactive", EDATE(D1338,K1338), "")</f>
        <v>45616</v>
      </c>
      <c r="F1338" t="s">
        <v>12</v>
      </c>
      <c r="G1338">
        <v>18.600000000000001</v>
      </c>
      <c r="H1338" t="str" cm="1">
        <f t="array" ref="H1338">_xlfn.IFS(G1338&gt;=20,"20-25", G1338&gt;=15,"15-20", G1338&gt;=10,"10-15", G1338&gt;=5,"5-10", G1338&gt;=1,"1-5", G1338&lt;1,"Less than 1")</f>
        <v>15-20</v>
      </c>
      <c r="I1338">
        <v>6</v>
      </c>
      <c r="J1338">
        <v>1</v>
      </c>
      <c r="K1338" s="6">
        <v>1</v>
      </c>
      <c r="L1338" s="2">
        <v>1.99</v>
      </c>
      <c r="M1338" s="6">
        <v>59</v>
      </c>
      <c r="N1338" t="str" cm="1">
        <f t="array" ref="N1338">_xlfn.IFS(M1338&gt;=50,"50-60 Days", M1338&gt;=40,"40-50 Days", M1338&gt;=30, "30-40 Days", M1338&gt;=20, "20-30 Days", M1338&gt;=10, "10-20 Days", M1338&gt;=0, "0-10 Days")</f>
        <v>50-60 Days</v>
      </c>
    </row>
    <row r="1339" spans="1:14">
      <c r="A1339">
        <v>1338</v>
      </c>
      <c r="B1339" t="s">
        <v>28</v>
      </c>
      <c r="C1339" s="5">
        <v>45398</v>
      </c>
      <c r="D1339" s="8">
        <v>45398</v>
      </c>
      <c r="E1339" s="8">
        <f>IF(B1339="Inactive", EDATE(D1339,K1339), "")</f>
        <v>45428</v>
      </c>
      <c r="F1339" t="s">
        <v>10</v>
      </c>
      <c r="G1339">
        <v>23.4</v>
      </c>
      <c r="H1339" t="str" cm="1">
        <f t="array" ref="H1339">_xlfn.IFS(G1339&gt;=20,"20-25", G1339&gt;=15,"15-20", G1339&gt;=10,"10-15", G1339&gt;=5,"5-10", G1339&gt;=1,"1-5", G1339&lt;1,"Less than 1")</f>
        <v>20-25</v>
      </c>
      <c r="I1339">
        <v>7</v>
      </c>
      <c r="J1339">
        <v>0</v>
      </c>
      <c r="K1339" s="6">
        <v>1</v>
      </c>
      <c r="L1339" s="2">
        <v>6.99</v>
      </c>
      <c r="M1339" s="6">
        <v>22</v>
      </c>
      <c r="N1339" t="str" cm="1">
        <f t="array" ref="N1339">_xlfn.IFS(M1339&gt;=50,"50-60 Days", M1339&gt;=40,"40-50 Days", M1339&gt;=30, "30-40 Days", M1339&gt;=20, "20-30 Days", M1339&gt;=10, "10-20 Days", M1339&gt;=0, "0-10 Days")</f>
        <v>20-30 Days</v>
      </c>
    </row>
    <row r="1340" spans="1:14">
      <c r="A1340">
        <v>1339</v>
      </c>
      <c r="B1340" t="s">
        <v>29</v>
      </c>
      <c r="C1340" s="5">
        <v>45338</v>
      </c>
      <c r="D1340" s="8">
        <v>45338</v>
      </c>
      <c r="E1340" s="8" t="str">
        <f>IF(B1340="Inactive", EDATE(D1340,K1340), "")</f>
        <v/>
      </c>
      <c r="F1340" t="s">
        <v>14</v>
      </c>
      <c r="G1340">
        <v>9.1999999999999993</v>
      </c>
      <c r="H1340" t="str" cm="1">
        <f t="array" ref="H1340">_xlfn.IFS(G1340&gt;=20,"20-25", G1340&gt;=15,"15-20", G1340&gt;=10,"10-15", G1340&gt;=5,"5-10", G1340&gt;=1,"1-5", G1340&lt;1,"Less than 1")</f>
        <v>5-10</v>
      </c>
      <c r="I1340">
        <v>0</v>
      </c>
      <c r="J1340">
        <v>2</v>
      </c>
      <c r="K1340" s="6">
        <v>7</v>
      </c>
      <c r="L1340" s="2">
        <v>3.99</v>
      </c>
      <c r="M1340" s="6">
        <v>56</v>
      </c>
      <c r="N1340" t="str" cm="1">
        <f t="array" ref="N1340">_xlfn.IFS(M1340&gt;=50,"50-60 Days", M1340&gt;=40,"40-50 Days", M1340&gt;=30, "30-40 Days", M1340&gt;=20, "20-30 Days", M1340&gt;=10, "10-20 Days", M1340&gt;=0, "0-10 Days")</f>
        <v>50-60 Days</v>
      </c>
    </row>
    <row r="1341" spans="1:14">
      <c r="A1341">
        <v>1340</v>
      </c>
      <c r="B1341" t="s">
        <v>29</v>
      </c>
      <c r="C1341" s="5">
        <v>45084</v>
      </c>
      <c r="D1341" s="8">
        <v>45084</v>
      </c>
      <c r="E1341" s="8" t="str">
        <f>IF(B1341="Inactive", EDATE(D1341,K1341), "")</f>
        <v/>
      </c>
      <c r="F1341" t="s">
        <v>14</v>
      </c>
      <c r="G1341">
        <v>3</v>
      </c>
      <c r="H1341" t="str" cm="1">
        <f t="array" ref="H1341">_xlfn.IFS(G1341&gt;=20,"20-25", G1341&gt;=15,"15-20", G1341&gt;=10,"10-15", G1341&gt;=5,"5-10", G1341&gt;=1,"1-5", G1341&lt;1,"Less than 1")</f>
        <v>1-5</v>
      </c>
      <c r="I1341">
        <v>7</v>
      </c>
      <c r="J1341">
        <v>1</v>
      </c>
      <c r="K1341" s="6">
        <v>1</v>
      </c>
      <c r="L1341" s="2">
        <v>3.99</v>
      </c>
      <c r="M1341" s="6">
        <v>5</v>
      </c>
      <c r="N1341" t="str" cm="1">
        <f t="array" ref="N1341">_xlfn.IFS(M1341&gt;=50,"50-60 Days", M1341&gt;=40,"40-50 Days", M1341&gt;=30, "30-40 Days", M1341&gt;=20, "20-30 Days", M1341&gt;=10, "10-20 Days", M1341&gt;=0, "0-10 Days")</f>
        <v>0-10 Days</v>
      </c>
    </row>
    <row r="1342" spans="1:14">
      <c r="A1342">
        <v>1341</v>
      </c>
      <c r="B1342" t="s">
        <v>29</v>
      </c>
      <c r="C1342" s="5">
        <v>45158</v>
      </c>
      <c r="D1342" s="8">
        <v>45158</v>
      </c>
      <c r="E1342" s="8" t="str">
        <f>IF(B1342="Inactive", EDATE(D1342,K1342), "")</f>
        <v/>
      </c>
      <c r="F1342" t="s">
        <v>14</v>
      </c>
      <c r="G1342">
        <v>22.9</v>
      </c>
      <c r="H1342" t="str" cm="1">
        <f t="array" ref="H1342">_xlfn.IFS(G1342&gt;=20,"20-25", G1342&gt;=15,"15-20", G1342&gt;=10,"10-15", G1342&gt;=5,"5-10", G1342&gt;=1,"1-5", G1342&lt;1,"Less than 1")</f>
        <v>20-25</v>
      </c>
      <c r="I1342">
        <v>0</v>
      </c>
      <c r="J1342">
        <v>1</v>
      </c>
      <c r="K1342" s="6">
        <v>3</v>
      </c>
      <c r="L1342" s="2">
        <v>3.99</v>
      </c>
      <c r="M1342" s="6">
        <v>49</v>
      </c>
      <c r="N1342" t="str" cm="1">
        <f t="array" ref="N1342">_xlfn.IFS(M1342&gt;=50,"50-60 Days", M1342&gt;=40,"40-50 Days", M1342&gt;=30, "30-40 Days", M1342&gt;=20, "20-30 Days", M1342&gt;=10, "10-20 Days", M1342&gt;=0, "0-10 Days")</f>
        <v>40-50 Days</v>
      </c>
    </row>
    <row r="1343" spans="1:14">
      <c r="A1343">
        <v>1342</v>
      </c>
      <c r="B1343" t="s">
        <v>28</v>
      </c>
      <c r="C1343" s="5">
        <v>45202</v>
      </c>
      <c r="D1343" s="8">
        <v>45202</v>
      </c>
      <c r="E1343" s="8">
        <f>IF(B1343="Inactive", EDATE(D1343,K1343), "")</f>
        <v>45476</v>
      </c>
      <c r="F1343" t="s">
        <v>14</v>
      </c>
      <c r="G1343">
        <v>9.6999999999999993</v>
      </c>
      <c r="H1343" t="str" cm="1">
        <f t="array" ref="H1343">_xlfn.IFS(G1343&gt;=20,"20-25", G1343&gt;=15,"15-20", G1343&gt;=10,"10-15", G1343&gt;=5,"5-10", G1343&gt;=1,"1-5", G1343&lt;1,"Less than 1")</f>
        <v>5-10</v>
      </c>
      <c r="I1343">
        <v>5</v>
      </c>
      <c r="J1343">
        <v>3</v>
      </c>
      <c r="K1343" s="6">
        <v>9</v>
      </c>
      <c r="L1343" s="2">
        <v>3.99</v>
      </c>
      <c r="M1343" s="6">
        <v>57</v>
      </c>
      <c r="N1343" t="str" cm="1">
        <f t="array" ref="N1343">_xlfn.IFS(M1343&gt;=50,"50-60 Days", M1343&gt;=40,"40-50 Days", M1343&gt;=30, "30-40 Days", M1343&gt;=20, "20-30 Days", M1343&gt;=10, "10-20 Days", M1343&gt;=0, "0-10 Days")</f>
        <v>50-60 Days</v>
      </c>
    </row>
    <row r="1344" spans="1:14">
      <c r="A1344">
        <v>1343</v>
      </c>
      <c r="B1344" t="s">
        <v>29</v>
      </c>
      <c r="C1344" s="5">
        <v>45371</v>
      </c>
      <c r="D1344" s="8">
        <v>45371</v>
      </c>
      <c r="E1344" s="8" t="str">
        <f>IF(B1344="Inactive", EDATE(D1344,K1344), "")</f>
        <v/>
      </c>
      <c r="F1344" t="s">
        <v>12</v>
      </c>
      <c r="G1344">
        <v>16.600000000000001</v>
      </c>
      <c r="H1344" t="str" cm="1">
        <f t="array" ref="H1344">_xlfn.IFS(G1344&gt;=20,"20-25", G1344&gt;=15,"15-20", G1344&gt;=10,"10-15", G1344&gt;=5,"5-10", G1344&gt;=1,"1-5", G1344&lt;1,"Less than 1")</f>
        <v>15-20</v>
      </c>
      <c r="I1344">
        <v>7</v>
      </c>
      <c r="J1344">
        <v>1</v>
      </c>
      <c r="K1344" s="6">
        <v>10</v>
      </c>
      <c r="L1344" s="2">
        <v>1.99</v>
      </c>
      <c r="M1344" s="6">
        <v>8</v>
      </c>
      <c r="N1344" t="str" cm="1">
        <f t="array" ref="N1344">_xlfn.IFS(M1344&gt;=50,"50-60 Days", M1344&gt;=40,"40-50 Days", M1344&gt;=30, "30-40 Days", M1344&gt;=20, "20-30 Days", M1344&gt;=10, "10-20 Days", M1344&gt;=0, "0-10 Days")</f>
        <v>0-10 Days</v>
      </c>
    </row>
    <row r="1345" spans="1:14">
      <c r="A1345">
        <v>1344</v>
      </c>
      <c r="B1345" t="s">
        <v>29</v>
      </c>
      <c r="C1345" s="5">
        <v>45063</v>
      </c>
      <c r="D1345" s="8">
        <v>45063</v>
      </c>
      <c r="E1345" s="8" t="str">
        <f>IF(B1345="Inactive", EDATE(D1345,K1345), "")</f>
        <v/>
      </c>
      <c r="F1345" t="s">
        <v>12</v>
      </c>
      <c r="G1345">
        <v>22.1</v>
      </c>
      <c r="H1345" t="str" cm="1">
        <f t="array" ref="H1345">_xlfn.IFS(G1345&gt;=20,"20-25", G1345&gt;=15,"15-20", G1345&gt;=10,"10-15", G1345&gt;=5,"5-10", G1345&gt;=1,"1-5", G1345&lt;1,"Less than 1")</f>
        <v>20-25</v>
      </c>
      <c r="I1345">
        <v>3</v>
      </c>
      <c r="J1345">
        <v>0</v>
      </c>
      <c r="K1345" s="6">
        <v>8</v>
      </c>
      <c r="L1345" s="2">
        <v>1.99</v>
      </c>
      <c r="M1345" s="6">
        <v>12</v>
      </c>
      <c r="N1345" t="str" cm="1">
        <f t="array" ref="N1345">_xlfn.IFS(M1345&gt;=50,"50-60 Days", M1345&gt;=40,"40-50 Days", M1345&gt;=30, "30-40 Days", M1345&gt;=20, "20-30 Days", M1345&gt;=10, "10-20 Days", M1345&gt;=0, "0-10 Days")</f>
        <v>10-20 Days</v>
      </c>
    </row>
    <row r="1346" spans="1:14">
      <c r="A1346">
        <v>1345</v>
      </c>
      <c r="B1346" t="s">
        <v>28</v>
      </c>
      <c r="C1346" s="5">
        <v>45417</v>
      </c>
      <c r="D1346" s="8">
        <v>45417</v>
      </c>
      <c r="E1346" s="8">
        <f>IF(B1346="Inactive", EDATE(D1346,K1346), "")</f>
        <v>45693</v>
      </c>
      <c r="F1346" t="s">
        <v>14</v>
      </c>
      <c r="G1346">
        <v>18.7</v>
      </c>
      <c r="H1346" t="str" cm="1">
        <f t="array" ref="H1346">_xlfn.IFS(G1346&gt;=20,"20-25", G1346&gt;=15,"15-20", G1346&gt;=10,"10-15", G1346&gt;=5,"5-10", G1346&gt;=1,"1-5", G1346&lt;1,"Less than 1")</f>
        <v>15-20</v>
      </c>
      <c r="I1346">
        <v>0</v>
      </c>
      <c r="J1346">
        <v>1</v>
      </c>
      <c r="K1346" s="6">
        <v>9</v>
      </c>
      <c r="L1346" s="2">
        <v>3.99</v>
      </c>
      <c r="M1346" s="6">
        <v>42</v>
      </c>
      <c r="N1346" t="str" cm="1">
        <f t="array" ref="N1346">_xlfn.IFS(M1346&gt;=50,"50-60 Days", M1346&gt;=40,"40-50 Days", M1346&gt;=30, "30-40 Days", M1346&gt;=20, "20-30 Days", M1346&gt;=10, "10-20 Days", M1346&gt;=0, "0-10 Days")</f>
        <v>40-50 Days</v>
      </c>
    </row>
    <row r="1347" spans="1:14">
      <c r="A1347">
        <v>1346</v>
      </c>
      <c r="B1347" t="s">
        <v>28</v>
      </c>
      <c r="C1347" s="5">
        <v>45057</v>
      </c>
      <c r="D1347" s="8">
        <v>45057</v>
      </c>
      <c r="E1347" s="8">
        <f>IF(B1347="Inactive", EDATE(D1347,K1347), "")</f>
        <v>45241</v>
      </c>
      <c r="F1347" t="s">
        <v>10</v>
      </c>
      <c r="G1347">
        <v>3.4</v>
      </c>
      <c r="H1347" t="str" cm="1">
        <f t="array" ref="H1347">_xlfn.IFS(G1347&gt;=20,"20-25", G1347&gt;=15,"15-20", G1347&gt;=10,"10-15", G1347&gt;=5,"5-10", G1347&gt;=1,"1-5", G1347&lt;1,"Less than 1")</f>
        <v>1-5</v>
      </c>
      <c r="I1347">
        <v>7</v>
      </c>
      <c r="J1347">
        <v>4</v>
      </c>
      <c r="K1347" s="6">
        <v>6</v>
      </c>
      <c r="L1347" s="2">
        <v>6.99</v>
      </c>
      <c r="M1347" s="6">
        <v>31</v>
      </c>
      <c r="N1347" t="str" cm="1">
        <f t="array" ref="N1347">_xlfn.IFS(M1347&gt;=50,"50-60 Days", M1347&gt;=40,"40-50 Days", M1347&gt;=30, "30-40 Days", M1347&gt;=20, "20-30 Days", M1347&gt;=10, "10-20 Days", M1347&gt;=0, "0-10 Days")</f>
        <v>30-40 Days</v>
      </c>
    </row>
    <row r="1348" spans="1:14">
      <c r="A1348">
        <v>1347</v>
      </c>
      <c r="B1348" t="s">
        <v>29</v>
      </c>
      <c r="C1348" s="5">
        <v>44948</v>
      </c>
      <c r="D1348" s="8">
        <v>44948</v>
      </c>
      <c r="E1348" s="8" t="str">
        <f>IF(B1348="Inactive", EDATE(D1348,K1348), "")</f>
        <v/>
      </c>
      <c r="F1348" t="s">
        <v>14</v>
      </c>
      <c r="G1348">
        <v>12.8</v>
      </c>
      <c r="H1348" t="str" cm="1">
        <f t="array" ref="H1348">_xlfn.IFS(G1348&gt;=20,"20-25", G1348&gt;=15,"15-20", G1348&gt;=10,"10-15", G1348&gt;=5,"5-10", G1348&gt;=1,"1-5", G1348&lt;1,"Less than 1")</f>
        <v>10-15</v>
      </c>
      <c r="I1348">
        <v>6</v>
      </c>
      <c r="J1348">
        <v>1</v>
      </c>
      <c r="K1348" s="6">
        <v>9</v>
      </c>
      <c r="L1348" s="2">
        <v>3.99</v>
      </c>
      <c r="M1348" s="6">
        <v>7</v>
      </c>
      <c r="N1348" t="str" cm="1">
        <f t="array" ref="N1348">_xlfn.IFS(M1348&gt;=50,"50-60 Days", M1348&gt;=40,"40-50 Days", M1348&gt;=30, "30-40 Days", M1348&gt;=20, "20-30 Days", M1348&gt;=10, "10-20 Days", M1348&gt;=0, "0-10 Days")</f>
        <v>0-10 Days</v>
      </c>
    </row>
    <row r="1349" spans="1:14">
      <c r="A1349">
        <v>1348</v>
      </c>
      <c r="B1349" t="s">
        <v>28</v>
      </c>
      <c r="C1349" s="5">
        <v>45277</v>
      </c>
      <c r="D1349" s="8">
        <v>45277</v>
      </c>
      <c r="E1349" s="8">
        <f>IF(B1349="Inactive", EDATE(D1349,K1349), "")</f>
        <v>45399</v>
      </c>
      <c r="F1349" t="s">
        <v>12</v>
      </c>
      <c r="G1349">
        <v>8.9</v>
      </c>
      <c r="H1349" t="str" cm="1">
        <f t="array" ref="H1349">_xlfn.IFS(G1349&gt;=20,"20-25", G1349&gt;=15,"15-20", G1349&gt;=10,"10-15", G1349&gt;=5,"5-10", G1349&gt;=1,"1-5", G1349&lt;1,"Less than 1")</f>
        <v>5-10</v>
      </c>
      <c r="I1349">
        <v>0</v>
      </c>
      <c r="J1349">
        <v>5</v>
      </c>
      <c r="K1349" s="6">
        <v>4</v>
      </c>
      <c r="L1349" s="2">
        <v>1.99</v>
      </c>
      <c r="M1349" s="6">
        <v>15</v>
      </c>
      <c r="N1349" t="str" cm="1">
        <f t="array" ref="N1349">_xlfn.IFS(M1349&gt;=50,"50-60 Days", M1349&gt;=40,"40-50 Days", M1349&gt;=30, "30-40 Days", M1349&gt;=20, "20-30 Days", M1349&gt;=10, "10-20 Days", M1349&gt;=0, "0-10 Days")</f>
        <v>10-20 Days</v>
      </c>
    </row>
    <row r="1350" spans="1:14">
      <c r="A1350">
        <v>1349</v>
      </c>
      <c r="B1350" t="s">
        <v>28</v>
      </c>
      <c r="C1350" s="5">
        <v>45366</v>
      </c>
      <c r="D1350" s="8">
        <v>45366</v>
      </c>
      <c r="E1350" s="8">
        <f>IF(B1350="Inactive", EDATE(D1350,K1350), "")</f>
        <v>45397</v>
      </c>
      <c r="F1350" t="s">
        <v>14</v>
      </c>
      <c r="G1350">
        <v>11.1</v>
      </c>
      <c r="H1350" t="str" cm="1">
        <f t="array" ref="H1350">_xlfn.IFS(G1350&gt;=20,"20-25", G1350&gt;=15,"15-20", G1350&gt;=10,"10-15", G1350&gt;=5,"5-10", G1350&gt;=1,"1-5", G1350&lt;1,"Less than 1")</f>
        <v>10-15</v>
      </c>
      <c r="I1350">
        <v>4</v>
      </c>
      <c r="J1350">
        <v>2</v>
      </c>
      <c r="K1350" s="6">
        <v>1</v>
      </c>
      <c r="L1350" s="2">
        <v>3.99</v>
      </c>
      <c r="M1350" s="6">
        <v>31</v>
      </c>
      <c r="N1350" t="str" cm="1">
        <f t="array" ref="N1350">_xlfn.IFS(M1350&gt;=50,"50-60 Days", M1350&gt;=40,"40-50 Days", M1350&gt;=30, "30-40 Days", M1350&gt;=20, "20-30 Days", M1350&gt;=10, "10-20 Days", M1350&gt;=0, "0-10 Days")</f>
        <v>30-40 Days</v>
      </c>
    </row>
    <row r="1351" spans="1:14">
      <c r="A1351">
        <v>1350</v>
      </c>
      <c r="B1351" t="s">
        <v>29</v>
      </c>
      <c r="C1351" s="5">
        <v>45196</v>
      </c>
      <c r="D1351" s="8">
        <v>45196</v>
      </c>
      <c r="E1351" s="8" t="str">
        <f>IF(B1351="Inactive", EDATE(D1351,K1351), "")</f>
        <v/>
      </c>
      <c r="F1351" t="s">
        <v>12</v>
      </c>
      <c r="G1351">
        <v>18.399999999999999</v>
      </c>
      <c r="H1351" t="str" cm="1">
        <f t="array" ref="H1351">_xlfn.IFS(G1351&gt;=20,"20-25", G1351&gt;=15,"15-20", G1351&gt;=10,"10-15", G1351&gt;=5,"5-10", G1351&gt;=1,"1-5", G1351&lt;1,"Less than 1")</f>
        <v>15-20</v>
      </c>
      <c r="I1351">
        <v>2</v>
      </c>
      <c r="J1351">
        <v>1</v>
      </c>
      <c r="K1351" s="6">
        <v>4</v>
      </c>
      <c r="L1351" s="2">
        <v>1.99</v>
      </c>
      <c r="M1351" s="6">
        <v>17</v>
      </c>
      <c r="N1351" t="str" cm="1">
        <f t="array" ref="N1351">_xlfn.IFS(M1351&gt;=50,"50-60 Days", M1351&gt;=40,"40-50 Days", M1351&gt;=30, "30-40 Days", M1351&gt;=20, "20-30 Days", M1351&gt;=10, "10-20 Days", M1351&gt;=0, "0-10 Days")</f>
        <v>10-20 Days</v>
      </c>
    </row>
    <row r="1352" spans="1:14">
      <c r="A1352">
        <v>1351</v>
      </c>
      <c r="B1352" t="s">
        <v>29</v>
      </c>
      <c r="C1352" s="5">
        <v>45032</v>
      </c>
      <c r="D1352" s="8">
        <v>45032</v>
      </c>
      <c r="E1352" s="8" t="str">
        <f>IF(B1352="Inactive", EDATE(D1352,K1352), "")</f>
        <v/>
      </c>
      <c r="F1352" t="s">
        <v>10</v>
      </c>
      <c r="G1352">
        <v>16.8</v>
      </c>
      <c r="H1352" t="str" cm="1">
        <f t="array" ref="H1352">_xlfn.IFS(G1352&gt;=20,"20-25", G1352&gt;=15,"15-20", G1352&gt;=10,"10-15", G1352&gt;=5,"5-10", G1352&gt;=1,"1-5", G1352&lt;1,"Less than 1")</f>
        <v>15-20</v>
      </c>
      <c r="I1352">
        <v>6</v>
      </c>
      <c r="J1352">
        <v>1</v>
      </c>
      <c r="K1352" s="6">
        <v>6</v>
      </c>
      <c r="L1352" s="2">
        <v>6.99</v>
      </c>
      <c r="M1352" s="6">
        <v>30</v>
      </c>
      <c r="N1352" t="str" cm="1">
        <f t="array" ref="N1352">_xlfn.IFS(M1352&gt;=50,"50-60 Days", M1352&gt;=40,"40-50 Days", M1352&gt;=30, "30-40 Days", M1352&gt;=20, "20-30 Days", M1352&gt;=10, "10-20 Days", M1352&gt;=0, "0-10 Days")</f>
        <v>30-40 Days</v>
      </c>
    </row>
    <row r="1353" spans="1:14">
      <c r="A1353">
        <v>1352</v>
      </c>
      <c r="B1353" t="s">
        <v>29</v>
      </c>
      <c r="C1353" s="5">
        <v>45161</v>
      </c>
      <c r="D1353" s="8">
        <v>45161</v>
      </c>
      <c r="E1353" s="8" t="str">
        <f>IF(B1353="Inactive", EDATE(D1353,K1353), "")</f>
        <v/>
      </c>
      <c r="F1353" t="s">
        <v>10</v>
      </c>
      <c r="G1353">
        <v>15.5</v>
      </c>
      <c r="H1353" t="str" cm="1">
        <f t="array" ref="H1353">_xlfn.IFS(G1353&gt;=20,"20-25", G1353&gt;=15,"15-20", G1353&gt;=10,"10-15", G1353&gt;=5,"5-10", G1353&gt;=1,"1-5", G1353&lt;1,"Less than 1")</f>
        <v>15-20</v>
      </c>
      <c r="I1353">
        <v>3</v>
      </c>
      <c r="J1353">
        <v>4</v>
      </c>
      <c r="K1353" s="6">
        <v>11</v>
      </c>
      <c r="L1353" s="2">
        <v>6.99</v>
      </c>
      <c r="M1353" s="6">
        <v>40</v>
      </c>
      <c r="N1353" t="str" cm="1">
        <f t="array" ref="N1353">_xlfn.IFS(M1353&gt;=50,"50-60 Days", M1353&gt;=40,"40-50 Days", M1353&gt;=30, "30-40 Days", M1353&gt;=20, "20-30 Days", M1353&gt;=10, "10-20 Days", M1353&gt;=0, "0-10 Days")</f>
        <v>40-50 Days</v>
      </c>
    </row>
    <row r="1354" spans="1:14">
      <c r="A1354">
        <v>1353</v>
      </c>
      <c r="B1354" t="s">
        <v>28</v>
      </c>
      <c r="C1354" s="5">
        <v>44945</v>
      </c>
      <c r="D1354" s="8">
        <v>44945</v>
      </c>
      <c r="E1354" s="8">
        <f>IF(B1354="Inactive", EDATE(D1354,K1354), "")</f>
        <v>45035</v>
      </c>
      <c r="F1354" t="s">
        <v>12</v>
      </c>
      <c r="G1354">
        <v>10.3</v>
      </c>
      <c r="H1354" t="str" cm="1">
        <f t="array" ref="H1354">_xlfn.IFS(G1354&gt;=20,"20-25", G1354&gt;=15,"15-20", G1354&gt;=10,"10-15", G1354&gt;=5,"5-10", G1354&gt;=1,"1-5", G1354&lt;1,"Less than 1")</f>
        <v>10-15</v>
      </c>
      <c r="I1354">
        <v>4</v>
      </c>
      <c r="J1354">
        <v>1</v>
      </c>
      <c r="K1354" s="6">
        <v>3</v>
      </c>
      <c r="L1354" s="2">
        <v>1.99</v>
      </c>
      <c r="M1354" s="6">
        <v>59</v>
      </c>
      <c r="N1354" t="str" cm="1">
        <f t="array" ref="N1354">_xlfn.IFS(M1354&gt;=50,"50-60 Days", M1354&gt;=40,"40-50 Days", M1354&gt;=30, "30-40 Days", M1354&gt;=20, "20-30 Days", M1354&gt;=10, "10-20 Days", M1354&gt;=0, "0-10 Days")</f>
        <v>50-60 Days</v>
      </c>
    </row>
    <row r="1355" spans="1:14">
      <c r="A1355">
        <v>1354</v>
      </c>
      <c r="B1355" t="s">
        <v>28</v>
      </c>
      <c r="C1355" s="5">
        <v>45643</v>
      </c>
      <c r="D1355" s="8">
        <v>45643</v>
      </c>
      <c r="E1355" s="8">
        <f>IF(B1355="Inactive", EDATE(D1355,K1355), "")</f>
        <v>45794</v>
      </c>
      <c r="F1355" t="s">
        <v>10</v>
      </c>
      <c r="G1355">
        <v>2.7</v>
      </c>
      <c r="H1355" t="str" cm="1">
        <f t="array" ref="H1355">_xlfn.IFS(G1355&gt;=20,"20-25", G1355&gt;=15,"15-20", G1355&gt;=10,"10-15", G1355&gt;=5,"5-10", G1355&gt;=1,"1-5", G1355&lt;1,"Less than 1")</f>
        <v>1-5</v>
      </c>
      <c r="I1355">
        <v>0</v>
      </c>
      <c r="J1355">
        <v>3</v>
      </c>
      <c r="K1355" s="6">
        <v>5</v>
      </c>
      <c r="L1355" s="2">
        <v>6.99</v>
      </c>
      <c r="M1355" s="6">
        <v>26</v>
      </c>
      <c r="N1355" t="str" cm="1">
        <f t="array" ref="N1355">_xlfn.IFS(M1355&gt;=50,"50-60 Days", M1355&gt;=40,"40-50 Days", M1355&gt;=30, "30-40 Days", M1355&gt;=20, "20-30 Days", M1355&gt;=10, "10-20 Days", M1355&gt;=0, "0-10 Days")</f>
        <v>20-30 Days</v>
      </c>
    </row>
    <row r="1356" spans="1:14">
      <c r="A1356">
        <v>1355</v>
      </c>
      <c r="B1356" t="s">
        <v>29</v>
      </c>
      <c r="C1356" s="5">
        <v>45586</v>
      </c>
      <c r="D1356" s="8">
        <v>45586</v>
      </c>
      <c r="E1356" s="8" t="str">
        <f>IF(B1356="Inactive", EDATE(D1356,K1356), "")</f>
        <v/>
      </c>
      <c r="F1356" t="s">
        <v>10</v>
      </c>
      <c r="G1356">
        <v>5.9</v>
      </c>
      <c r="H1356" t="str" cm="1">
        <f t="array" ref="H1356">_xlfn.IFS(G1356&gt;=20,"20-25", G1356&gt;=15,"15-20", G1356&gt;=10,"10-15", G1356&gt;=5,"5-10", G1356&gt;=1,"1-5", G1356&lt;1,"Less than 1")</f>
        <v>5-10</v>
      </c>
      <c r="I1356">
        <v>6</v>
      </c>
      <c r="J1356">
        <v>3</v>
      </c>
      <c r="K1356" s="6">
        <v>5</v>
      </c>
      <c r="L1356" s="2">
        <v>6.99</v>
      </c>
      <c r="M1356" s="6">
        <v>3</v>
      </c>
      <c r="N1356" t="str" cm="1">
        <f t="array" ref="N1356">_xlfn.IFS(M1356&gt;=50,"50-60 Days", M1356&gt;=40,"40-50 Days", M1356&gt;=30, "30-40 Days", M1356&gt;=20, "20-30 Days", M1356&gt;=10, "10-20 Days", M1356&gt;=0, "0-10 Days")</f>
        <v>0-10 Days</v>
      </c>
    </row>
    <row r="1357" spans="1:14">
      <c r="A1357">
        <v>1356</v>
      </c>
      <c r="B1357" t="s">
        <v>28</v>
      </c>
      <c r="C1357" s="5">
        <v>45355</v>
      </c>
      <c r="D1357" s="8">
        <v>45355</v>
      </c>
      <c r="E1357" s="8">
        <f>IF(B1357="Inactive", EDATE(D1357,K1357), "")</f>
        <v>45569</v>
      </c>
      <c r="F1357" t="s">
        <v>12</v>
      </c>
      <c r="G1357">
        <v>3.2</v>
      </c>
      <c r="H1357" t="str" cm="1">
        <f t="array" ref="H1357">_xlfn.IFS(G1357&gt;=20,"20-25", G1357&gt;=15,"15-20", G1357&gt;=10,"10-15", G1357&gt;=5,"5-10", G1357&gt;=1,"1-5", G1357&lt;1,"Less than 1")</f>
        <v>1-5</v>
      </c>
      <c r="I1357">
        <v>5</v>
      </c>
      <c r="J1357">
        <v>2</v>
      </c>
      <c r="K1357" s="6">
        <v>7</v>
      </c>
      <c r="L1357" s="2">
        <v>1.99</v>
      </c>
      <c r="M1357" s="6">
        <v>60</v>
      </c>
      <c r="N1357" t="str" cm="1">
        <f t="array" ref="N1357">_xlfn.IFS(M1357&gt;=50,"50-60 Days", M1357&gt;=40,"40-50 Days", M1357&gt;=30, "30-40 Days", M1357&gt;=20, "20-30 Days", M1357&gt;=10, "10-20 Days", M1357&gt;=0, "0-10 Days")</f>
        <v>50-60 Days</v>
      </c>
    </row>
    <row r="1358" spans="1:14">
      <c r="A1358">
        <v>1357</v>
      </c>
      <c r="B1358" t="s">
        <v>28</v>
      </c>
      <c r="C1358" s="5">
        <v>45256</v>
      </c>
      <c r="D1358" s="8">
        <v>45256</v>
      </c>
      <c r="E1358" s="8">
        <f>IF(B1358="Inactive", EDATE(D1358,K1358), "")</f>
        <v>45469</v>
      </c>
      <c r="F1358" t="s">
        <v>12</v>
      </c>
      <c r="G1358">
        <v>22.4</v>
      </c>
      <c r="H1358" t="str" cm="1">
        <f t="array" ref="H1358">_xlfn.IFS(G1358&gt;=20,"20-25", G1358&gt;=15,"15-20", G1358&gt;=10,"10-15", G1358&gt;=5,"5-10", G1358&gt;=1,"1-5", G1358&lt;1,"Less than 1")</f>
        <v>20-25</v>
      </c>
      <c r="I1358">
        <v>2</v>
      </c>
      <c r="J1358">
        <v>0</v>
      </c>
      <c r="K1358" s="6">
        <v>7</v>
      </c>
      <c r="L1358" s="2">
        <v>1.99</v>
      </c>
      <c r="M1358" s="6">
        <v>0</v>
      </c>
      <c r="N1358" t="str" cm="1">
        <f t="array" ref="N1358">_xlfn.IFS(M1358&gt;=50,"50-60 Days", M1358&gt;=40,"40-50 Days", M1358&gt;=30, "30-40 Days", M1358&gt;=20, "20-30 Days", M1358&gt;=10, "10-20 Days", M1358&gt;=0, "0-10 Days")</f>
        <v>0-10 Days</v>
      </c>
    </row>
    <row r="1359" spans="1:14">
      <c r="A1359">
        <v>1358</v>
      </c>
      <c r="B1359" t="s">
        <v>28</v>
      </c>
      <c r="C1359" s="5">
        <v>45430</v>
      </c>
      <c r="D1359" s="8">
        <v>45430</v>
      </c>
      <c r="E1359" s="8">
        <f>IF(B1359="Inactive", EDATE(D1359,K1359), "")</f>
        <v>45644</v>
      </c>
      <c r="F1359" t="s">
        <v>12</v>
      </c>
      <c r="G1359">
        <v>12.1</v>
      </c>
      <c r="H1359" t="str" cm="1">
        <f t="array" ref="H1359">_xlfn.IFS(G1359&gt;=20,"20-25", G1359&gt;=15,"15-20", G1359&gt;=10,"10-15", G1359&gt;=5,"5-10", G1359&gt;=1,"1-5", G1359&lt;1,"Less than 1")</f>
        <v>10-15</v>
      </c>
      <c r="I1359">
        <v>1</v>
      </c>
      <c r="J1359">
        <v>3</v>
      </c>
      <c r="K1359" s="6">
        <v>7</v>
      </c>
      <c r="L1359" s="2">
        <v>1.99</v>
      </c>
      <c r="M1359" s="6">
        <v>11</v>
      </c>
      <c r="N1359" t="str" cm="1">
        <f t="array" ref="N1359">_xlfn.IFS(M1359&gt;=50,"50-60 Days", M1359&gt;=40,"40-50 Days", M1359&gt;=30, "30-40 Days", M1359&gt;=20, "20-30 Days", M1359&gt;=10, "10-20 Days", M1359&gt;=0, "0-10 Days")</f>
        <v>10-20 Days</v>
      </c>
    </row>
    <row r="1360" spans="1:14">
      <c r="A1360">
        <v>1359</v>
      </c>
      <c r="B1360" t="s">
        <v>29</v>
      </c>
      <c r="C1360" s="5">
        <v>45060</v>
      </c>
      <c r="D1360" s="8">
        <v>45060</v>
      </c>
      <c r="E1360" s="8" t="str">
        <f>IF(B1360="Inactive", EDATE(D1360,K1360), "")</f>
        <v/>
      </c>
      <c r="F1360" t="s">
        <v>14</v>
      </c>
      <c r="G1360">
        <v>8</v>
      </c>
      <c r="H1360" t="str" cm="1">
        <f t="array" ref="H1360">_xlfn.IFS(G1360&gt;=20,"20-25", G1360&gt;=15,"15-20", G1360&gt;=10,"10-15", G1360&gt;=5,"5-10", G1360&gt;=1,"1-5", G1360&lt;1,"Less than 1")</f>
        <v>5-10</v>
      </c>
      <c r="I1360">
        <v>1</v>
      </c>
      <c r="J1360">
        <v>5</v>
      </c>
      <c r="K1360" s="6">
        <v>8</v>
      </c>
      <c r="L1360" s="2">
        <v>3.99</v>
      </c>
      <c r="M1360" s="6">
        <v>0</v>
      </c>
      <c r="N1360" t="str" cm="1">
        <f t="array" ref="N1360">_xlfn.IFS(M1360&gt;=50,"50-60 Days", M1360&gt;=40,"40-50 Days", M1360&gt;=30, "30-40 Days", M1360&gt;=20, "20-30 Days", M1360&gt;=10, "10-20 Days", M1360&gt;=0, "0-10 Days")</f>
        <v>0-10 Days</v>
      </c>
    </row>
    <row r="1361" spans="1:14">
      <c r="A1361">
        <v>1360</v>
      </c>
      <c r="B1361" t="s">
        <v>28</v>
      </c>
      <c r="C1361" s="5">
        <v>45546</v>
      </c>
      <c r="D1361" s="8">
        <v>45546</v>
      </c>
      <c r="E1361" s="8">
        <f>IF(B1361="Inactive", EDATE(D1361,K1361), "")</f>
        <v>45788</v>
      </c>
      <c r="F1361" t="s">
        <v>14</v>
      </c>
      <c r="G1361">
        <v>18.7</v>
      </c>
      <c r="H1361" t="str" cm="1">
        <f t="array" ref="H1361">_xlfn.IFS(G1361&gt;=20,"20-25", G1361&gt;=15,"15-20", G1361&gt;=10,"10-15", G1361&gt;=5,"5-10", G1361&gt;=1,"1-5", G1361&lt;1,"Less than 1")</f>
        <v>15-20</v>
      </c>
      <c r="I1361">
        <v>5</v>
      </c>
      <c r="J1361">
        <v>5</v>
      </c>
      <c r="K1361" s="6">
        <v>8</v>
      </c>
      <c r="L1361" s="2">
        <v>3.99</v>
      </c>
      <c r="M1361" s="6">
        <v>49</v>
      </c>
      <c r="N1361" t="str" cm="1">
        <f t="array" ref="N1361">_xlfn.IFS(M1361&gt;=50,"50-60 Days", M1361&gt;=40,"40-50 Days", M1361&gt;=30, "30-40 Days", M1361&gt;=20, "20-30 Days", M1361&gt;=10, "10-20 Days", M1361&gt;=0, "0-10 Days")</f>
        <v>40-50 Days</v>
      </c>
    </row>
    <row r="1362" spans="1:14">
      <c r="A1362">
        <v>1361</v>
      </c>
      <c r="B1362" t="s">
        <v>28</v>
      </c>
      <c r="C1362" s="5">
        <v>45035</v>
      </c>
      <c r="D1362" s="8">
        <v>45035</v>
      </c>
      <c r="E1362" s="8">
        <f>IF(B1362="Inactive", EDATE(D1362,K1362), "")</f>
        <v>45218</v>
      </c>
      <c r="F1362" t="s">
        <v>14</v>
      </c>
      <c r="G1362">
        <v>16.399999999999999</v>
      </c>
      <c r="H1362" t="str" cm="1">
        <f t="array" ref="H1362">_xlfn.IFS(G1362&gt;=20,"20-25", G1362&gt;=15,"15-20", G1362&gt;=10,"10-15", G1362&gt;=5,"5-10", G1362&gt;=1,"1-5", G1362&lt;1,"Less than 1")</f>
        <v>15-20</v>
      </c>
      <c r="I1362">
        <v>3</v>
      </c>
      <c r="J1362">
        <v>4</v>
      </c>
      <c r="K1362" s="6">
        <v>6</v>
      </c>
      <c r="L1362" s="2">
        <v>3.99</v>
      </c>
      <c r="M1362" s="6">
        <v>24</v>
      </c>
      <c r="N1362" t="str" cm="1">
        <f t="array" ref="N1362">_xlfn.IFS(M1362&gt;=50,"50-60 Days", M1362&gt;=40,"40-50 Days", M1362&gt;=30, "30-40 Days", M1362&gt;=20, "20-30 Days", M1362&gt;=10, "10-20 Days", M1362&gt;=0, "0-10 Days")</f>
        <v>20-30 Days</v>
      </c>
    </row>
    <row r="1363" spans="1:14">
      <c r="A1363">
        <v>1362</v>
      </c>
      <c r="B1363" t="s">
        <v>28</v>
      </c>
      <c r="C1363" s="5">
        <v>45028</v>
      </c>
      <c r="D1363" s="8">
        <v>45028</v>
      </c>
      <c r="E1363" s="8">
        <f>IF(B1363="Inactive", EDATE(D1363,K1363), "")</f>
        <v>45119</v>
      </c>
      <c r="F1363" t="s">
        <v>12</v>
      </c>
      <c r="G1363">
        <v>1.5</v>
      </c>
      <c r="H1363" t="str" cm="1">
        <f t="array" ref="H1363">_xlfn.IFS(G1363&gt;=20,"20-25", G1363&gt;=15,"15-20", G1363&gt;=10,"10-15", G1363&gt;=5,"5-10", G1363&gt;=1,"1-5", G1363&lt;1,"Less than 1")</f>
        <v>1-5</v>
      </c>
      <c r="I1363">
        <v>3</v>
      </c>
      <c r="J1363">
        <v>1</v>
      </c>
      <c r="K1363" s="6">
        <v>3</v>
      </c>
      <c r="L1363" s="2">
        <v>1.99</v>
      </c>
      <c r="M1363" s="6">
        <v>45</v>
      </c>
      <c r="N1363" t="str" cm="1">
        <f t="array" ref="N1363">_xlfn.IFS(M1363&gt;=50,"50-60 Days", M1363&gt;=40,"40-50 Days", M1363&gt;=30, "30-40 Days", M1363&gt;=20, "20-30 Days", M1363&gt;=10, "10-20 Days", M1363&gt;=0, "0-10 Days")</f>
        <v>40-50 Days</v>
      </c>
    </row>
    <row r="1364" spans="1:14">
      <c r="A1364">
        <v>1363</v>
      </c>
      <c r="B1364" t="s">
        <v>29</v>
      </c>
      <c r="C1364" s="5">
        <v>45133</v>
      </c>
      <c r="D1364" s="8">
        <v>45133</v>
      </c>
      <c r="E1364" s="8" t="str">
        <f>IF(B1364="Inactive", EDATE(D1364,K1364), "")</f>
        <v/>
      </c>
      <c r="F1364" t="s">
        <v>12</v>
      </c>
      <c r="G1364">
        <v>15.7</v>
      </c>
      <c r="H1364" t="str" cm="1">
        <f t="array" ref="H1364">_xlfn.IFS(G1364&gt;=20,"20-25", G1364&gt;=15,"15-20", G1364&gt;=10,"10-15", G1364&gt;=5,"5-10", G1364&gt;=1,"1-5", G1364&lt;1,"Less than 1")</f>
        <v>15-20</v>
      </c>
      <c r="I1364">
        <v>4</v>
      </c>
      <c r="J1364">
        <v>5</v>
      </c>
      <c r="K1364" s="6">
        <v>12</v>
      </c>
      <c r="L1364" s="2">
        <v>1.99</v>
      </c>
      <c r="M1364" s="6">
        <v>30</v>
      </c>
      <c r="N1364" t="str" cm="1">
        <f t="array" ref="N1364">_xlfn.IFS(M1364&gt;=50,"50-60 Days", M1364&gt;=40,"40-50 Days", M1364&gt;=30, "30-40 Days", M1364&gt;=20, "20-30 Days", M1364&gt;=10, "10-20 Days", M1364&gt;=0, "0-10 Days")</f>
        <v>30-40 Days</v>
      </c>
    </row>
    <row r="1365" spans="1:14">
      <c r="A1365">
        <v>1364</v>
      </c>
      <c r="B1365" t="s">
        <v>28</v>
      </c>
      <c r="C1365" s="5">
        <v>45500</v>
      </c>
      <c r="D1365" s="8">
        <v>45500</v>
      </c>
      <c r="E1365" s="8">
        <f>IF(B1365="Inactive", EDATE(D1365,K1365), "")</f>
        <v>45623</v>
      </c>
      <c r="F1365" t="s">
        <v>10</v>
      </c>
      <c r="G1365">
        <v>1.6</v>
      </c>
      <c r="H1365" t="str" cm="1">
        <f t="array" ref="H1365">_xlfn.IFS(G1365&gt;=20,"20-25", G1365&gt;=15,"15-20", G1365&gt;=10,"10-15", G1365&gt;=5,"5-10", G1365&gt;=1,"1-5", G1365&lt;1,"Less than 1")</f>
        <v>1-5</v>
      </c>
      <c r="I1365">
        <v>3</v>
      </c>
      <c r="J1365">
        <v>3</v>
      </c>
      <c r="K1365" s="6">
        <v>4</v>
      </c>
      <c r="L1365" s="2">
        <v>6.99</v>
      </c>
      <c r="M1365" s="6">
        <v>35</v>
      </c>
      <c r="N1365" t="str" cm="1">
        <f t="array" ref="N1365">_xlfn.IFS(M1365&gt;=50,"50-60 Days", M1365&gt;=40,"40-50 Days", M1365&gt;=30, "30-40 Days", M1365&gt;=20, "20-30 Days", M1365&gt;=10, "10-20 Days", M1365&gt;=0, "0-10 Days")</f>
        <v>30-40 Days</v>
      </c>
    </row>
    <row r="1366" spans="1:14">
      <c r="A1366">
        <v>1365</v>
      </c>
      <c r="B1366" t="s">
        <v>29</v>
      </c>
      <c r="C1366" s="5">
        <v>45463</v>
      </c>
      <c r="D1366" s="8">
        <v>45463</v>
      </c>
      <c r="E1366" s="8" t="str">
        <f>IF(B1366="Inactive", EDATE(D1366,K1366), "")</f>
        <v/>
      </c>
      <c r="F1366" t="s">
        <v>14</v>
      </c>
      <c r="G1366">
        <v>11.5</v>
      </c>
      <c r="H1366" t="str" cm="1">
        <f t="array" ref="H1366">_xlfn.IFS(G1366&gt;=20,"20-25", G1366&gt;=15,"15-20", G1366&gt;=10,"10-15", G1366&gt;=5,"5-10", G1366&gt;=1,"1-5", G1366&lt;1,"Less than 1")</f>
        <v>10-15</v>
      </c>
      <c r="I1366">
        <v>1</v>
      </c>
      <c r="J1366">
        <v>3</v>
      </c>
      <c r="K1366" s="6">
        <v>8</v>
      </c>
      <c r="L1366" s="2">
        <v>3.99</v>
      </c>
      <c r="M1366" s="6">
        <v>4</v>
      </c>
      <c r="N1366" t="str" cm="1">
        <f t="array" ref="N1366">_xlfn.IFS(M1366&gt;=50,"50-60 Days", M1366&gt;=40,"40-50 Days", M1366&gt;=30, "30-40 Days", M1366&gt;=20, "20-30 Days", M1366&gt;=10, "10-20 Days", M1366&gt;=0, "0-10 Days")</f>
        <v>0-10 Days</v>
      </c>
    </row>
    <row r="1367" spans="1:14">
      <c r="A1367">
        <v>1366</v>
      </c>
      <c r="B1367" t="s">
        <v>28</v>
      </c>
      <c r="C1367" s="5">
        <v>45506</v>
      </c>
      <c r="D1367" s="8">
        <v>45506</v>
      </c>
      <c r="E1367" s="8">
        <f>IF(B1367="Inactive", EDATE(D1367,K1367), "")</f>
        <v>45537</v>
      </c>
      <c r="F1367" t="s">
        <v>10</v>
      </c>
      <c r="G1367">
        <v>4.5999999999999996</v>
      </c>
      <c r="H1367" t="str" cm="1">
        <f t="array" ref="H1367">_xlfn.IFS(G1367&gt;=20,"20-25", G1367&gt;=15,"15-20", G1367&gt;=10,"10-15", G1367&gt;=5,"5-10", G1367&gt;=1,"1-5", G1367&lt;1,"Less than 1")</f>
        <v>1-5</v>
      </c>
      <c r="I1367">
        <v>4</v>
      </c>
      <c r="J1367">
        <v>5</v>
      </c>
      <c r="K1367" s="6">
        <v>1</v>
      </c>
      <c r="L1367" s="2">
        <v>6.99</v>
      </c>
      <c r="M1367" s="6">
        <v>8</v>
      </c>
      <c r="N1367" t="str" cm="1">
        <f t="array" ref="N1367">_xlfn.IFS(M1367&gt;=50,"50-60 Days", M1367&gt;=40,"40-50 Days", M1367&gt;=30, "30-40 Days", M1367&gt;=20, "20-30 Days", M1367&gt;=10, "10-20 Days", M1367&gt;=0, "0-10 Days")</f>
        <v>0-10 Days</v>
      </c>
    </row>
    <row r="1368" spans="1:14">
      <c r="A1368">
        <v>1367</v>
      </c>
      <c r="B1368" t="s">
        <v>28</v>
      </c>
      <c r="C1368" s="5">
        <v>45452</v>
      </c>
      <c r="D1368" s="8">
        <v>45452</v>
      </c>
      <c r="E1368" s="8">
        <f>IF(B1368="Inactive", EDATE(D1368,K1368), "")</f>
        <v>45605</v>
      </c>
      <c r="F1368" t="s">
        <v>12</v>
      </c>
      <c r="G1368">
        <v>18.600000000000001</v>
      </c>
      <c r="H1368" t="str" cm="1">
        <f t="array" ref="H1368">_xlfn.IFS(G1368&gt;=20,"20-25", G1368&gt;=15,"15-20", G1368&gt;=10,"10-15", G1368&gt;=5,"5-10", G1368&gt;=1,"1-5", G1368&lt;1,"Less than 1")</f>
        <v>15-20</v>
      </c>
      <c r="I1368">
        <v>6</v>
      </c>
      <c r="J1368">
        <v>3</v>
      </c>
      <c r="K1368" s="6">
        <v>5</v>
      </c>
      <c r="L1368" s="2">
        <v>1.99</v>
      </c>
      <c r="M1368" s="6">
        <v>43</v>
      </c>
      <c r="N1368" t="str" cm="1">
        <f t="array" ref="N1368">_xlfn.IFS(M1368&gt;=50,"50-60 Days", M1368&gt;=40,"40-50 Days", M1368&gt;=30, "30-40 Days", M1368&gt;=20, "20-30 Days", M1368&gt;=10, "10-20 Days", M1368&gt;=0, "0-10 Days")</f>
        <v>40-50 Days</v>
      </c>
    </row>
    <row r="1369" spans="1:14">
      <c r="A1369">
        <v>1368</v>
      </c>
      <c r="B1369" t="s">
        <v>29</v>
      </c>
      <c r="C1369" s="5">
        <v>45337</v>
      </c>
      <c r="D1369" s="8">
        <v>45337</v>
      </c>
      <c r="E1369" s="8" t="str">
        <f>IF(B1369="Inactive", EDATE(D1369,K1369), "")</f>
        <v/>
      </c>
      <c r="F1369" t="s">
        <v>12</v>
      </c>
      <c r="G1369">
        <v>11.2</v>
      </c>
      <c r="H1369" t="str" cm="1">
        <f t="array" ref="H1369">_xlfn.IFS(G1369&gt;=20,"20-25", G1369&gt;=15,"15-20", G1369&gt;=10,"10-15", G1369&gt;=5,"5-10", G1369&gt;=1,"1-5", G1369&lt;1,"Less than 1")</f>
        <v>10-15</v>
      </c>
      <c r="I1369">
        <v>8</v>
      </c>
      <c r="J1369">
        <v>3</v>
      </c>
      <c r="K1369" s="6">
        <v>4</v>
      </c>
      <c r="L1369" s="2">
        <v>1.99</v>
      </c>
      <c r="M1369" s="6">
        <v>35</v>
      </c>
      <c r="N1369" t="str" cm="1">
        <f t="array" ref="N1369">_xlfn.IFS(M1369&gt;=50,"50-60 Days", M1369&gt;=40,"40-50 Days", M1369&gt;=30, "30-40 Days", M1369&gt;=20, "20-30 Days", M1369&gt;=10, "10-20 Days", M1369&gt;=0, "0-10 Days")</f>
        <v>30-40 Days</v>
      </c>
    </row>
    <row r="1370" spans="1:14">
      <c r="A1370">
        <v>1369</v>
      </c>
      <c r="B1370" t="s">
        <v>28</v>
      </c>
      <c r="C1370" s="5">
        <v>45640</v>
      </c>
      <c r="D1370" s="8">
        <v>45640</v>
      </c>
      <c r="E1370" s="8">
        <f>IF(B1370="Inactive", EDATE(D1370,K1370), "")</f>
        <v>45822</v>
      </c>
      <c r="F1370" t="s">
        <v>10</v>
      </c>
      <c r="G1370">
        <v>5.6</v>
      </c>
      <c r="H1370" t="str" cm="1">
        <f t="array" ref="H1370">_xlfn.IFS(G1370&gt;=20,"20-25", G1370&gt;=15,"15-20", G1370&gt;=10,"10-15", G1370&gt;=5,"5-10", G1370&gt;=1,"1-5", G1370&lt;1,"Less than 1")</f>
        <v>5-10</v>
      </c>
      <c r="I1370">
        <v>0</v>
      </c>
      <c r="J1370">
        <v>1</v>
      </c>
      <c r="K1370" s="6">
        <v>6</v>
      </c>
      <c r="L1370" s="2">
        <v>6.99</v>
      </c>
      <c r="M1370" s="6">
        <v>36</v>
      </c>
      <c r="N1370" t="str" cm="1">
        <f t="array" ref="N1370">_xlfn.IFS(M1370&gt;=50,"50-60 Days", M1370&gt;=40,"40-50 Days", M1370&gt;=30, "30-40 Days", M1370&gt;=20, "20-30 Days", M1370&gt;=10, "10-20 Days", M1370&gt;=0, "0-10 Days")</f>
        <v>30-40 Days</v>
      </c>
    </row>
    <row r="1371" spans="1:14">
      <c r="A1371">
        <v>1370</v>
      </c>
      <c r="B1371" t="s">
        <v>29</v>
      </c>
      <c r="C1371" s="5">
        <v>45230</v>
      </c>
      <c r="D1371" s="8">
        <v>45230</v>
      </c>
      <c r="E1371" s="8" t="str">
        <f>IF(B1371="Inactive", EDATE(D1371,K1371), "")</f>
        <v/>
      </c>
      <c r="F1371" t="s">
        <v>12</v>
      </c>
      <c r="G1371">
        <v>11.7</v>
      </c>
      <c r="H1371" t="str" cm="1">
        <f t="array" ref="H1371">_xlfn.IFS(G1371&gt;=20,"20-25", G1371&gt;=15,"15-20", G1371&gt;=10,"10-15", G1371&gt;=5,"5-10", G1371&gt;=1,"1-5", G1371&lt;1,"Less than 1")</f>
        <v>10-15</v>
      </c>
      <c r="I1371">
        <v>8</v>
      </c>
      <c r="J1371">
        <v>2</v>
      </c>
      <c r="K1371" s="6">
        <v>11</v>
      </c>
      <c r="L1371" s="2">
        <v>1.99</v>
      </c>
      <c r="M1371" s="6">
        <v>19</v>
      </c>
      <c r="N1371" t="str" cm="1">
        <f t="array" ref="N1371">_xlfn.IFS(M1371&gt;=50,"50-60 Days", M1371&gt;=40,"40-50 Days", M1371&gt;=30, "30-40 Days", M1371&gt;=20, "20-30 Days", M1371&gt;=10, "10-20 Days", M1371&gt;=0, "0-10 Days")</f>
        <v>10-20 Days</v>
      </c>
    </row>
    <row r="1372" spans="1:14">
      <c r="A1372">
        <v>1371</v>
      </c>
      <c r="B1372" t="s">
        <v>29</v>
      </c>
      <c r="C1372" s="5">
        <v>45225</v>
      </c>
      <c r="D1372" s="8">
        <v>45225</v>
      </c>
      <c r="E1372" s="8" t="str">
        <f>IF(B1372="Inactive", EDATE(D1372,K1372), "")</f>
        <v/>
      </c>
      <c r="F1372" t="s">
        <v>10</v>
      </c>
      <c r="G1372">
        <v>14</v>
      </c>
      <c r="H1372" t="str" cm="1">
        <f t="array" ref="H1372">_xlfn.IFS(G1372&gt;=20,"20-25", G1372&gt;=15,"15-20", G1372&gt;=10,"10-15", G1372&gt;=5,"5-10", G1372&gt;=1,"1-5", G1372&lt;1,"Less than 1")</f>
        <v>10-15</v>
      </c>
      <c r="I1372">
        <v>2</v>
      </c>
      <c r="J1372">
        <v>1</v>
      </c>
      <c r="K1372" s="6">
        <v>6</v>
      </c>
      <c r="L1372" s="2">
        <v>6.99</v>
      </c>
      <c r="M1372" s="6">
        <v>2</v>
      </c>
      <c r="N1372" t="str" cm="1">
        <f t="array" ref="N1372">_xlfn.IFS(M1372&gt;=50,"50-60 Days", M1372&gt;=40,"40-50 Days", M1372&gt;=30, "30-40 Days", M1372&gt;=20, "20-30 Days", M1372&gt;=10, "10-20 Days", M1372&gt;=0, "0-10 Days")</f>
        <v>0-10 Days</v>
      </c>
    </row>
    <row r="1373" spans="1:14">
      <c r="A1373">
        <v>1372</v>
      </c>
      <c r="B1373" t="s">
        <v>29</v>
      </c>
      <c r="C1373" s="5">
        <v>44979</v>
      </c>
      <c r="D1373" s="8">
        <v>44979</v>
      </c>
      <c r="E1373" s="8" t="str">
        <f>IF(B1373="Inactive", EDATE(D1373,K1373), "")</f>
        <v/>
      </c>
      <c r="F1373" t="s">
        <v>12</v>
      </c>
      <c r="G1373">
        <v>23.6</v>
      </c>
      <c r="H1373" t="str" cm="1">
        <f t="array" ref="H1373">_xlfn.IFS(G1373&gt;=20,"20-25", G1373&gt;=15,"15-20", G1373&gt;=10,"10-15", G1373&gt;=5,"5-10", G1373&gt;=1,"1-5", G1373&lt;1,"Less than 1")</f>
        <v>20-25</v>
      </c>
      <c r="I1373">
        <v>4</v>
      </c>
      <c r="J1373">
        <v>1</v>
      </c>
      <c r="K1373" s="6">
        <v>4</v>
      </c>
      <c r="L1373" s="2">
        <v>1.99</v>
      </c>
      <c r="M1373" s="6">
        <v>17</v>
      </c>
      <c r="N1373" t="str" cm="1">
        <f t="array" ref="N1373">_xlfn.IFS(M1373&gt;=50,"50-60 Days", M1373&gt;=40,"40-50 Days", M1373&gt;=30, "30-40 Days", M1373&gt;=20, "20-30 Days", M1373&gt;=10, "10-20 Days", M1373&gt;=0, "0-10 Days")</f>
        <v>10-20 Days</v>
      </c>
    </row>
    <row r="1374" spans="1:14">
      <c r="A1374">
        <v>1373</v>
      </c>
      <c r="B1374" t="s">
        <v>28</v>
      </c>
      <c r="C1374" s="5">
        <v>45282</v>
      </c>
      <c r="D1374" s="8">
        <v>45282</v>
      </c>
      <c r="E1374" s="8">
        <f>IF(B1374="Inactive", EDATE(D1374,K1374), "")</f>
        <v>45465</v>
      </c>
      <c r="F1374" t="s">
        <v>10</v>
      </c>
      <c r="G1374">
        <v>24.7</v>
      </c>
      <c r="H1374" t="str" cm="1">
        <f t="array" ref="H1374">_xlfn.IFS(G1374&gt;=20,"20-25", G1374&gt;=15,"15-20", G1374&gt;=10,"10-15", G1374&gt;=5,"5-10", G1374&gt;=1,"1-5", G1374&lt;1,"Less than 1")</f>
        <v>20-25</v>
      </c>
      <c r="I1374">
        <v>3</v>
      </c>
      <c r="J1374">
        <v>4</v>
      </c>
      <c r="K1374" s="6">
        <v>6</v>
      </c>
      <c r="L1374" s="2">
        <v>6.99</v>
      </c>
      <c r="M1374" s="6">
        <v>7</v>
      </c>
      <c r="N1374" t="str" cm="1">
        <f t="array" ref="N1374">_xlfn.IFS(M1374&gt;=50,"50-60 Days", M1374&gt;=40,"40-50 Days", M1374&gt;=30, "30-40 Days", M1374&gt;=20, "20-30 Days", M1374&gt;=10, "10-20 Days", M1374&gt;=0, "0-10 Days")</f>
        <v>0-10 Days</v>
      </c>
    </row>
    <row r="1375" spans="1:14">
      <c r="A1375">
        <v>1374</v>
      </c>
      <c r="B1375" t="s">
        <v>28</v>
      </c>
      <c r="C1375" s="5">
        <v>45553</v>
      </c>
      <c r="D1375" s="8">
        <v>45553</v>
      </c>
      <c r="E1375" s="8">
        <f>IF(B1375="Inactive", EDATE(D1375,K1375), "")</f>
        <v>45795</v>
      </c>
      <c r="F1375" t="s">
        <v>10</v>
      </c>
      <c r="G1375">
        <v>8.5</v>
      </c>
      <c r="H1375" t="str" cm="1">
        <f t="array" ref="H1375">_xlfn.IFS(G1375&gt;=20,"20-25", G1375&gt;=15,"15-20", G1375&gt;=10,"10-15", G1375&gt;=5,"5-10", G1375&gt;=1,"1-5", G1375&lt;1,"Less than 1")</f>
        <v>5-10</v>
      </c>
      <c r="I1375">
        <v>8</v>
      </c>
      <c r="J1375">
        <v>2</v>
      </c>
      <c r="K1375" s="6">
        <v>8</v>
      </c>
      <c r="L1375" s="2">
        <v>6.99</v>
      </c>
      <c r="M1375" s="6">
        <v>46</v>
      </c>
      <c r="N1375" t="str" cm="1">
        <f t="array" ref="N1375">_xlfn.IFS(M1375&gt;=50,"50-60 Days", M1375&gt;=40,"40-50 Days", M1375&gt;=30, "30-40 Days", M1375&gt;=20, "20-30 Days", M1375&gt;=10, "10-20 Days", M1375&gt;=0, "0-10 Days")</f>
        <v>40-50 Days</v>
      </c>
    </row>
    <row r="1376" spans="1:14">
      <c r="A1376">
        <v>1375</v>
      </c>
      <c r="B1376" t="s">
        <v>29</v>
      </c>
      <c r="C1376" s="5">
        <v>45213</v>
      </c>
      <c r="D1376" s="8">
        <v>45213</v>
      </c>
      <c r="E1376" s="8" t="str">
        <f>IF(B1376="Inactive", EDATE(D1376,K1376), "")</f>
        <v/>
      </c>
      <c r="F1376" t="s">
        <v>14</v>
      </c>
      <c r="G1376">
        <v>24.6</v>
      </c>
      <c r="H1376" t="str" cm="1">
        <f t="array" ref="H1376">_xlfn.IFS(G1376&gt;=20,"20-25", G1376&gt;=15,"15-20", G1376&gt;=10,"10-15", G1376&gt;=5,"5-10", G1376&gt;=1,"1-5", G1376&lt;1,"Less than 1")</f>
        <v>20-25</v>
      </c>
      <c r="I1376">
        <v>0</v>
      </c>
      <c r="J1376">
        <v>2</v>
      </c>
      <c r="K1376" s="6">
        <v>7</v>
      </c>
      <c r="L1376" s="2">
        <v>3.99</v>
      </c>
      <c r="M1376" s="6">
        <v>14</v>
      </c>
      <c r="N1376" t="str" cm="1">
        <f t="array" ref="N1376">_xlfn.IFS(M1376&gt;=50,"50-60 Days", M1376&gt;=40,"40-50 Days", M1376&gt;=30, "30-40 Days", M1376&gt;=20, "20-30 Days", M1376&gt;=10, "10-20 Days", M1376&gt;=0, "0-10 Days")</f>
        <v>10-20 Days</v>
      </c>
    </row>
    <row r="1377" spans="1:14">
      <c r="A1377">
        <v>1376</v>
      </c>
      <c r="B1377" t="s">
        <v>29</v>
      </c>
      <c r="C1377" s="5">
        <v>45524</v>
      </c>
      <c r="D1377" s="8">
        <v>45524</v>
      </c>
      <c r="E1377" s="8" t="str">
        <f>IF(B1377="Inactive", EDATE(D1377,K1377), "")</f>
        <v/>
      </c>
      <c r="F1377" t="s">
        <v>12</v>
      </c>
      <c r="G1377">
        <v>24.3</v>
      </c>
      <c r="H1377" t="str" cm="1">
        <f t="array" ref="H1377">_xlfn.IFS(G1377&gt;=20,"20-25", G1377&gt;=15,"15-20", G1377&gt;=10,"10-15", G1377&gt;=5,"5-10", G1377&gt;=1,"1-5", G1377&lt;1,"Less than 1")</f>
        <v>20-25</v>
      </c>
      <c r="I1377">
        <v>8</v>
      </c>
      <c r="J1377">
        <v>5</v>
      </c>
      <c r="K1377" s="6">
        <v>6</v>
      </c>
      <c r="L1377" s="2">
        <v>1.99</v>
      </c>
      <c r="M1377" s="6">
        <v>55</v>
      </c>
      <c r="N1377" t="str" cm="1">
        <f t="array" ref="N1377">_xlfn.IFS(M1377&gt;=50,"50-60 Days", M1377&gt;=40,"40-50 Days", M1377&gt;=30, "30-40 Days", M1377&gt;=20, "20-30 Days", M1377&gt;=10, "10-20 Days", M1377&gt;=0, "0-10 Days")</f>
        <v>50-60 Days</v>
      </c>
    </row>
    <row r="1378" spans="1:14">
      <c r="A1378">
        <v>1377</v>
      </c>
      <c r="B1378" t="s">
        <v>28</v>
      </c>
      <c r="C1378" s="5">
        <v>45138</v>
      </c>
      <c r="D1378" s="8">
        <v>45138</v>
      </c>
      <c r="E1378" s="8">
        <f>IF(B1378="Inactive", EDATE(D1378,K1378), "")</f>
        <v>45412</v>
      </c>
      <c r="F1378" t="s">
        <v>12</v>
      </c>
      <c r="G1378">
        <v>23.7</v>
      </c>
      <c r="H1378" t="str" cm="1">
        <f t="array" ref="H1378">_xlfn.IFS(G1378&gt;=20,"20-25", G1378&gt;=15,"15-20", G1378&gt;=10,"10-15", G1378&gt;=5,"5-10", G1378&gt;=1,"1-5", G1378&lt;1,"Less than 1")</f>
        <v>20-25</v>
      </c>
      <c r="I1378">
        <v>4</v>
      </c>
      <c r="J1378">
        <v>5</v>
      </c>
      <c r="K1378" s="6">
        <v>9</v>
      </c>
      <c r="L1378" s="2">
        <v>1.99</v>
      </c>
      <c r="M1378" s="6">
        <v>40</v>
      </c>
      <c r="N1378" t="str" cm="1">
        <f t="array" ref="N1378">_xlfn.IFS(M1378&gt;=50,"50-60 Days", M1378&gt;=40,"40-50 Days", M1378&gt;=30, "30-40 Days", M1378&gt;=20, "20-30 Days", M1378&gt;=10, "10-20 Days", M1378&gt;=0, "0-10 Days")</f>
        <v>40-50 Days</v>
      </c>
    </row>
    <row r="1379" spans="1:14">
      <c r="A1379">
        <v>1378</v>
      </c>
      <c r="B1379" t="s">
        <v>29</v>
      </c>
      <c r="C1379" s="5">
        <v>45331</v>
      </c>
      <c r="D1379" s="8">
        <v>45331</v>
      </c>
      <c r="E1379" s="8" t="str">
        <f>IF(B1379="Inactive", EDATE(D1379,K1379), "")</f>
        <v/>
      </c>
      <c r="F1379" t="s">
        <v>14</v>
      </c>
      <c r="G1379">
        <v>8.4</v>
      </c>
      <c r="H1379" t="str" cm="1">
        <f t="array" ref="H1379">_xlfn.IFS(G1379&gt;=20,"20-25", G1379&gt;=15,"15-20", G1379&gt;=10,"10-15", G1379&gt;=5,"5-10", G1379&gt;=1,"1-5", G1379&lt;1,"Less than 1")</f>
        <v>5-10</v>
      </c>
      <c r="I1379">
        <v>3</v>
      </c>
      <c r="J1379">
        <v>4</v>
      </c>
      <c r="K1379" s="6">
        <v>5</v>
      </c>
      <c r="L1379" s="2">
        <v>3.99</v>
      </c>
      <c r="M1379" s="6">
        <v>40</v>
      </c>
      <c r="N1379" t="str" cm="1">
        <f t="array" ref="N1379">_xlfn.IFS(M1379&gt;=50,"50-60 Days", M1379&gt;=40,"40-50 Days", M1379&gt;=30, "30-40 Days", M1379&gt;=20, "20-30 Days", M1379&gt;=10, "10-20 Days", M1379&gt;=0, "0-10 Days")</f>
        <v>40-50 Days</v>
      </c>
    </row>
    <row r="1380" spans="1:14">
      <c r="A1380">
        <v>1379</v>
      </c>
      <c r="B1380" t="s">
        <v>29</v>
      </c>
      <c r="C1380" s="5">
        <v>45022</v>
      </c>
      <c r="D1380" s="8">
        <v>45022</v>
      </c>
      <c r="E1380" s="8" t="str">
        <f>IF(B1380="Inactive", EDATE(D1380,K1380), "")</f>
        <v/>
      </c>
      <c r="F1380" t="s">
        <v>12</v>
      </c>
      <c r="G1380">
        <v>6.2</v>
      </c>
      <c r="H1380" t="str" cm="1">
        <f t="array" ref="H1380">_xlfn.IFS(G1380&gt;=20,"20-25", G1380&gt;=15,"15-20", G1380&gt;=10,"10-15", G1380&gt;=5,"5-10", G1380&gt;=1,"1-5", G1380&lt;1,"Less than 1")</f>
        <v>5-10</v>
      </c>
      <c r="I1380">
        <v>6</v>
      </c>
      <c r="J1380">
        <v>2</v>
      </c>
      <c r="K1380" s="6">
        <v>10</v>
      </c>
      <c r="L1380" s="2">
        <v>1.99</v>
      </c>
      <c r="M1380" s="6">
        <v>9</v>
      </c>
      <c r="N1380" t="str" cm="1">
        <f t="array" ref="N1380">_xlfn.IFS(M1380&gt;=50,"50-60 Days", M1380&gt;=40,"40-50 Days", M1380&gt;=30, "30-40 Days", M1380&gt;=20, "20-30 Days", M1380&gt;=10, "10-20 Days", M1380&gt;=0, "0-10 Days")</f>
        <v>0-10 Days</v>
      </c>
    </row>
    <row r="1381" spans="1:14">
      <c r="A1381">
        <v>1380</v>
      </c>
      <c r="B1381" t="s">
        <v>29</v>
      </c>
      <c r="C1381" s="5">
        <v>45111</v>
      </c>
      <c r="D1381" s="8">
        <v>45111</v>
      </c>
      <c r="E1381" s="8" t="str">
        <f>IF(B1381="Inactive", EDATE(D1381,K1381), "")</f>
        <v/>
      </c>
      <c r="F1381" t="s">
        <v>14</v>
      </c>
      <c r="G1381">
        <v>11.8</v>
      </c>
      <c r="H1381" t="str" cm="1">
        <f t="array" ref="H1381">_xlfn.IFS(G1381&gt;=20,"20-25", G1381&gt;=15,"15-20", G1381&gt;=10,"10-15", G1381&gt;=5,"5-10", G1381&gt;=1,"1-5", G1381&lt;1,"Less than 1")</f>
        <v>10-15</v>
      </c>
      <c r="I1381">
        <v>2</v>
      </c>
      <c r="J1381">
        <v>1</v>
      </c>
      <c r="K1381" s="6">
        <v>4</v>
      </c>
      <c r="L1381" s="2">
        <v>3.99</v>
      </c>
      <c r="M1381" s="6">
        <v>36</v>
      </c>
      <c r="N1381" t="str" cm="1">
        <f t="array" ref="N1381">_xlfn.IFS(M1381&gt;=50,"50-60 Days", M1381&gt;=40,"40-50 Days", M1381&gt;=30, "30-40 Days", M1381&gt;=20, "20-30 Days", M1381&gt;=10, "10-20 Days", M1381&gt;=0, "0-10 Days")</f>
        <v>30-40 Days</v>
      </c>
    </row>
    <row r="1382" spans="1:14">
      <c r="A1382">
        <v>1381</v>
      </c>
      <c r="B1382" t="s">
        <v>28</v>
      </c>
      <c r="C1382" s="5">
        <v>45549</v>
      </c>
      <c r="D1382" s="8">
        <v>45549</v>
      </c>
      <c r="E1382" s="8">
        <f>IF(B1382="Inactive", EDATE(D1382,K1382), "")</f>
        <v>45761</v>
      </c>
      <c r="F1382" t="s">
        <v>10</v>
      </c>
      <c r="G1382">
        <v>1</v>
      </c>
      <c r="H1382" t="str" cm="1">
        <f t="array" ref="H1382">_xlfn.IFS(G1382&gt;=20,"20-25", G1382&gt;=15,"15-20", G1382&gt;=10,"10-15", G1382&gt;=5,"5-10", G1382&gt;=1,"1-5", G1382&lt;1,"Less than 1")</f>
        <v>1-5</v>
      </c>
      <c r="I1382">
        <v>2</v>
      </c>
      <c r="J1382">
        <v>1</v>
      </c>
      <c r="K1382" s="6">
        <v>7</v>
      </c>
      <c r="L1382" s="2">
        <v>6.99</v>
      </c>
      <c r="M1382" s="6">
        <v>52</v>
      </c>
      <c r="N1382" t="str" cm="1">
        <f t="array" ref="N1382">_xlfn.IFS(M1382&gt;=50,"50-60 Days", M1382&gt;=40,"40-50 Days", M1382&gt;=30, "30-40 Days", M1382&gt;=20, "20-30 Days", M1382&gt;=10, "10-20 Days", M1382&gt;=0, "0-10 Days")</f>
        <v>50-60 Days</v>
      </c>
    </row>
    <row r="1383" spans="1:14">
      <c r="A1383">
        <v>1382</v>
      </c>
      <c r="B1383" t="s">
        <v>29</v>
      </c>
      <c r="C1383" s="5">
        <v>45339</v>
      </c>
      <c r="D1383" s="8">
        <v>45339</v>
      </c>
      <c r="E1383" s="8" t="str">
        <f>IF(B1383="Inactive", EDATE(D1383,K1383), "")</f>
        <v/>
      </c>
      <c r="F1383" t="s">
        <v>12</v>
      </c>
      <c r="G1383">
        <v>4</v>
      </c>
      <c r="H1383" t="str" cm="1">
        <f t="array" ref="H1383">_xlfn.IFS(G1383&gt;=20,"20-25", G1383&gt;=15,"15-20", G1383&gt;=10,"10-15", G1383&gt;=5,"5-10", G1383&gt;=1,"1-5", G1383&lt;1,"Less than 1")</f>
        <v>1-5</v>
      </c>
      <c r="I1383">
        <v>6</v>
      </c>
      <c r="J1383">
        <v>1</v>
      </c>
      <c r="K1383" s="6">
        <v>2</v>
      </c>
      <c r="L1383" s="2">
        <v>1.99</v>
      </c>
      <c r="M1383" s="6">
        <v>29</v>
      </c>
      <c r="N1383" t="str" cm="1">
        <f t="array" ref="N1383">_xlfn.IFS(M1383&gt;=50,"50-60 Days", M1383&gt;=40,"40-50 Days", M1383&gt;=30, "30-40 Days", M1383&gt;=20, "20-30 Days", M1383&gt;=10, "10-20 Days", M1383&gt;=0, "0-10 Days")</f>
        <v>20-30 Days</v>
      </c>
    </row>
    <row r="1384" spans="1:14">
      <c r="A1384">
        <v>1383</v>
      </c>
      <c r="B1384" t="s">
        <v>28</v>
      </c>
      <c r="C1384" s="5">
        <v>44948</v>
      </c>
      <c r="D1384" s="8">
        <v>44948</v>
      </c>
      <c r="E1384" s="8">
        <f>IF(B1384="Inactive", EDATE(D1384,K1384), "")</f>
        <v>45313</v>
      </c>
      <c r="F1384" t="s">
        <v>12</v>
      </c>
      <c r="G1384">
        <v>3.9</v>
      </c>
      <c r="H1384" t="str" cm="1">
        <f t="array" ref="H1384">_xlfn.IFS(G1384&gt;=20,"20-25", G1384&gt;=15,"15-20", G1384&gt;=10,"10-15", G1384&gt;=5,"5-10", G1384&gt;=1,"1-5", G1384&lt;1,"Less than 1")</f>
        <v>1-5</v>
      </c>
      <c r="I1384">
        <v>0</v>
      </c>
      <c r="J1384">
        <v>4</v>
      </c>
      <c r="K1384" s="6">
        <v>12</v>
      </c>
      <c r="L1384" s="2">
        <v>1.99</v>
      </c>
      <c r="M1384" s="6">
        <v>6</v>
      </c>
      <c r="N1384" t="str" cm="1">
        <f t="array" ref="N1384">_xlfn.IFS(M1384&gt;=50,"50-60 Days", M1384&gt;=40,"40-50 Days", M1384&gt;=30, "30-40 Days", M1384&gt;=20, "20-30 Days", M1384&gt;=10, "10-20 Days", M1384&gt;=0, "0-10 Days")</f>
        <v>0-10 Days</v>
      </c>
    </row>
    <row r="1385" spans="1:14">
      <c r="A1385">
        <v>1384</v>
      </c>
      <c r="B1385" t="s">
        <v>29</v>
      </c>
      <c r="C1385" s="5">
        <v>45201</v>
      </c>
      <c r="D1385" s="8">
        <v>45201</v>
      </c>
      <c r="E1385" s="8" t="str">
        <f>IF(B1385="Inactive", EDATE(D1385,K1385), "")</f>
        <v/>
      </c>
      <c r="F1385" t="s">
        <v>12</v>
      </c>
      <c r="G1385">
        <v>19.2</v>
      </c>
      <c r="H1385" t="str" cm="1">
        <f t="array" ref="H1385">_xlfn.IFS(G1385&gt;=20,"20-25", G1385&gt;=15,"15-20", G1385&gt;=10,"10-15", G1385&gt;=5,"5-10", G1385&gt;=1,"1-5", G1385&lt;1,"Less than 1")</f>
        <v>15-20</v>
      </c>
      <c r="I1385">
        <v>0</v>
      </c>
      <c r="J1385">
        <v>1</v>
      </c>
      <c r="K1385" s="6">
        <v>1</v>
      </c>
      <c r="L1385" s="2">
        <v>1.99</v>
      </c>
      <c r="M1385" s="6">
        <v>15</v>
      </c>
      <c r="N1385" t="str" cm="1">
        <f t="array" ref="N1385">_xlfn.IFS(M1385&gt;=50,"50-60 Days", M1385&gt;=40,"40-50 Days", M1385&gt;=30, "30-40 Days", M1385&gt;=20, "20-30 Days", M1385&gt;=10, "10-20 Days", M1385&gt;=0, "0-10 Days")</f>
        <v>10-20 Days</v>
      </c>
    </row>
    <row r="1386" spans="1:14">
      <c r="A1386">
        <v>1385</v>
      </c>
      <c r="B1386" t="s">
        <v>29</v>
      </c>
      <c r="C1386" s="5">
        <v>45273</v>
      </c>
      <c r="D1386" s="8">
        <v>45273</v>
      </c>
      <c r="E1386" s="8" t="str">
        <f>IF(B1386="Inactive", EDATE(D1386,K1386), "")</f>
        <v/>
      </c>
      <c r="F1386" t="s">
        <v>12</v>
      </c>
      <c r="G1386">
        <v>19.899999999999999</v>
      </c>
      <c r="H1386" t="str" cm="1">
        <f t="array" ref="H1386">_xlfn.IFS(G1386&gt;=20,"20-25", G1386&gt;=15,"15-20", G1386&gt;=10,"10-15", G1386&gt;=5,"5-10", G1386&gt;=1,"1-5", G1386&lt;1,"Less than 1")</f>
        <v>15-20</v>
      </c>
      <c r="I1386">
        <v>0</v>
      </c>
      <c r="J1386">
        <v>0</v>
      </c>
      <c r="K1386" s="6">
        <v>1</v>
      </c>
      <c r="L1386" s="2">
        <v>1.99</v>
      </c>
      <c r="M1386" s="6">
        <v>34</v>
      </c>
      <c r="N1386" t="str" cm="1">
        <f t="array" ref="N1386">_xlfn.IFS(M1386&gt;=50,"50-60 Days", M1386&gt;=40,"40-50 Days", M1386&gt;=30, "30-40 Days", M1386&gt;=20, "20-30 Days", M1386&gt;=10, "10-20 Days", M1386&gt;=0, "0-10 Days")</f>
        <v>30-40 Days</v>
      </c>
    </row>
    <row r="1387" spans="1:14">
      <c r="A1387">
        <v>1386</v>
      </c>
      <c r="B1387" t="s">
        <v>28</v>
      </c>
      <c r="C1387" s="5">
        <v>45094</v>
      </c>
      <c r="D1387" s="8">
        <v>45094</v>
      </c>
      <c r="E1387" s="8">
        <f>IF(B1387="Inactive", EDATE(D1387,K1387), "")</f>
        <v>45155</v>
      </c>
      <c r="F1387" t="s">
        <v>10</v>
      </c>
      <c r="G1387">
        <v>5.5</v>
      </c>
      <c r="H1387" t="str" cm="1">
        <f t="array" ref="H1387">_xlfn.IFS(G1387&gt;=20,"20-25", G1387&gt;=15,"15-20", G1387&gt;=10,"10-15", G1387&gt;=5,"5-10", G1387&gt;=1,"1-5", G1387&lt;1,"Less than 1")</f>
        <v>5-10</v>
      </c>
      <c r="I1387">
        <v>7</v>
      </c>
      <c r="J1387">
        <v>4</v>
      </c>
      <c r="K1387" s="6">
        <v>2</v>
      </c>
      <c r="L1387" s="2">
        <v>6.99</v>
      </c>
      <c r="M1387" s="6">
        <v>57</v>
      </c>
      <c r="N1387" t="str" cm="1">
        <f t="array" ref="N1387">_xlfn.IFS(M1387&gt;=50,"50-60 Days", M1387&gt;=40,"40-50 Days", M1387&gt;=30, "30-40 Days", M1387&gt;=20, "20-30 Days", M1387&gt;=10, "10-20 Days", M1387&gt;=0, "0-10 Days")</f>
        <v>50-60 Days</v>
      </c>
    </row>
    <row r="1388" spans="1:14">
      <c r="A1388">
        <v>1387</v>
      </c>
      <c r="B1388" t="s">
        <v>29</v>
      </c>
      <c r="C1388" s="5">
        <v>45569</v>
      </c>
      <c r="D1388" s="8">
        <v>45569</v>
      </c>
      <c r="E1388" s="8" t="str">
        <f>IF(B1388="Inactive", EDATE(D1388,K1388), "")</f>
        <v/>
      </c>
      <c r="F1388" t="s">
        <v>14</v>
      </c>
      <c r="G1388">
        <v>12.2</v>
      </c>
      <c r="H1388" t="str" cm="1">
        <f t="array" ref="H1388">_xlfn.IFS(G1388&gt;=20,"20-25", G1388&gt;=15,"15-20", G1388&gt;=10,"10-15", G1388&gt;=5,"5-10", G1388&gt;=1,"1-5", G1388&lt;1,"Less than 1")</f>
        <v>10-15</v>
      </c>
      <c r="I1388">
        <v>3</v>
      </c>
      <c r="J1388">
        <v>0</v>
      </c>
      <c r="K1388" s="6">
        <v>8</v>
      </c>
      <c r="L1388" s="2">
        <v>3.99</v>
      </c>
      <c r="M1388" s="6">
        <v>34</v>
      </c>
      <c r="N1388" t="str" cm="1">
        <f t="array" ref="N1388">_xlfn.IFS(M1388&gt;=50,"50-60 Days", M1388&gt;=40,"40-50 Days", M1388&gt;=30, "30-40 Days", M1388&gt;=20, "20-30 Days", M1388&gt;=10, "10-20 Days", M1388&gt;=0, "0-10 Days")</f>
        <v>30-40 Days</v>
      </c>
    </row>
    <row r="1389" spans="1:14">
      <c r="A1389">
        <v>1388</v>
      </c>
      <c r="B1389" t="s">
        <v>28</v>
      </c>
      <c r="C1389" s="5">
        <v>45450</v>
      </c>
      <c r="D1389" s="8">
        <v>45450</v>
      </c>
      <c r="E1389" s="8">
        <f>IF(B1389="Inactive", EDATE(D1389,K1389), "")</f>
        <v>45542</v>
      </c>
      <c r="F1389" t="s">
        <v>10</v>
      </c>
      <c r="G1389">
        <v>1</v>
      </c>
      <c r="H1389" t="str" cm="1">
        <f t="array" ref="H1389">_xlfn.IFS(G1389&gt;=20,"20-25", G1389&gt;=15,"15-20", G1389&gt;=10,"10-15", G1389&gt;=5,"5-10", G1389&gt;=1,"1-5", G1389&lt;1,"Less than 1")</f>
        <v>1-5</v>
      </c>
      <c r="I1389">
        <v>0</v>
      </c>
      <c r="J1389">
        <v>0</v>
      </c>
      <c r="K1389" s="6">
        <v>3</v>
      </c>
      <c r="L1389" s="2">
        <v>6.99</v>
      </c>
      <c r="M1389" s="6">
        <v>34</v>
      </c>
      <c r="N1389" t="str" cm="1">
        <f t="array" ref="N1389">_xlfn.IFS(M1389&gt;=50,"50-60 Days", M1389&gt;=40,"40-50 Days", M1389&gt;=30, "30-40 Days", M1389&gt;=20, "20-30 Days", M1389&gt;=10, "10-20 Days", M1389&gt;=0, "0-10 Days")</f>
        <v>30-40 Days</v>
      </c>
    </row>
    <row r="1390" spans="1:14">
      <c r="A1390">
        <v>1389</v>
      </c>
      <c r="B1390" t="s">
        <v>29</v>
      </c>
      <c r="C1390" s="5">
        <v>45077</v>
      </c>
      <c r="D1390" s="8">
        <v>45077</v>
      </c>
      <c r="E1390" s="8" t="str">
        <f>IF(B1390="Inactive", EDATE(D1390,K1390), "")</f>
        <v/>
      </c>
      <c r="F1390" t="s">
        <v>14</v>
      </c>
      <c r="G1390">
        <v>0.5</v>
      </c>
      <c r="H1390" t="str" cm="1">
        <f t="array" ref="H1390">_xlfn.IFS(G1390&gt;=20,"20-25", G1390&gt;=15,"15-20", G1390&gt;=10,"10-15", G1390&gt;=5,"5-10", G1390&gt;=1,"1-5", G1390&lt;1,"Less than 1")</f>
        <v>Less than 1</v>
      </c>
      <c r="I1390">
        <v>3</v>
      </c>
      <c r="J1390">
        <v>0</v>
      </c>
      <c r="K1390" s="6">
        <v>4</v>
      </c>
      <c r="L1390" s="2">
        <v>3.99</v>
      </c>
      <c r="M1390" s="6">
        <v>14</v>
      </c>
      <c r="N1390" t="str" cm="1">
        <f t="array" ref="N1390">_xlfn.IFS(M1390&gt;=50,"50-60 Days", M1390&gt;=40,"40-50 Days", M1390&gt;=30, "30-40 Days", M1390&gt;=20, "20-30 Days", M1390&gt;=10, "10-20 Days", M1390&gt;=0, "0-10 Days")</f>
        <v>10-20 Days</v>
      </c>
    </row>
    <row r="1391" spans="1:14">
      <c r="A1391">
        <v>1390</v>
      </c>
      <c r="B1391" t="s">
        <v>28</v>
      </c>
      <c r="C1391" s="5">
        <v>45042</v>
      </c>
      <c r="D1391" s="8">
        <v>45042</v>
      </c>
      <c r="E1391" s="8">
        <f>IF(B1391="Inactive", EDATE(D1391,K1391), "")</f>
        <v>45256</v>
      </c>
      <c r="F1391" t="s">
        <v>14</v>
      </c>
      <c r="G1391">
        <v>6</v>
      </c>
      <c r="H1391" t="str" cm="1">
        <f t="array" ref="H1391">_xlfn.IFS(G1391&gt;=20,"20-25", G1391&gt;=15,"15-20", G1391&gt;=10,"10-15", G1391&gt;=5,"5-10", G1391&gt;=1,"1-5", G1391&lt;1,"Less than 1")</f>
        <v>5-10</v>
      </c>
      <c r="I1391">
        <v>6</v>
      </c>
      <c r="J1391">
        <v>5</v>
      </c>
      <c r="K1391" s="6">
        <v>7</v>
      </c>
      <c r="L1391" s="2">
        <v>3.99</v>
      </c>
      <c r="M1391" s="6">
        <v>56</v>
      </c>
      <c r="N1391" t="str" cm="1">
        <f t="array" ref="N1391">_xlfn.IFS(M1391&gt;=50,"50-60 Days", M1391&gt;=40,"40-50 Days", M1391&gt;=30, "30-40 Days", M1391&gt;=20, "20-30 Days", M1391&gt;=10, "10-20 Days", M1391&gt;=0, "0-10 Days")</f>
        <v>50-60 Days</v>
      </c>
    </row>
    <row r="1392" spans="1:14">
      <c r="A1392">
        <v>1391</v>
      </c>
      <c r="B1392" t="s">
        <v>29</v>
      </c>
      <c r="C1392" s="5">
        <v>45557</v>
      </c>
      <c r="D1392" s="8">
        <v>45557</v>
      </c>
      <c r="E1392" s="8" t="str">
        <f>IF(B1392="Inactive", EDATE(D1392,K1392), "")</f>
        <v/>
      </c>
      <c r="F1392" t="s">
        <v>14</v>
      </c>
      <c r="G1392">
        <v>24.8</v>
      </c>
      <c r="H1392" t="str" cm="1">
        <f t="array" ref="H1392">_xlfn.IFS(G1392&gt;=20,"20-25", G1392&gt;=15,"15-20", G1392&gt;=10,"10-15", G1392&gt;=5,"5-10", G1392&gt;=1,"1-5", G1392&lt;1,"Less than 1")</f>
        <v>20-25</v>
      </c>
      <c r="I1392">
        <v>3</v>
      </c>
      <c r="J1392">
        <v>0</v>
      </c>
      <c r="K1392" s="6">
        <v>4</v>
      </c>
      <c r="L1392" s="2">
        <v>3.99</v>
      </c>
      <c r="M1392" s="6">
        <v>18</v>
      </c>
      <c r="N1392" t="str" cm="1">
        <f t="array" ref="N1392">_xlfn.IFS(M1392&gt;=50,"50-60 Days", M1392&gt;=40,"40-50 Days", M1392&gt;=30, "30-40 Days", M1392&gt;=20, "20-30 Days", M1392&gt;=10, "10-20 Days", M1392&gt;=0, "0-10 Days")</f>
        <v>10-20 Days</v>
      </c>
    </row>
    <row r="1393" spans="1:14">
      <c r="A1393">
        <v>1392</v>
      </c>
      <c r="B1393" t="s">
        <v>28</v>
      </c>
      <c r="C1393" s="5">
        <v>45365</v>
      </c>
      <c r="D1393" s="8">
        <v>45365</v>
      </c>
      <c r="E1393" s="8">
        <f>IF(B1393="Inactive", EDATE(D1393,K1393), "")</f>
        <v>45457</v>
      </c>
      <c r="F1393" t="s">
        <v>14</v>
      </c>
      <c r="G1393">
        <v>9.3000000000000007</v>
      </c>
      <c r="H1393" t="str" cm="1">
        <f t="array" ref="H1393">_xlfn.IFS(G1393&gt;=20,"20-25", G1393&gt;=15,"15-20", G1393&gt;=10,"10-15", G1393&gt;=5,"5-10", G1393&gt;=1,"1-5", G1393&lt;1,"Less than 1")</f>
        <v>5-10</v>
      </c>
      <c r="I1393">
        <v>1</v>
      </c>
      <c r="J1393">
        <v>0</v>
      </c>
      <c r="K1393" s="6">
        <v>3</v>
      </c>
      <c r="L1393" s="2">
        <v>3.99</v>
      </c>
      <c r="M1393" s="6">
        <v>38</v>
      </c>
      <c r="N1393" t="str" cm="1">
        <f t="array" ref="N1393">_xlfn.IFS(M1393&gt;=50,"50-60 Days", M1393&gt;=40,"40-50 Days", M1393&gt;=30, "30-40 Days", M1393&gt;=20, "20-30 Days", M1393&gt;=10, "10-20 Days", M1393&gt;=0, "0-10 Days")</f>
        <v>30-40 Days</v>
      </c>
    </row>
    <row r="1394" spans="1:14">
      <c r="A1394">
        <v>1393</v>
      </c>
      <c r="B1394" t="s">
        <v>29</v>
      </c>
      <c r="C1394" s="5">
        <v>45235</v>
      </c>
      <c r="D1394" s="8">
        <v>45235</v>
      </c>
      <c r="E1394" s="8" t="str">
        <f>IF(B1394="Inactive", EDATE(D1394,K1394), "")</f>
        <v/>
      </c>
      <c r="F1394" t="s">
        <v>10</v>
      </c>
      <c r="G1394">
        <v>15.2</v>
      </c>
      <c r="H1394" t="str" cm="1">
        <f t="array" ref="H1394">_xlfn.IFS(G1394&gt;=20,"20-25", G1394&gt;=15,"15-20", G1394&gt;=10,"10-15", G1394&gt;=5,"5-10", G1394&gt;=1,"1-5", G1394&lt;1,"Less than 1")</f>
        <v>15-20</v>
      </c>
      <c r="I1394">
        <v>6</v>
      </c>
      <c r="J1394">
        <v>1</v>
      </c>
      <c r="K1394" s="6">
        <v>8</v>
      </c>
      <c r="L1394" s="2">
        <v>6.99</v>
      </c>
      <c r="M1394" s="6">
        <v>57</v>
      </c>
      <c r="N1394" t="str" cm="1">
        <f t="array" ref="N1394">_xlfn.IFS(M1394&gt;=50,"50-60 Days", M1394&gt;=40,"40-50 Days", M1394&gt;=30, "30-40 Days", M1394&gt;=20, "20-30 Days", M1394&gt;=10, "10-20 Days", M1394&gt;=0, "0-10 Days")</f>
        <v>50-60 Days</v>
      </c>
    </row>
    <row r="1395" spans="1:14">
      <c r="A1395">
        <v>1394</v>
      </c>
      <c r="B1395" t="s">
        <v>28</v>
      </c>
      <c r="C1395" s="5">
        <v>45304</v>
      </c>
      <c r="D1395" s="8">
        <v>45304</v>
      </c>
      <c r="E1395" s="8">
        <f>IF(B1395="Inactive", EDATE(D1395,K1395), "")</f>
        <v>45517</v>
      </c>
      <c r="F1395" t="s">
        <v>10</v>
      </c>
      <c r="G1395">
        <v>9</v>
      </c>
      <c r="H1395" t="str" cm="1">
        <f t="array" ref="H1395">_xlfn.IFS(G1395&gt;=20,"20-25", G1395&gt;=15,"15-20", G1395&gt;=10,"10-15", G1395&gt;=5,"5-10", G1395&gt;=1,"1-5", G1395&lt;1,"Less than 1")</f>
        <v>5-10</v>
      </c>
      <c r="I1395">
        <v>1</v>
      </c>
      <c r="J1395">
        <v>2</v>
      </c>
      <c r="K1395" s="6">
        <v>7</v>
      </c>
      <c r="L1395" s="2">
        <v>6.99</v>
      </c>
      <c r="M1395" s="6">
        <v>58</v>
      </c>
      <c r="N1395" t="str" cm="1">
        <f t="array" ref="N1395">_xlfn.IFS(M1395&gt;=50,"50-60 Days", M1395&gt;=40,"40-50 Days", M1395&gt;=30, "30-40 Days", M1395&gt;=20, "20-30 Days", M1395&gt;=10, "10-20 Days", M1395&gt;=0, "0-10 Days")</f>
        <v>50-60 Days</v>
      </c>
    </row>
    <row r="1396" spans="1:14">
      <c r="A1396">
        <v>1395</v>
      </c>
      <c r="B1396" t="s">
        <v>28</v>
      </c>
      <c r="C1396" s="5">
        <v>45326</v>
      </c>
      <c r="D1396" s="8">
        <v>45326</v>
      </c>
      <c r="E1396" s="8">
        <f>IF(B1396="Inactive", EDATE(D1396,K1396), "")</f>
        <v>45386</v>
      </c>
      <c r="F1396" t="s">
        <v>14</v>
      </c>
      <c r="G1396">
        <v>19.8</v>
      </c>
      <c r="H1396" t="str" cm="1">
        <f t="array" ref="H1396">_xlfn.IFS(G1396&gt;=20,"20-25", G1396&gt;=15,"15-20", G1396&gt;=10,"10-15", G1396&gt;=5,"5-10", G1396&gt;=1,"1-5", G1396&lt;1,"Less than 1")</f>
        <v>15-20</v>
      </c>
      <c r="I1396">
        <v>2</v>
      </c>
      <c r="J1396">
        <v>5</v>
      </c>
      <c r="K1396" s="6">
        <v>2</v>
      </c>
      <c r="L1396" s="2">
        <v>3.99</v>
      </c>
      <c r="M1396" s="6">
        <v>9</v>
      </c>
      <c r="N1396" t="str" cm="1">
        <f t="array" ref="N1396">_xlfn.IFS(M1396&gt;=50,"50-60 Days", M1396&gt;=40,"40-50 Days", M1396&gt;=30, "30-40 Days", M1396&gt;=20, "20-30 Days", M1396&gt;=10, "10-20 Days", M1396&gt;=0, "0-10 Days")</f>
        <v>0-10 Days</v>
      </c>
    </row>
    <row r="1397" spans="1:14">
      <c r="A1397">
        <v>1396</v>
      </c>
      <c r="B1397" t="s">
        <v>29</v>
      </c>
      <c r="C1397" s="5">
        <v>45212</v>
      </c>
      <c r="D1397" s="8">
        <v>45212</v>
      </c>
      <c r="E1397" s="8" t="str">
        <f>IF(B1397="Inactive", EDATE(D1397,K1397), "")</f>
        <v/>
      </c>
      <c r="F1397" t="s">
        <v>14</v>
      </c>
      <c r="G1397">
        <v>20.5</v>
      </c>
      <c r="H1397" t="str" cm="1">
        <f t="array" ref="H1397">_xlfn.IFS(G1397&gt;=20,"20-25", G1397&gt;=15,"15-20", G1397&gt;=10,"10-15", G1397&gt;=5,"5-10", G1397&gt;=1,"1-5", G1397&lt;1,"Less than 1")</f>
        <v>20-25</v>
      </c>
      <c r="I1397">
        <v>1</v>
      </c>
      <c r="J1397">
        <v>4</v>
      </c>
      <c r="K1397" s="6">
        <v>11</v>
      </c>
      <c r="L1397" s="2">
        <v>3.99</v>
      </c>
      <c r="M1397" s="6">
        <v>27</v>
      </c>
      <c r="N1397" t="str" cm="1">
        <f t="array" ref="N1397">_xlfn.IFS(M1397&gt;=50,"50-60 Days", M1397&gt;=40,"40-50 Days", M1397&gt;=30, "30-40 Days", M1397&gt;=20, "20-30 Days", M1397&gt;=10, "10-20 Days", M1397&gt;=0, "0-10 Days")</f>
        <v>20-30 Days</v>
      </c>
    </row>
    <row r="1398" spans="1:14">
      <c r="A1398">
        <v>1397</v>
      </c>
      <c r="B1398" t="s">
        <v>29</v>
      </c>
      <c r="C1398" s="5">
        <v>45253</v>
      </c>
      <c r="D1398" s="8">
        <v>45253</v>
      </c>
      <c r="E1398" s="8" t="str">
        <f>IF(B1398="Inactive", EDATE(D1398,K1398), "")</f>
        <v/>
      </c>
      <c r="F1398" t="s">
        <v>12</v>
      </c>
      <c r="G1398">
        <v>8.4</v>
      </c>
      <c r="H1398" t="str" cm="1">
        <f t="array" ref="H1398">_xlfn.IFS(G1398&gt;=20,"20-25", G1398&gt;=15,"15-20", G1398&gt;=10,"10-15", G1398&gt;=5,"5-10", G1398&gt;=1,"1-5", G1398&lt;1,"Less than 1")</f>
        <v>5-10</v>
      </c>
      <c r="I1398">
        <v>2</v>
      </c>
      <c r="J1398">
        <v>1</v>
      </c>
      <c r="K1398" s="6">
        <v>2</v>
      </c>
      <c r="L1398" s="2">
        <v>1.99</v>
      </c>
      <c r="M1398" s="6">
        <v>49</v>
      </c>
      <c r="N1398" t="str" cm="1">
        <f t="array" ref="N1398">_xlfn.IFS(M1398&gt;=50,"50-60 Days", M1398&gt;=40,"40-50 Days", M1398&gt;=30, "30-40 Days", M1398&gt;=20, "20-30 Days", M1398&gt;=10, "10-20 Days", M1398&gt;=0, "0-10 Days")</f>
        <v>40-50 Days</v>
      </c>
    </row>
    <row r="1399" spans="1:14">
      <c r="A1399">
        <v>1398</v>
      </c>
      <c r="B1399" t="s">
        <v>28</v>
      </c>
      <c r="C1399" s="5">
        <v>45068</v>
      </c>
      <c r="D1399" s="8">
        <v>45068</v>
      </c>
      <c r="E1399" s="8">
        <f>IF(B1399="Inactive", EDATE(D1399,K1399), "")</f>
        <v>45373</v>
      </c>
      <c r="F1399" t="s">
        <v>14</v>
      </c>
      <c r="G1399">
        <v>12.3</v>
      </c>
      <c r="H1399" t="str" cm="1">
        <f t="array" ref="H1399">_xlfn.IFS(G1399&gt;=20,"20-25", G1399&gt;=15,"15-20", G1399&gt;=10,"10-15", G1399&gt;=5,"5-10", G1399&gt;=1,"1-5", G1399&lt;1,"Less than 1")</f>
        <v>10-15</v>
      </c>
      <c r="I1399">
        <v>6</v>
      </c>
      <c r="J1399">
        <v>4</v>
      </c>
      <c r="K1399" s="6">
        <v>10</v>
      </c>
      <c r="L1399" s="2">
        <v>3.99</v>
      </c>
      <c r="M1399" s="6">
        <v>50</v>
      </c>
      <c r="N1399" t="str" cm="1">
        <f t="array" ref="N1399">_xlfn.IFS(M1399&gt;=50,"50-60 Days", M1399&gt;=40,"40-50 Days", M1399&gt;=30, "30-40 Days", M1399&gt;=20, "20-30 Days", M1399&gt;=10, "10-20 Days", M1399&gt;=0, "0-10 Days")</f>
        <v>50-60 Days</v>
      </c>
    </row>
    <row r="1400" spans="1:14">
      <c r="A1400">
        <v>1399</v>
      </c>
      <c r="B1400" t="s">
        <v>28</v>
      </c>
      <c r="C1400" s="5">
        <v>45472</v>
      </c>
      <c r="D1400" s="8">
        <v>45472</v>
      </c>
      <c r="E1400" s="8">
        <f>IF(B1400="Inactive", EDATE(D1400,K1400), "")</f>
        <v>45655</v>
      </c>
      <c r="F1400" t="s">
        <v>10</v>
      </c>
      <c r="G1400">
        <v>9.9</v>
      </c>
      <c r="H1400" t="str" cm="1">
        <f t="array" ref="H1400">_xlfn.IFS(G1400&gt;=20,"20-25", G1400&gt;=15,"15-20", G1400&gt;=10,"10-15", G1400&gt;=5,"5-10", G1400&gt;=1,"1-5", G1400&lt;1,"Less than 1")</f>
        <v>5-10</v>
      </c>
      <c r="I1400">
        <v>8</v>
      </c>
      <c r="J1400">
        <v>3</v>
      </c>
      <c r="K1400" s="6">
        <v>6</v>
      </c>
      <c r="L1400" s="2">
        <v>6.99</v>
      </c>
      <c r="M1400" s="6">
        <v>34</v>
      </c>
      <c r="N1400" t="str" cm="1">
        <f t="array" ref="N1400">_xlfn.IFS(M1400&gt;=50,"50-60 Days", M1400&gt;=40,"40-50 Days", M1400&gt;=30, "30-40 Days", M1400&gt;=20, "20-30 Days", M1400&gt;=10, "10-20 Days", M1400&gt;=0, "0-10 Days")</f>
        <v>30-40 Days</v>
      </c>
    </row>
    <row r="1401" spans="1:14">
      <c r="A1401">
        <v>1400</v>
      </c>
      <c r="B1401" t="s">
        <v>29</v>
      </c>
      <c r="C1401" s="5">
        <v>45151</v>
      </c>
      <c r="D1401" s="8">
        <v>45151</v>
      </c>
      <c r="E1401" s="8" t="str">
        <f>IF(B1401="Inactive", EDATE(D1401,K1401), "")</f>
        <v/>
      </c>
      <c r="F1401" t="s">
        <v>10</v>
      </c>
      <c r="G1401">
        <v>9.9</v>
      </c>
      <c r="H1401" t="str" cm="1">
        <f t="array" ref="H1401">_xlfn.IFS(G1401&gt;=20,"20-25", G1401&gt;=15,"15-20", G1401&gt;=10,"10-15", G1401&gt;=5,"5-10", G1401&gt;=1,"1-5", G1401&lt;1,"Less than 1")</f>
        <v>5-10</v>
      </c>
      <c r="I1401">
        <v>6</v>
      </c>
      <c r="J1401">
        <v>4</v>
      </c>
      <c r="K1401" s="6">
        <v>5</v>
      </c>
      <c r="L1401" s="2">
        <v>6.99</v>
      </c>
      <c r="M1401" s="6">
        <v>36</v>
      </c>
      <c r="N1401" t="str" cm="1">
        <f t="array" ref="N1401">_xlfn.IFS(M1401&gt;=50,"50-60 Days", M1401&gt;=40,"40-50 Days", M1401&gt;=30, "30-40 Days", M1401&gt;=20, "20-30 Days", M1401&gt;=10, "10-20 Days", M1401&gt;=0, "0-10 Days")</f>
        <v>30-40 Days</v>
      </c>
    </row>
    <row r="1402" spans="1:14">
      <c r="A1402">
        <v>1401</v>
      </c>
      <c r="B1402" t="s">
        <v>28</v>
      </c>
      <c r="C1402" s="5">
        <v>45498</v>
      </c>
      <c r="D1402" s="8">
        <v>45498</v>
      </c>
      <c r="E1402" s="8">
        <f>IF(B1402="Inactive", EDATE(D1402,K1402), "")</f>
        <v>45560</v>
      </c>
      <c r="F1402" t="s">
        <v>10</v>
      </c>
      <c r="G1402">
        <v>6.3</v>
      </c>
      <c r="H1402" t="str" cm="1">
        <f t="array" ref="H1402">_xlfn.IFS(G1402&gt;=20,"20-25", G1402&gt;=15,"15-20", G1402&gt;=10,"10-15", G1402&gt;=5,"5-10", G1402&gt;=1,"1-5", G1402&lt;1,"Less than 1")</f>
        <v>5-10</v>
      </c>
      <c r="I1402">
        <v>0</v>
      </c>
      <c r="J1402">
        <v>1</v>
      </c>
      <c r="K1402" s="6">
        <v>2</v>
      </c>
      <c r="L1402" s="2">
        <v>6.99</v>
      </c>
      <c r="M1402" s="6">
        <v>54</v>
      </c>
      <c r="N1402" t="str" cm="1">
        <f t="array" ref="N1402">_xlfn.IFS(M1402&gt;=50,"50-60 Days", M1402&gt;=40,"40-50 Days", M1402&gt;=30, "30-40 Days", M1402&gt;=20, "20-30 Days", M1402&gt;=10, "10-20 Days", M1402&gt;=0, "0-10 Days")</f>
        <v>50-60 Days</v>
      </c>
    </row>
    <row r="1403" spans="1:14">
      <c r="A1403">
        <v>1402</v>
      </c>
      <c r="B1403" t="s">
        <v>29</v>
      </c>
      <c r="C1403" s="5">
        <v>45069</v>
      </c>
      <c r="D1403" s="8">
        <v>45069</v>
      </c>
      <c r="E1403" s="8" t="str">
        <f>IF(B1403="Inactive", EDATE(D1403,K1403), "")</f>
        <v/>
      </c>
      <c r="F1403" t="s">
        <v>14</v>
      </c>
      <c r="G1403">
        <v>23.1</v>
      </c>
      <c r="H1403" t="str" cm="1">
        <f t="array" ref="H1403">_xlfn.IFS(G1403&gt;=20,"20-25", G1403&gt;=15,"15-20", G1403&gt;=10,"10-15", G1403&gt;=5,"5-10", G1403&gt;=1,"1-5", G1403&lt;1,"Less than 1")</f>
        <v>20-25</v>
      </c>
      <c r="I1403">
        <v>0</v>
      </c>
      <c r="J1403">
        <v>2</v>
      </c>
      <c r="K1403" s="6">
        <v>3</v>
      </c>
      <c r="L1403" s="2">
        <v>3.99</v>
      </c>
      <c r="M1403" s="6">
        <v>23</v>
      </c>
      <c r="N1403" t="str" cm="1">
        <f t="array" ref="N1403">_xlfn.IFS(M1403&gt;=50,"50-60 Days", M1403&gt;=40,"40-50 Days", M1403&gt;=30, "30-40 Days", M1403&gt;=20, "20-30 Days", M1403&gt;=10, "10-20 Days", M1403&gt;=0, "0-10 Days")</f>
        <v>20-30 Days</v>
      </c>
    </row>
    <row r="1404" spans="1:14">
      <c r="A1404">
        <v>1403</v>
      </c>
      <c r="B1404" t="s">
        <v>28</v>
      </c>
      <c r="C1404" s="5">
        <v>45156</v>
      </c>
      <c r="D1404" s="8">
        <v>45156</v>
      </c>
      <c r="E1404" s="8">
        <f>IF(B1404="Inactive", EDATE(D1404,K1404), "")</f>
        <v>45461</v>
      </c>
      <c r="F1404" t="s">
        <v>14</v>
      </c>
      <c r="G1404">
        <v>4</v>
      </c>
      <c r="H1404" t="str" cm="1">
        <f t="array" ref="H1404">_xlfn.IFS(G1404&gt;=20,"20-25", G1404&gt;=15,"15-20", G1404&gt;=10,"10-15", G1404&gt;=5,"5-10", G1404&gt;=1,"1-5", G1404&lt;1,"Less than 1")</f>
        <v>1-5</v>
      </c>
      <c r="I1404">
        <v>8</v>
      </c>
      <c r="J1404">
        <v>3</v>
      </c>
      <c r="K1404" s="6">
        <v>10</v>
      </c>
      <c r="L1404" s="2">
        <v>3.99</v>
      </c>
      <c r="M1404" s="6">
        <v>15</v>
      </c>
      <c r="N1404" t="str" cm="1">
        <f t="array" ref="N1404">_xlfn.IFS(M1404&gt;=50,"50-60 Days", M1404&gt;=40,"40-50 Days", M1404&gt;=30, "30-40 Days", M1404&gt;=20, "20-30 Days", M1404&gt;=10, "10-20 Days", M1404&gt;=0, "0-10 Days")</f>
        <v>10-20 Days</v>
      </c>
    </row>
    <row r="1405" spans="1:14">
      <c r="A1405">
        <v>1404</v>
      </c>
      <c r="B1405" t="s">
        <v>28</v>
      </c>
      <c r="C1405" s="5">
        <v>45361</v>
      </c>
      <c r="D1405" s="8">
        <v>45361</v>
      </c>
      <c r="E1405" s="8">
        <f>IF(B1405="Inactive", EDATE(D1405,K1405), "")</f>
        <v>45453</v>
      </c>
      <c r="F1405" t="s">
        <v>12</v>
      </c>
      <c r="G1405">
        <v>3.4</v>
      </c>
      <c r="H1405" t="str" cm="1">
        <f t="array" ref="H1405">_xlfn.IFS(G1405&gt;=20,"20-25", G1405&gt;=15,"15-20", G1405&gt;=10,"10-15", G1405&gt;=5,"5-10", G1405&gt;=1,"1-5", G1405&lt;1,"Less than 1")</f>
        <v>1-5</v>
      </c>
      <c r="I1405">
        <v>2</v>
      </c>
      <c r="J1405">
        <v>3</v>
      </c>
      <c r="K1405" s="6">
        <v>3</v>
      </c>
      <c r="L1405" s="2">
        <v>1.99</v>
      </c>
      <c r="M1405" s="6">
        <v>46</v>
      </c>
      <c r="N1405" t="str" cm="1">
        <f t="array" ref="N1405">_xlfn.IFS(M1405&gt;=50,"50-60 Days", M1405&gt;=40,"40-50 Days", M1405&gt;=30, "30-40 Days", M1405&gt;=20, "20-30 Days", M1405&gt;=10, "10-20 Days", M1405&gt;=0, "0-10 Days")</f>
        <v>40-50 Days</v>
      </c>
    </row>
    <row r="1406" spans="1:14">
      <c r="A1406">
        <v>1405</v>
      </c>
      <c r="B1406" t="s">
        <v>28</v>
      </c>
      <c r="C1406" s="5">
        <v>45088</v>
      </c>
      <c r="D1406" s="8">
        <v>45088</v>
      </c>
      <c r="E1406" s="8">
        <f>IF(B1406="Inactive", EDATE(D1406,K1406), "")</f>
        <v>45149</v>
      </c>
      <c r="F1406" t="s">
        <v>14</v>
      </c>
      <c r="G1406">
        <v>17.7</v>
      </c>
      <c r="H1406" t="str" cm="1">
        <f t="array" ref="H1406">_xlfn.IFS(G1406&gt;=20,"20-25", G1406&gt;=15,"15-20", G1406&gt;=10,"10-15", G1406&gt;=5,"5-10", G1406&gt;=1,"1-5", G1406&lt;1,"Less than 1")</f>
        <v>15-20</v>
      </c>
      <c r="I1406">
        <v>1</v>
      </c>
      <c r="J1406">
        <v>3</v>
      </c>
      <c r="K1406" s="6">
        <v>2</v>
      </c>
      <c r="L1406" s="2">
        <v>3.99</v>
      </c>
      <c r="M1406" s="6">
        <v>53</v>
      </c>
      <c r="N1406" t="str" cm="1">
        <f t="array" ref="N1406">_xlfn.IFS(M1406&gt;=50,"50-60 Days", M1406&gt;=40,"40-50 Days", M1406&gt;=30, "30-40 Days", M1406&gt;=20, "20-30 Days", M1406&gt;=10, "10-20 Days", M1406&gt;=0, "0-10 Days")</f>
        <v>50-60 Days</v>
      </c>
    </row>
    <row r="1407" spans="1:14">
      <c r="A1407">
        <v>1406</v>
      </c>
      <c r="B1407" t="s">
        <v>28</v>
      </c>
      <c r="C1407" s="5">
        <v>45353</v>
      </c>
      <c r="D1407" s="8">
        <v>45353</v>
      </c>
      <c r="E1407" s="8">
        <f>IF(B1407="Inactive", EDATE(D1407,K1407), "")</f>
        <v>45475</v>
      </c>
      <c r="F1407" t="s">
        <v>12</v>
      </c>
      <c r="G1407">
        <v>9.4</v>
      </c>
      <c r="H1407" t="str" cm="1">
        <f t="array" ref="H1407">_xlfn.IFS(G1407&gt;=20,"20-25", G1407&gt;=15,"15-20", G1407&gt;=10,"10-15", G1407&gt;=5,"5-10", G1407&gt;=1,"1-5", G1407&lt;1,"Less than 1")</f>
        <v>5-10</v>
      </c>
      <c r="I1407">
        <v>1</v>
      </c>
      <c r="J1407">
        <v>1</v>
      </c>
      <c r="K1407" s="6">
        <v>4</v>
      </c>
      <c r="L1407" s="2">
        <v>1.99</v>
      </c>
      <c r="M1407" s="6">
        <v>4</v>
      </c>
      <c r="N1407" t="str" cm="1">
        <f t="array" ref="N1407">_xlfn.IFS(M1407&gt;=50,"50-60 Days", M1407&gt;=40,"40-50 Days", M1407&gt;=30, "30-40 Days", M1407&gt;=20, "20-30 Days", M1407&gt;=10, "10-20 Days", M1407&gt;=0, "0-10 Days")</f>
        <v>0-10 Days</v>
      </c>
    </row>
    <row r="1408" spans="1:14">
      <c r="A1408">
        <v>1407</v>
      </c>
      <c r="B1408" t="s">
        <v>29</v>
      </c>
      <c r="C1408" s="5">
        <v>45233</v>
      </c>
      <c r="D1408" s="8">
        <v>45233</v>
      </c>
      <c r="E1408" s="8" t="str">
        <f>IF(B1408="Inactive", EDATE(D1408,K1408), "")</f>
        <v/>
      </c>
      <c r="F1408" t="s">
        <v>12</v>
      </c>
      <c r="G1408">
        <v>12</v>
      </c>
      <c r="H1408" t="str" cm="1">
        <f t="array" ref="H1408">_xlfn.IFS(G1408&gt;=20,"20-25", G1408&gt;=15,"15-20", G1408&gt;=10,"10-15", G1408&gt;=5,"5-10", G1408&gt;=1,"1-5", G1408&lt;1,"Less than 1")</f>
        <v>10-15</v>
      </c>
      <c r="I1408">
        <v>2</v>
      </c>
      <c r="J1408">
        <v>5</v>
      </c>
      <c r="K1408" s="6">
        <v>4</v>
      </c>
      <c r="L1408" s="2">
        <v>1.99</v>
      </c>
      <c r="M1408" s="6">
        <v>33</v>
      </c>
      <c r="N1408" t="str" cm="1">
        <f t="array" ref="N1408">_xlfn.IFS(M1408&gt;=50,"50-60 Days", M1408&gt;=40,"40-50 Days", M1408&gt;=30, "30-40 Days", M1408&gt;=20, "20-30 Days", M1408&gt;=10, "10-20 Days", M1408&gt;=0, "0-10 Days")</f>
        <v>30-40 Days</v>
      </c>
    </row>
    <row r="1409" spans="1:14">
      <c r="A1409">
        <v>1408</v>
      </c>
      <c r="B1409" t="s">
        <v>28</v>
      </c>
      <c r="C1409" s="5">
        <v>45040</v>
      </c>
      <c r="D1409" s="8">
        <v>45040</v>
      </c>
      <c r="E1409" s="8">
        <f>IF(B1409="Inactive", EDATE(D1409,K1409), "")</f>
        <v>45315</v>
      </c>
      <c r="F1409" t="s">
        <v>14</v>
      </c>
      <c r="G1409">
        <v>18.2</v>
      </c>
      <c r="H1409" t="str" cm="1">
        <f t="array" ref="H1409">_xlfn.IFS(G1409&gt;=20,"20-25", G1409&gt;=15,"15-20", G1409&gt;=10,"10-15", G1409&gt;=5,"5-10", G1409&gt;=1,"1-5", G1409&lt;1,"Less than 1")</f>
        <v>15-20</v>
      </c>
      <c r="I1409">
        <v>7</v>
      </c>
      <c r="J1409">
        <v>5</v>
      </c>
      <c r="K1409" s="6">
        <v>9</v>
      </c>
      <c r="L1409" s="2">
        <v>3.99</v>
      </c>
      <c r="M1409" s="6">
        <v>44</v>
      </c>
      <c r="N1409" t="str" cm="1">
        <f t="array" ref="N1409">_xlfn.IFS(M1409&gt;=50,"50-60 Days", M1409&gt;=40,"40-50 Days", M1409&gt;=30, "30-40 Days", M1409&gt;=20, "20-30 Days", M1409&gt;=10, "10-20 Days", M1409&gt;=0, "0-10 Days")</f>
        <v>40-50 Days</v>
      </c>
    </row>
    <row r="1410" spans="1:14">
      <c r="A1410">
        <v>1409</v>
      </c>
      <c r="B1410" t="s">
        <v>28</v>
      </c>
      <c r="C1410" s="5">
        <v>45091</v>
      </c>
      <c r="D1410" s="8">
        <v>45091</v>
      </c>
      <c r="E1410" s="8">
        <f>IF(B1410="Inactive", EDATE(D1410,K1410), "")</f>
        <v>45152</v>
      </c>
      <c r="F1410" t="s">
        <v>12</v>
      </c>
      <c r="G1410">
        <v>22.1</v>
      </c>
      <c r="H1410" t="str" cm="1">
        <f t="array" ref="H1410">_xlfn.IFS(G1410&gt;=20,"20-25", G1410&gt;=15,"15-20", G1410&gt;=10,"10-15", G1410&gt;=5,"5-10", G1410&gt;=1,"1-5", G1410&lt;1,"Less than 1")</f>
        <v>20-25</v>
      </c>
      <c r="I1410">
        <v>0</v>
      </c>
      <c r="J1410">
        <v>4</v>
      </c>
      <c r="K1410" s="6">
        <v>2</v>
      </c>
      <c r="L1410" s="2">
        <v>1.99</v>
      </c>
      <c r="M1410" s="6">
        <v>48</v>
      </c>
      <c r="N1410" t="str" cm="1">
        <f t="array" ref="N1410">_xlfn.IFS(M1410&gt;=50,"50-60 Days", M1410&gt;=40,"40-50 Days", M1410&gt;=30, "30-40 Days", M1410&gt;=20, "20-30 Days", M1410&gt;=10, "10-20 Days", M1410&gt;=0, "0-10 Days")</f>
        <v>40-50 Days</v>
      </c>
    </row>
    <row r="1411" spans="1:14">
      <c r="A1411">
        <v>1410</v>
      </c>
      <c r="B1411" t="s">
        <v>29</v>
      </c>
      <c r="C1411" s="5">
        <v>45512</v>
      </c>
      <c r="D1411" s="8">
        <v>45512</v>
      </c>
      <c r="E1411" s="8" t="str">
        <f>IF(B1411="Inactive", EDATE(D1411,K1411), "")</f>
        <v/>
      </c>
      <c r="F1411" t="s">
        <v>12</v>
      </c>
      <c r="G1411">
        <v>20.9</v>
      </c>
      <c r="H1411" t="str" cm="1">
        <f t="array" ref="H1411">_xlfn.IFS(G1411&gt;=20,"20-25", G1411&gt;=15,"15-20", G1411&gt;=10,"10-15", G1411&gt;=5,"5-10", G1411&gt;=1,"1-5", G1411&lt;1,"Less than 1")</f>
        <v>20-25</v>
      </c>
      <c r="I1411">
        <v>7</v>
      </c>
      <c r="J1411">
        <v>4</v>
      </c>
      <c r="K1411" s="6">
        <v>9</v>
      </c>
      <c r="L1411" s="2">
        <v>1.99</v>
      </c>
      <c r="M1411" s="6">
        <v>45</v>
      </c>
      <c r="N1411" t="str" cm="1">
        <f t="array" ref="N1411">_xlfn.IFS(M1411&gt;=50,"50-60 Days", M1411&gt;=40,"40-50 Days", M1411&gt;=30, "30-40 Days", M1411&gt;=20, "20-30 Days", M1411&gt;=10, "10-20 Days", M1411&gt;=0, "0-10 Days")</f>
        <v>40-50 Days</v>
      </c>
    </row>
    <row r="1412" spans="1:14">
      <c r="A1412">
        <v>1411</v>
      </c>
      <c r="B1412" t="s">
        <v>29</v>
      </c>
      <c r="C1412" s="5">
        <v>45461</v>
      </c>
      <c r="D1412" s="8">
        <v>45461</v>
      </c>
      <c r="E1412" s="8" t="str">
        <f>IF(B1412="Inactive", EDATE(D1412,K1412), "")</f>
        <v/>
      </c>
      <c r="F1412" t="s">
        <v>10</v>
      </c>
      <c r="G1412">
        <v>17.899999999999999</v>
      </c>
      <c r="H1412" t="str" cm="1">
        <f t="array" ref="H1412">_xlfn.IFS(G1412&gt;=20,"20-25", G1412&gt;=15,"15-20", G1412&gt;=10,"10-15", G1412&gt;=5,"5-10", G1412&gt;=1,"1-5", G1412&lt;1,"Less than 1")</f>
        <v>15-20</v>
      </c>
      <c r="I1412">
        <v>6</v>
      </c>
      <c r="J1412">
        <v>1</v>
      </c>
      <c r="K1412" s="6">
        <v>7</v>
      </c>
      <c r="L1412" s="2">
        <v>6.99</v>
      </c>
      <c r="M1412" s="6">
        <v>17</v>
      </c>
      <c r="N1412" t="str" cm="1">
        <f t="array" ref="N1412">_xlfn.IFS(M1412&gt;=50,"50-60 Days", M1412&gt;=40,"40-50 Days", M1412&gt;=30, "30-40 Days", M1412&gt;=20, "20-30 Days", M1412&gt;=10, "10-20 Days", M1412&gt;=0, "0-10 Days")</f>
        <v>10-20 Days</v>
      </c>
    </row>
    <row r="1413" spans="1:14">
      <c r="A1413">
        <v>1412</v>
      </c>
      <c r="B1413" t="s">
        <v>28</v>
      </c>
      <c r="C1413" s="5">
        <v>45115</v>
      </c>
      <c r="D1413" s="8">
        <v>45115</v>
      </c>
      <c r="E1413" s="8">
        <f>IF(B1413="Inactive", EDATE(D1413,K1413), "")</f>
        <v>45207</v>
      </c>
      <c r="F1413" t="s">
        <v>14</v>
      </c>
      <c r="G1413">
        <v>18.7</v>
      </c>
      <c r="H1413" t="str" cm="1">
        <f t="array" ref="H1413">_xlfn.IFS(G1413&gt;=20,"20-25", G1413&gt;=15,"15-20", G1413&gt;=10,"10-15", G1413&gt;=5,"5-10", G1413&gt;=1,"1-5", G1413&lt;1,"Less than 1")</f>
        <v>15-20</v>
      </c>
      <c r="I1413">
        <v>6</v>
      </c>
      <c r="J1413">
        <v>4</v>
      </c>
      <c r="K1413" s="6">
        <v>3</v>
      </c>
      <c r="L1413" s="2">
        <v>3.99</v>
      </c>
      <c r="M1413" s="6">
        <v>3</v>
      </c>
      <c r="N1413" t="str" cm="1">
        <f t="array" ref="N1413">_xlfn.IFS(M1413&gt;=50,"50-60 Days", M1413&gt;=40,"40-50 Days", M1413&gt;=30, "30-40 Days", M1413&gt;=20, "20-30 Days", M1413&gt;=10, "10-20 Days", M1413&gt;=0, "0-10 Days")</f>
        <v>0-10 Days</v>
      </c>
    </row>
    <row r="1414" spans="1:14">
      <c r="A1414">
        <v>1413</v>
      </c>
      <c r="B1414" t="s">
        <v>28</v>
      </c>
      <c r="C1414" s="5">
        <v>45595</v>
      </c>
      <c r="D1414" s="8">
        <v>45595</v>
      </c>
      <c r="E1414" s="8">
        <f>IF(B1414="Inactive", EDATE(D1414,K1414), "")</f>
        <v>45960</v>
      </c>
      <c r="F1414" t="s">
        <v>10</v>
      </c>
      <c r="G1414">
        <v>15.3</v>
      </c>
      <c r="H1414" t="str" cm="1">
        <f t="array" ref="H1414">_xlfn.IFS(G1414&gt;=20,"20-25", G1414&gt;=15,"15-20", G1414&gt;=10,"10-15", G1414&gt;=5,"5-10", G1414&gt;=1,"1-5", G1414&lt;1,"Less than 1")</f>
        <v>15-20</v>
      </c>
      <c r="I1414">
        <v>1</v>
      </c>
      <c r="J1414">
        <v>5</v>
      </c>
      <c r="K1414" s="6">
        <v>12</v>
      </c>
      <c r="L1414" s="2">
        <v>6.99</v>
      </c>
      <c r="M1414" s="6">
        <v>29</v>
      </c>
      <c r="N1414" t="str" cm="1">
        <f t="array" ref="N1414">_xlfn.IFS(M1414&gt;=50,"50-60 Days", M1414&gt;=40,"40-50 Days", M1414&gt;=30, "30-40 Days", M1414&gt;=20, "20-30 Days", M1414&gt;=10, "10-20 Days", M1414&gt;=0, "0-10 Days")</f>
        <v>20-30 Days</v>
      </c>
    </row>
    <row r="1415" spans="1:14">
      <c r="A1415">
        <v>1414</v>
      </c>
      <c r="B1415" t="s">
        <v>29</v>
      </c>
      <c r="C1415" s="5">
        <v>45361</v>
      </c>
      <c r="D1415" s="8">
        <v>45361</v>
      </c>
      <c r="E1415" s="8" t="str">
        <f>IF(B1415="Inactive", EDATE(D1415,K1415), "")</f>
        <v/>
      </c>
      <c r="F1415" t="s">
        <v>10</v>
      </c>
      <c r="G1415">
        <v>20.8</v>
      </c>
      <c r="H1415" t="str" cm="1">
        <f t="array" ref="H1415">_xlfn.IFS(G1415&gt;=20,"20-25", G1415&gt;=15,"15-20", G1415&gt;=10,"10-15", G1415&gt;=5,"5-10", G1415&gt;=1,"1-5", G1415&lt;1,"Less than 1")</f>
        <v>20-25</v>
      </c>
      <c r="I1415">
        <v>2</v>
      </c>
      <c r="J1415">
        <v>0</v>
      </c>
      <c r="K1415" s="6">
        <v>9</v>
      </c>
      <c r="L1415" s="2">
        <v>6.99</v>
      </c>
      <c r="M1415" s="6">
        <v>51</v>
      </c>
      <c r="N1415" t="str" cm="1">
        <f t="array" ref="N1415">_xlfn.IFS(M1415&gt;=50,"50-60 Days", M1415&gt;=40,"40-50 Days", M1415&gt;=30, "30-40 Days", M1415&gt;=20, "20-30 Days", M1415&gt;=10, "10-20 Days", M1415&gt;=0, "0-10 Days")</f>
        <v>50-60 Days</v>
      </c>
    </row>
    <row r="1416" spans="1:14">
      <c r="A1416">
        <v>1415</v>
      </c>
      <c r="B1416" t="s">
        <v>28</v>
      </c>
      <c r="C1416" s="5">
        <v>45270</v>
      </c>
      <c r="D1416" s="8">
        <v>45270</v>
      </c>
      <c r="E1416" s="8">
        <f>IF(B1416="Inactive", EDATE(D1416,K1416), "")</f>
        <v>45453</v>
      </c>
      <c r="F1416" t="s">
        <v>12</v>
      </c>
      <c r="G1416">
        <v>3.2</v>
      </c>
      <c r="H1416" t="str" cm="1">
        <f t="array" ref="H1416">_xlfn.IFS(G1416&gt;=20,"20-25", G1416&gt;=15,"15-20", G1416&gt;=10,"10-15", G1416&gt;=5,"5-10", G1416&gt;=1,"1-5", G1416&lt;1,"Less than 1")</f>
        <v>1-5</v>
      </c>
      <c r="I1416">
        <v>1</v>
      </c>
      <c r="J1416">
        <v>2</v>
      </c>
      <c r="K1416" s="6">
        <v>6</v>
      </c>
      <c r="L1416" s="2">
        <v>1.99</v>
      </c>
      <c r="M1416" s="6">
        <v>38</v>
      </c>
      <c r="N1416" t="str" cm="1">
        <f t="array" ref="N1416">_xlfn.IFS(M1416&gt;=50,"50-60 Days", M1416&gt;=40,"40-50 Days", M1416&gt;=30, "30-40 Days", M1416&gt;=20, "20-30 Days", M1416&gt;=10, "10-20 Days", M1416&gt;=0, "0-10 Days")</f>
        <v>30-40 Days</v>
      </c>
    </row>
    <row r="1417" spans="1:14">
      <c r="A1417">
        <v>1416</v>
      </c>
      <c r="B1417" t="s">
        <v>28</v>
      </c>
      <c r="C1417" s="5">
        <v>44938</v>
      </c>
      <c r="D1417" s="8">
        <v>44938</v>
      </c>
      <c r="E1417" s="8">
        <f>IF(B1417="Inactive", EDATE(D1417,K1417), "")</f>
        <v>45119</v>
      </c>
      <c r="F1417" t="s">
        <v>12</v>
      </c>
      <c r="G1417">
        <v>7.4</v>
      </c>
      <c r="H1417" t="str" cm="1">
        <f t="array" ref="H1417">_xlfn.IFS(G1417&gt;=20,"20-25", G1417&gt;=15,"15-20", G1417&gt;=10,"10-15", G1417&gt;=5,"5-10", G1417&gt;=1,"1-5", G1417&lt;1,"Less than 1")</f>
        <v>5-10</v>
      </c>
      <c r="I1417">
        <v>8</v>
      </c>
      <c r="J1417">
        <v>0</v>
      </c>
      <c r="K1417" s="6">
        <v>6</v>
      </c>
      <c r="L1417" s="2">
        <v>1.99</v>
      </c>
      <c r="M1417" s="6">
        <v>4</v>
      </c>
      <c r="N1417" t="str" cm="1">
        <f t="array" ref="N1417">_xlfn.IFS(M1417&gt;=50,"50-60 Days", M1417&gt;=40,"40-50 Days", M1417&gt;=30, "30-40 Days", M1417&gt;=20, "20-30 Days", M1417&gt;=10, "10-20 Days", M1417&gt;=0, "0-10 Days")</f>
        <v>0-10 Days</v>
      </c>
    </row>
    <row r="1418" spans="1:14">
      <c r="A1418">
        <v>1417</v>
      </c>
      <c r="B1418" t="s">
        <v>28</v>
      </c>
      <c r="C1418" s="5">
        <v>45510</v>
      </c>
      <c r="D1418" s="8">
        <v>45510</v>
      </c>
      <c r="E1418" s="8">
        <f>IF(B1418="Inactive", EDATE(D1418,K1418), "")</f>
        <v>45663</v>
      </c>
      <c r="F1418" t="s">
        <v>14</v>
      </c>
      <c r="G1418">
        <v>14</v>
      </c>
      <c r="H1418" t="str" cm="1">
        <f t="array" ref="H1418">_xlfn.IFS(G1418&gt;=20,"20-25", G1418&gt;=15,"15-20", G1418&gt;=10,"10-15", G1418&gt;=5,"5-10", G1418&gt;=1,"1-5", G1418&lt;1,"Less than 1")</f>
        <v>10-15</v>
      </c>
      <c r="I1418">
        <v>0</v>
      </c>
      <c r="J1418">
        <v>1</v>
      </c>
      <c r="K1418" s="6">
        <v>5</v>
      </c>
      <c r="L1418" s="2">
        <v>3.99</v>
      </c>
      <c r="M1418" s="6">
        <v>17</v>
      </c>
      <c r="N1418" t="str" cm="1">
        <f t="array" ref="N1418">_xlfn.IFS(M1418&gt;=50,"50-60 Days", M1418&gt;=40,"40-50 Days", M1418&gt;=30, "30-40 Days", M1418&gt;=20, "20-30 Days", M1418&gt;=10, "10-20 Days", M1418&gt;=0, "0-10 Days")</f>
        <v>10-20 Days</v>
      </c>
    </row>
    <row r="1419" spans="1:14">
      <c r="A1419">
        <v>1418</v>
      </c>
      <c r="B1419" t="s">
        <v>29</v>
      </c>
      <c r="C1419" s="5">
        <v>45243</v>
      </c>
      <c r="D1419" s="8">
        <v>45243</v>
      </c>
      <c r="E1419" s="8" t="str">
        <f>IF(B1419="Inactive", EDATE(D1419,K1419), "")</f>
        <v/>
      </c>
      <c r="F1419" t="s">
        <v>10</v>
      </c>
      <c r="G1419">
        <v>14.3</v>
      </c>
      <c r="H1419" t="str" cm="1">
        <f t="array" ref="H1419">_xlfn.IFS(G1419&gt;=20,"20-25", G1419&gt;=15,"15-20", G1419&gt;=10,"10-15", G1419&gt;=5,"5-10", G1419&gt;=1,"1-5", G1419&lt;1,"Less than 1")</f>
        <v>10-15</v>
      </c>
      <c r="I1419">
        <v>7</v>
      </c>
      <c r="J1419">
        <v>0</v>
      </c>
      <c r="K1419" s="6">
        <v>1</v>
      </c>
      <c r="L1419" s="2">
        <v>6.99</v>
      </c>
      <c r="M1419" s="6">
        <v>3</v>
      </c>
      <c r="N1419" t="str" cm="1">
        <f t="array" ref="N1419">_xlfn.IFS(M1419&gt;=50,"50-60 Days", M1419&gt;=40,"40-50 Days", M1419&gt;=30, "30-40 Days", M1419&gt;=20, "20-30 Days", M1419&gt;=10, "10-20 Days", M1419&gt;=0, "0-10 Days")</f>
        <v>0-10 Days</v>
      </c>
    </row>
    <row r="1420" spans="1:14">
      <c r="A1420">
        <v>1419</v>
      </c>
      <c r="B1420" t="s">
        <v>28</v>
      </c>
      <c r="C1420" s="5">
        <v>45327</v>
      </c>
      <c r="D1420" s="8">
        <v>45327</v>
      </c>
      <c r="E1420" s="8">
        <f>IF(B1420="Inactive", EDATE(D1420,K1420), "")</f>
        <v>45570</v>
      </c>
      <c r="F1420" t="s">
        <v>12</v>
      </c>
      <c r="G1420">
        <v>18.899999999999999</v>
      </c>
      <c r="H1420" t="str" cm="1">
        <f t="array" ref="H1420">_xlfn.IFS(G1420&gt;=20,"20-25", G1420&gt;=15,"15-20", G1420&gt;=10,"10-15", G1420&gt;=5,"5-10", G1420&gt;=1,"1-5", G1420&lt;1,"Less than 1")</f>
        <v>15-20</v>
      </c>
      <c r="I1420">
        <v>6</v>
      </c>
      <c r="J1420">
        <v>4</v>
      </c>
      <c r="K1420" s="6">
        <v>8</v>
      </c>
      <c r="L1420" s="2">
        <v>1.99</v>
      </c>
      <c r="M1420" s="6">
        <v>12</v>
      </c>
      <c r="N1420" t="str" cm="1">
        <f t="array" ref="N1420">_xlfn.IFS(M1420&gt;=50,"50-60 Days", M1420&gt;=40,"40-50 Days", M1420&gt;=30, "30-40 Days", M1420&gt;=20, "20-30 Days", M1420&gt;=10, "10-20 Days", M1420&gt;=0, "0-10 Days")</f>
        <v>10-20 Days</v>
      </c>
    </row>
    <row r="1421" spans="1:14">
      <c r="A1421">
        <v>1420</v>
      </c>
      <c r="B1421" t="s">
        <v>29</v>
      </c>
      <c r="C1421" s="5">
        <v>45442</v>
      </c>
      <c r="D1421" s="8">
        <v>45442</v>
      </c>
      <c r="E1421" s="8" t="str">
        <f>IF(B1421="Inactive", EDATE(D1421,K1421), "")</f>
        <v/>
      </c>
      <c r="F1421" t="s">
        <v>10</v>
      </c>
      <c r="G1421">
        <v>24.4</v>
      </c>
      <c r="H1421" t="str" cm="1">
        <f t="array" ref="H1421">_xlfn.IFS(G1421&gt;=20,"20-25", G1421&gt;=15,"15-20", G1421&gt;=10,"10-15", G1421&gt;=5,"5-10", G1421&gt;=1,"1-5", G1421&lt;1,"Less than 1")</f>
        <v>20-25</v>
      </c>
      <c r="I1421">
        <v>1</v>
      </c>
      <c r="J1421">
        <v>2</v>
      </c>
      <c r="K1421" s="6">
        <v>8</v>
      </c>
      <c r="L1421" s="2">
        <v>6.99</v>
      </c>
      <c r="M1421" s="6">
        <v>26</v>
      </c>
      <c r="N1421" t="str" cm="1">
        <f t="array" ref="N1421">_xlfn.IFS(M1421&gt;=50,"50-60 Days", M1421&gt;=40,"40-50 Days", M1421&gt;=30, "30-40 Days", M1421&gt;=20, "20-30 Days", M1421&gt;=10, "10-20 Days", M1421&gt;=0, "0-10 Days")</f>
        <v>20-30 Days</v>
      </c>
    </row>
    <row r="1422" spans="1:14">
      <c r="A1422">
        <v>1421</v>
      </c>
      <c r="B1422" t="s">
        <v>29</v>
      </c>
      <c r="C1422" s="5">
        <v>45415</v>
      </c>
      <c r="D1422" s="8">
        <v>45415</v>
      </c>
      <c r="E1422" s="8" t="str">
        <f>IF(B1422="Inactive", EDATE(D1422,K1422), "")</f>
        <v/>
      </c>
      <c r="F1422" t="s">
        <v>12</v>
      </c>
      <c r="G1422">
        <v>20.3</v>
      </c>
      <c r="H1422" t="str" cm="1">
        <f t="array" ref="H1422">_xlfn.IFS(G1422&gt;=20,"20-25", G1422&gt;=15,"15-20", G1422&gt;=10,"10-15", G1422&gt;=5,"5-10", G1422&gt;=1,"1-5", G1422&lt;1,"Less than 1")</f>
        <v>20-25</v>
      </c>
      <c r="I1422">
        <v>2</v>
      </c>
      <c r="J1422">
        <v>0</v>
      </c>
      <c r="K1422" s="6">
        <v>11</v>
      </c>
      <c r="L1422" s="2">
        <v>1.99</v>
      </c>
      <c r="M1422" s="6">
        <v>37</v>
      </c>
      <c r="N1422" t="str" cm="1">
        <f t="array" ref="N1422">_xlfn.IFS(M1422&gt;=50,"50-60 Days", M1422&gt;=40,"40-50 Days", M1422&gt;=30, "30-40 Days", M1422&gt;=20, "20-30 Days", M1422&gt;=10, "10-20 Days", M1422&gt;=0, "0-10 Days")</f>
        <v>30-40 Days</v>
      </c>
    </row>
    <row r="1423" spans="1:14">
      <c r="A1423">
        <v>1422</v>
      </c>
      <c r="B1423" t="s">
        <v>28</v>
      </c>
      <c r="C1423" s="5">
        <v>45567</v>
      </c>
      <c r="D1423" s="8">
        <v>45567</v>
      </c>
      <c r="E1423" s="8">
        <f>IF(B1423="Inactive", EDATE(D1423,K1423), "")</f>
        <v>45598</v>
      </c>
      <c r="F1423" t="s">
        <v>10</v>
      </c>
      <c r="G1423">
        <v>7.6</v>
      </c>
      <c r="H1423" t="str" cm="1">
        <f t="array" ref="H1423">_xlfn.IFS(G1423&gt;=20,"20-25", G1423&gt;=15,"15-20", G1423&gt;=10,"10-15", G1423&gt;=5,"5-10", G1423&gt;=1,"1-5", G1423&lt;1,"Less than 1")</f>
        <v>5-10</v>
      </c>
      <c r="I1423">
        <v>2</v>
      </c>
      <c r="J1423">
        <v>5</v>
      </c>
      <c r="K1423" s="6">
        <v>1</v>
      </c>
      <c r="L1423" s="2">
        <v>6.99</v>
      </c>
      <c r="M1423" s="6">
        <v>29</v>
      </c>
      <c r="N1423" t="str" cm="1">
        <f t="array" ref="N1423">_xlfn.IFS(M1423&gt;=50,"50-60 Days", M1423&gt;=40,"40-50 Days", M1423&gt;=30, "30-40 Days", M1423&gt;=20, "20-30 Days", M1423&gt;=10, "10-20 Days", M1423&gt;=0, "0-10 Days")</f>
        <v>20-30 Days</v>
      </c>
    </row>
    <row r="1424" spans="1:14">
      <c r="A1424">
        <v>1423</v>
      </c>
      <c r="B1424" t="s">
        <v>29</v>
      </c>
      <c r="C1424" s="5">
        <v>45440</v>
      </c>
      <c r="D1424" s="8">
        <v>45440</v>
      </c>
      <c r="E1424" s="8" t="str">
        <f>IF(B1424="Inactive", EDATE(D1424,K1424), "")</f>
        <v/>
      </c>
      <c r="F1424" t="s">
        <v>12</v>
      </c>
      <c r="G1424">
        <v>22.2</v>
      </c>
      <c r="H1424" t="str" cm="1">
        <f t="array" ref="H1424">_xlfn.IFS(G1424&gt;=20,"20-25", G1424&gt;=15,"15-20", G1424&gt;=10,"10-15", G1424&gt;=5,"5-10", G1424&gt;=1,"1-5", G1424&lt;1,"Less than 1")</f>
        <v>20-25</v>
      </c>
      <c r="I1424">
        <v>2</v>
      </c>
      <c r="J1424">
        <v>5</v>
      </c>
      <c r="K1424" s="6">
        <v>5</v>
      </c>
      <c r="L1424" s="2">
        <v>1.99</v>
      </c>
      <c r="M1424" s="6">
        <v>10</v>
      </c>
      <c r="N1424" t="str" cm="1">
        <f t="array" ref="N1424">_xlfn.IFS(M1424&gt;=50,"50-60 Days", M1424&gt;=40,"40-50 Days", M1424&gt;=30, "30-40 Days", M1424&gt;=20, "20-30 Days", M1424&gt;=10, "10-20 Days", M1424&gt;=0, "0-10 Days")</f>
        <v>10-20 Days</v>
      </c>
    </row>
    <row r="1425" spans="1:14">
      <c r="A1425">
        <v>1424</v>
      </c>
      <c r="B1425" t="s">
        <v>28</v>
      </c>
      <c r="C1425" s="5">
        <v>45224</v>
      </c>
      <c r="D1425" s="8">
        <v>45224</v>
      </c>
      <c r="E1425" s="8">
        <f>IF(B1425="Inactive", EDATE(D1425,K1425), "")</f>
        <v>45590</v>
      </c>
      <c r="F1425" t="s">
        <v>10</v>
      </c>
      <c r="G1425">
        <v>23.3</v>
      </c>
      <c r="H1425" t="str" cm="1">
        <f t="array" ref="H1425">_xlfn.IFS(G1425&gt;=20,"20-25", G1425&gt;=15,"15-20", G1425&gt;=10,"10-15", G1425&gt;=5,"5-10", G1425&gt;=1,"1-5", G1425&lt;1,"Less than 1")</f>
        <v>20-25</v>
      </c>
      <c r="I1425">
        <v>5</v>
      </c>
      <c r="J1425">
        <v>3</v>
      </c>
      <c r="K1425" s="6">
        <v>12</v>
      </c>
      <c r="L1425" s="2">
        <v>6.99</v>
      </c>
      <c r="M1425" s="6">
        <v>50</v>
      </c>
      <c r="N1425" t="str" cm="1">
        <f t="array" ref="N1425">_xlfn.IFS(M1425&gt;=50,"50-60 Days", M1425&gt;=40,"40-50 Days", M1425&gt;=30, "30-40 Days", M1425&gt;=20, "20-30 Days", M1425&gt;=10, "10-20 Days", M1425&gt;=0, "0-10 Days")</f>
        <v>50-60 Days</v>
      </c>
    </row>
    <row r="1426" spans="1:14">
      <c r="A1426">
        <v>1425</v>
      </c>
      <c r="B1426" t="s">
        <v>29</v>
      </c>
      <c r="C1426" s="5">
        <v>45548</v>
      </c>
      <c r="D1426" s="8">
        <v>45548</v>
      </c>
      <c r="E1426" s="8" t="str">
        <f>IF(B1426="Inactive", EDATE(D1426,K1426), "")</f>
        <v/>
      </c>
      <c r="F1426" t="s">
        <v>14</v>
      </c>
      <c r="G1426">
        <v>1.5</v>
      </c>
      <c r="H1426" t="str" cm="1">
        <f t="array" ref="H1426">_xlfn.IFS(G1426&gt;=20,"20-25", G1426&gt;=15,"15-20", G1426&gt;=10,"10-15", G1426&gt;=5,"5-10", G1426&gt;=1,"1-5", G1426&lt;1,"Less than 1")</f>
        <v>1-5</v>
      </c>
      <c r="I1426">
        <v>6</v>
      </c>
      <c r="J1426">
        <v>1</v>
      </c>
      <c r="K1426" s="6">
        <v>10</v>
      </c>
      <c r="L1426" s="2">
        <v>3.99</v>
      </c>
      <c r="M1426" s="6">
        <v>13</v>
      </c>
      <c r="N1426" t="str" cm="1">
        <f t="array" ref="N1426">_xlfn.IFS(M1426&gt;=50,"50-60 Days", M1426&gt;=40,"40-50 Days", M1426&gt;=30, "30-40 Days", M1426&gt;=20, "20-30 Days", M1426&gt;=10, "10-20 Days", M1426&gt;=0, "0-10 Days")</f>
        <v>10-20 Days</v>
      </c>
    </row>
    <row r="1427" spans="1:14">
      <c r="A1427">
        <v>1426</v>
      </c>
      <c r="B1427" t="s">
        <v>28</v>
      </c>
      <c r="C1427" s="5">
        <v>45243</v>
      </c>
      <c r="D1427" s="8">
        <v>45243</v>
      </c>
      <c r="E1427" s="8">
        <f>IF(B1427="Inactive", EDATE(D1427,K1427), "")</f>
        <v>45364</v>
      </c>
      <c r="F1427" t="s">
        <v>12</v>
      </c>
      <c r="G1427">
        <v>14.4</v>
      </c>
      <c r="H1427" t="str" cm="1">
        <f t="array" ref="H1427">_xlfn.IFS(G1427&gt;=20,"20-25", G1427&gt;=15,"15-20", G1427&gt;=10,"10-15", G1427&gt;=5,"5-10", G1427&gt;=1,"1-5", G1427&lt;1,"Less than 1")</f>
        <v>10-15</v>
      </c>
      <c r="I1427">
        <v>7</v>
      </c>
      <c r="J1427">
        <v>0</v>
      </c>
      <c r="K1427" s="6">
        <v>4</v>
      </c>
      <c r="L1427" s="2">
        <v>1.99</v>
      </c>
      <c r="M1427" s="6">
        <v>51</v>
      </c>
      <c r="N1427" t="str" cm="1">
        <f t="array" ref="N1427">_xlfn.IFS(M1427&gt;=50,"50-60 Days", M1427&gt;=40,"40-50 Days", M1427&gt;=30, "30-40 Days", M1427&gt;=20, "20-30 Days", M1427&gt;=10, "10-20 Days", M1427&gt;=0, "0-10 Days")</f>
        <v>50-60 Days</v>
      </c>
    </row>
    <row r="1428" spans="1:14">
      <c r="A1428">
        <v>1427</v>
      </c>
      <c r="B1428" t="s">
        <v>29</v>
      </c>
      <c r="C1428" s="5">
        <v>45092</v>
      </c>
      <c r="D1428" s="8">
        <v>45092</v>
      </c>
      <c r="E1428" s="8" t="str">
        <f>IF(B1428="Inactive", EDATE(D1428,K1428), "")</f>
        <v/>
      </c>
      <c r="F1428" t="s">
        <v>10</v>
      </c>
      <c r="G1428">
        <v>12.7</v>
      </c>
      <c r="H1428" t="str" cm="1">
        <f t="array" ref="H1428">_xlfn.IFS(G1428&gt;=20,"20-25", G1428&gt;=15,"15-20", G1428&gt;=10,"10-15", G1428&gt;=5,"5-10", G1428&gt;=1,"1-5", G1428&lt;1,"Less than 1")</f>
        <v>10-15</v>
      </c>
      <c r="I1428">
        <v>7</v>
      </c>
      <c r="J1428">
        <v>2</v>
      </c>
      <c r="K1428" s="6">
        <v>2</v>
      </c>
      <c r="L1428" s="2">
        <v>6.99</v>
      </c>
      <c r="M1428" s="6">
        <v>10</v>
      </c>
      <c r="N1428" t="str" cm="1">
        <f t="array" ref="N1428">_xlfn.IFS(M1428&gt;=50,"50-60 Days", M1428&gt;=40,"40-50 Days", M1428&gt;=30, "30-40 Days", M1428&gt;=20, "20-30 Days", M1428&gt;=10, "10-20 Days", M1428&gt;=0, "0-10 Days")</f>
        <v>10-20 Days</v>
      </c>
    </row>
    <row r="1429" spans="1:14">
      <c r="A1429">
        <v>1428</v>
      </c>
      <c r="B1429" t="s">
        <v>28</v>
      </c>
      <c r="C1429" s="5">
        <v>45398</v>
      </c>
      <c r="D1429" s="8">
        <v>45398</v>
      </c>
      <c r="E1429" s="8">
        <f>IF(B1429="Inactive", EDATE(D1429,K1429), "")</f>
        <v>45581</v>
      </c>
      <c r="F1429" t="s">
        <v>12</v>
      </c>
      <c r="G1429">
        <v>14.6</v>
      </c>
      <c r="H1429" t="str" cm="1">
        <f t="array" ref="H1429">_xlfn.IFS(G1429&gt;=20,"20-25", G1429&gt;=15,"15-20", G1429&gt;=10,"10-15", G1429&gt;=5,"5-10", G1429&gt;=1,"1-5", G1429&lt;1,"Less than 1")</f>
        <v>10-15</v>
      </c>
      <c r="I1429">
        <v>5</v>
      </c>
      <c r="J1429">
        <v>0</v>
      </c>
      <c r="K1429" s="6">
        <v>6</v>
      </c>
      <c r="L1429" s="2">
        <v>1.99</v>
      </c>
      <c r="M1429" s="6">
        <v>4</v>
      </c>
      <c r="N1429" t="str" cm="1">
        <f t="array" ref="N1429">_xlfn.IFS(M1429&gt;=50,"50-60 Days", M1429&gt;=40,"40-50 Days", M1429&gt;=30, "30-40 Days", M1429&gt;=20, "20-30 Days", M1429&gt;=10, "10-20 Days", M1429&gt;=0, "0-10 Days")</f>
        <v>0-10 Days</v>
      </c>
    </row>
    <row r="1430" spans="1:14">
      <c r="A1430">
        <v>1429</v>
      </c>
      <c r="B1430" t="s">
        <v>28</v>
      </c>
      <c r="C1430" s="5">
        <v>45053</v>
      </c>
      <c r="D1430" s="8">
        <v>45053</v>
      </c>
      <c r="E1430" s="8">
        <f>IF(B1430="Inactive", EDATE(D1430,K1430), "")</f>
        <v>45389</v>
      </c>
      <c r="F1430" t="s">
        <v>14</v>
      </c>
      <c r="G1430">
        <v>24.5</v>
      </c>
      <c r="H1430" t="str" cm="1">
        <f t="array" ref="H1430">_xlfn.IFS(G1430&gt;=20,"20-25", G1430&gt;=15,"15-20", G1430&gt;=10,"10-15", G1430&gt;=5,"5-10", G1430&gt;=1,"1-5", G1430&lt;1,"Less than 1")</f>
        <v>20-25</v>
      </c>
      <c r="I1430">
        <v>7</v>
      </c>
      <c r="J1430">
        <v>5</v>
      </c>
      <c r="K1430" s="6">
        <v>11</v>
      </c>
      <c r="L1430" s="2">
        <v>3.99</v>
      </c>
      <c r="M1430" s="6">
        <v>59</v>
      </c>
      <c r="N1430" t="str" cm="1">
        <f t="array" ref="N1430">_xlfn.IFS(M1430&gt;=50,"50-60 Days", M1430&gt;=40,"40-50 Days", M1430&gt;=30, "30-40 Days", M1430&gt;=20, "20-30 Days", M1430&gt;=10, "10-20 Days", M1430&gt;=0, "0-10 Days")</f>
        <v>50-60 Days</v>
      </c>
    </row>
    <row r="1431" spans="1:14">
      <c r="A1431">
        <v>1430</v>
      </c>
      <c r="B1431" t="s">
        <v>28</v>
      </c>
      <c r="C1431" s="5">
        <v>45623</v>
      </c>
      <c r="D1431" s="8">
        <v>45623</v>
      </c>
      <c r="E1431" s="8">
        <f>IF(B1431="Inactive", EDATE(D1431,K1431), "")</f>
        <v>45957</v>
      </c>
      <c r="F1431" t="s">
        <v>10</v>
      </c>
      <c r="G1431">
        <v>1.5</v>
      </c>
      <c r="H1431" t="str" cm="1">
        <f t="array" ref="H1431">_xlfn.IFS(G1431&gt;=20,"20-25", G1431&gt;=15,"15-20", G1431&gt;=10,"10-15", G1431&gt;=5,"5-10", G1431&gt;=1,"1-5", G1431&lt;1,"Less than 1")</f>
        <v>1-5</v>
      </c>
      <c r="I1431">
        <v>4</v>
      </c>
      <c r="J1431">
        <v>3</v>
      </c>
      <c r="K1431" s="6">
        <v>11</v>
      </c>
      <c r="L1431" s="2">
        <v>6.99</v>
      </c>
      <c r="M1431" s="6">
        <v>26</v>
      </c>
      <c r="N1431" t="str" cm="1">
        <f t="array" ref="N1431">_xlfn.IFS(M1431&gt;=50,"50-60 Days", M1431&gt;=40,"40-50 Days", M1431&gt;=30, "30-40 Days", M1431&gt;=20, "20-30 Days", M1431&gt;=10, "10-20 Days", M1431&gt;=0, "0-10 Days")</f>
        <v>20-30 Days</v>
      </c>
    </row>
    <row r="1432" spans="1:14">
      <c r="A1432">
        <v>1431</v>
      </c>
      <c r="B1432" t="s">
        <v>29</v>
      </c>
      <c r="C1432" s="5">
        <v>45445</v>
      </c>
      <c r="D1432" s="8">
        <v>45445</v>
      </c>
      <c r="E1432" s="8" t="str">
        <f>IF(B1432="Inactive", EDATE(D1432,K1432), "")</f>
        <v/>
      </c>
      <c r="F1432" t="s">
        <v>12</v>
      </c>
      <c r="G1432">
        <v>9.5</v>
      </c>
      <c r="H1432" t="str" cm="1">
        <f t="array" ref="H1432">_xlfn.IFS(G1432&gt;=20,"20-25", G1432&gt;=15,"15-20", G1432&gt;=10,"10-15", G1432&gt;=5,"5-10", G1432&gt;=1,"1-5", G1432&lt;1,"Less than 1")</f>
        <v>5-10</v>
      </c>
      <c r="I1432">
        <v>5</v>
      </c>
      <c r="J1432">
        <v>2</v>
      </c>
      <c r="K1432" s="6">
        <v>10</v>
      </c>
      <c r="L1432" s="2">
        <v>1.99</v>
      </c>
      <c r="M1432" s="6">
        <v>5</v>
      </c>
      <c r="N1432" t="str" cm="1">
        <f t="array" ref="N1432">_xlfn.IFS(M1432&gt;=50,"50-60 Days", M1432&gt;=40,"40-50 Days", M1432&gt;=30, "30-40 Days", M1432&gt;=20, "20-30 Days", M1432&gt;=10, "10-20 Days", M1432&gt;=0, "0-10 Days")</f>
        <v>0-10 Days</v>
      </c>
    </row>
    <row r="1433" spans="1:14">
      <c r="A1433">
        <v>1432</v>
      </c>
      <c r="B1433" t="s">
        <v>28</v>
      </c>
      <c r="C1433" s="5">
        <v>45177</v>
      </c>
      <c r="D1433" s="8">
        <v>45177</v>
      </c>
      <c r="E1433" s="8">
        <f>IF(B1433="Inactive", EDATE(D1433,K1433), "")</f>
        <v>45359</v>
      </c>
      <c r="F1433" t="s">
        <v>14</v>
      </c>
      <c r="G1433">
        <v>22</v>
      </c>
      <c r="H1433" t="str" cm="1">
        <f t="array" ref="H1433">_xlfn.IFS(G1433&gt;=20,"20-25", G1433&gt;=15,"15-20", G1433&gt;=10,"10-15", G1433&gt;=5,"5-10", G1433&gt;=1,"1-5", G1433&lt;1,"Less than 1")</f>
        <v>20-25</v>
      </c>
      <c r="I1433">
        <v>0</v>
      </c>
      <c r="J1433">
        <v>4</v>
      </c>
      <c r="K1433" s="6">
        <v>6</v>
      </c>
      <c r="L1433" s="2">
        <v>3.99</v>
      </c>
      <c r="M1433" s="6">
        <v>41</v>
      </c>
      <c r="N1433" t="str" cm="1">
        <f t="array" ref="N1433">_xlfn.IFS(M1433&gt;=50,"50-60 Days", M1433&gt;=40,"40-50 Days", M1433&gt;=30, "30-40 Days", M1433&gt;=20, "20-30 Days", M1433&gt;=10, "10-20 Days", M1433&gt;=0, "0-10 Days")</f>
        <v>40-50 Days</v>
      </c>
    </row>
    <row r="1434" spans="1:14">
      <c r="A1434">
        <v>1433</v>
      </c>
      <c r="B1434" t="s">
        <v>28</v>
      </c>
      <c r="C1434" s="5">
        <v>45335</v>
      </c>
      <c r="D1434" s="8">
        <v>45335</v>
      </c>
      <c r="E1434" s="8">
        <f>IF(B1434="Inactive", EDATE(D1434,K1434), "")</f>
        <v>45701</v>
      </c>
      <c r="F1434" t="s">
        <v>10</v>
      </c>
      <c r="G1434">
        <v>0.7</v>
      </c>
      <c r="H1434" t="str" cm="1">
        <f t="array" ref="H1434">_xlfn.IFS(G1434&gt;=20,"20-25", G1434&gt;=15,"15-20", G1434&gt;=10,"10-15", G1434&gt;=5,"5-10", G1434&gt;=1,"1-5", G1434&lt;1,"Less than 1")</f>
        <v>Less than 1</v>
      </c>
      <c r="I1434">
        <v>1</v>
      </c>
      <c r="J1434">
        <v>2</v>
      </c>
      <c r="K1434" s="6">
        <v>12</v>
      </c>
      <c r="L1434" s="2">
        <v>6.99</v>
      </c>
      <c r="M1434" s="6">
        <v>24</v>
      </c>
      <c r="N1434" t="str" cm="1">
        <f t="array" ref="N1434">_xlfn.IFS(M1434&gt;=50,"50-60 Days", M1434&gt;=40,"40-50 Days", M1434&gt;=30, "30-40 Days", M1434&gt;=20, "20-30 Days", M1434&gt;=10, "10-20 Days", M1434&gt;=0, "0-10 Days")</f>
        <v>20-30 Days</v>
      </c>
    </row>
    <row r="1435" spans="1:14">
      <c r="A1435">
        <v>1434</v>
      </c>
      <c r="B1435" t="s">
        <v>28</v>
      </c>
      <c r="C1435" s="5">
        <v>45406</v>
      </c>
      <c r="D1435" s="8">
        <v>45406</v>
      </c>
      <c r="E1435" s="8">
        <f>IF(B1435="Inactive", EDATE(D1435,K1435), "")</f>
        <v>45559</v>
      </c>
      <c r="F1435" t="s">
        <v>12</v>
      </c>
      <c r="G1435">
        <v>10</v>
      </c>
      <c r="H1435" t="str" cm="1">
        <f t="array" ref="H1435">_xlfn.IFS(G1435&gt;=20,"20-25", G1435&gt;=15,"15-20", G1435&gt;=10,"10-15", G1435&gt;=5,"5-10", G1435&gt;=1,"1-5", G1435&lt;1,"Less than 1")</f>
        <v>10-15</v>
      </c>
      <c r="I1435">
        <v>7</v>
      </c>
      <c r="J1435">
        <v>5</v>
      </c>
      <c r="K1435" s="6">
        <v>5</v>
      </c>
      <c r="L1435" s="2">
        <v>1.99</v>
      </c>
      <c r="M1435" s="6">
        <v>5</v>
      </c>
      <c r="N1435" t="str" cm="1">
        <f t="array" ref="N1435">_xlfn.IFS(M1435&gt;=50,"50-60 Days", M1435&gt;=40,"40-50 Days", M1435&gt;=30, "30-40 Days", M1435&gt;=20, "20-30 Days", M1435&gt;=10, "10-20 Days", M1435&gt;=0, "0-10 Days")</f>
        <v>0-10 Days</v>
      </c>
    </row>
    <row r="1436" spans="1:14">
      <c r="A1436">
        <v>1435</v>
      </c>
      <c r="B1436" t="s">
        <v>28</v>
      </c>
      <c r="C1436" s="5">
        <v>45037</v>
      </c>
      <c r="D1436" s="8">
        <v>45037</v>
      </c>
      <c r="E1436" s="8">
        <f>IF(B1436="Inactive", EDATE(D1436,K1436), "")</f>
        <v>45403</v>
      </c>
      <c r="F1436" t="s">
        <v>10</v>
      </c>
      <c r="G1436">
        <v>22.6</v>
      </c>
      <c r="H1436" t="str" cm="1">
        <f t="array" ref="H1436">_xlfn.IFS(G1436&gt;=20,"20-25", G1436&gt;=15,"15-20", G1436&gt;=10,"10-15", G1436&gt;=5,"5-10", G1436&gt;=1,"1-5", G1436&lt;1,"Less than 1")</f>
        <v>20-25</v>
      </c>
      <c r="I1436">
        <v>7</v>
      </c>
      <c r="J1436">
        <v>0</v>
      </c>
      <c r="K1436" s="6">
        <v>12</v>
      </c>
      <c r="L1436" s="2">
        <v>6.99</v>
      </c>
      <c r="M1436" s="6">
        <v>5</v>
      </c>
      <c r="N1436" t="str" cm="1">
        <f t="array" ref="N1436">_xlfn.IFS(M1436&gt;=50,"50-60 Days", M1436&gt;=40,"40-50 Days", M1436&gt;=30, "30-40 Days", M1436&gt;=20, "20-30 Days", M1436&gt;=10, "10-20 Days", M1436&gt;=0, "0-10 Days")</f>
        <v>0-10 Days</v>
      </c>
    </row>
    <row r="1437" spans="1:14">
      <c r="A1437">
        <v>1436</v>
      </c>
      <c r="B1437" t="s">
        <v>29</v>
      </c>
      <c r="C1437" s="5">
        <v>45545</v>
      </c>
      <c r="D1437" s="8">
        <v>45545</v>
      </c>
      <c r="E1437" s="8" t="str">
        <f>IF(B1437="Inactive", EDATE(D1437,K1437), "")</f>
        <v/>
      </c>
      <c r="F1437" t="s">
        <v>14</v>
      </c>
      <c r="G1437">
        <v>5.4</v>
      </c>
      <c r="H1437" t="str" cm="1">
        <f t="array" ref="H1437">_xlfn.IFS(G1437&gt;=20,"20-25", G1437&gt;=15,"15-20", G1437&gt;=10,"10-15", G1437&gt;=5,"5-10", G1437&gt;=1,"1-5", G1437&lt;1,"Less than 1")</f>
        <v>5-10</v>
      </c>
      <c r="I1437">
        <v>5</v>
      </c>
      <c r="J1437">
        <v>0</v>
      </c>
      <c r="K1437" s="6">
        <v>10</v>
      </c>
      <c r="L1437" s="2">
        <v>3.99</v>
      </c>
      <c r="M1437" s="6">
        <v>20</v>
      </c>
      <c r="N1437" t="str" cm="1">
        <f t="array" ref="N1437">_xlfn.IFS(M1437&gt;=50,"50-60 Days", M1437&gt;=40,"40-50 Days", M1437&gt;=30, "30-40 Days", M1437&gt;=20, "20-30 Days", M1437&gt;=10, "10-20 Days", M1437&gt;=0, "0-10 Days")</f>
        <v>20-30 Days</v>
      </c>
    </row>
    <row r="1438" spans="1:14">
      <c r="A1438">
        <v>1437</v>
      </c>
      <c r="B1438" t="s">
        <v>29</v>
      </c>
      <c r="C1438" s="5">
        <v>45485</v>
      </c>
      <c r="D1438" s="8">
        <v>45485</v>
      </c>
      <c r="E1438" s="8" t="str">
        <f>IF(B1438="Inactive", EDATE(D1438,K1438), "")</f>
        <v/>
      </c>
      <c r="F1438" t="s">
        <v>14</v>
      </c>
      <c r="G1438">
        <v>17.7</v>
      </c>
      <c r="H1438" t="str" cm="1">
        <f t="array" ref="H1438">_xlfn.IFS(G1438&gt;=20,"20-25", G1438&gt;=15,"15-20", G1438&gt;=10,"10-15", G1438&gt;=5,"5-10", G1438&gt;=1,"1-5", G1438&lt;1,"Less than 1")</f>
        <v>15-20</v>
      </c>
      <c r="I1438">
        <v>7</v>
      </c>
      <c r="J1438">
        <v>0</v>
      </c>
      <c r="K1438" s="6">
        <v>5</v>
      </c>
      <c r="L1438" s="2">
        <v>3.99</v>
      </c>
      <c r="M1438" s="6">
        <v>17</v>
      </c>
      <c r="N1438" t="str" cm="1">
        <f t="array" ref="N1438">_xlfn.IFS(M1438&gt;=50,"50-60 Days", M1438&gt;=40,"40-50 Days", M1438&gt;=30, "30-40 Days", M1438&gt;=20, "20-30 Days", M1438&gt;=10, "10-20 Days", M1438&gt;=0, "0-10 Days")</f>
        <v>10-20 Days</v>
      </c>
    </row>
    <row r="1439" spans="1:14">
      <c r="A1439">
        <v>1438</v>
      </c>
      <c r="B1439" t="s">
        <v>28</v>
      </c>
      <c r="C1439" s="5">
        <v>45542</v>
      </c>
      <c r="D1439" s="8">
        <v>45542</v>
      </c>
      <c r="E1439" s="8">
        <f>IF(B1439="Inactive", EDATE(D1439,K1439), "")</f>
        <v>45876</v>
      </c>
      <c r="F1439" t="s">
        <v>12</v>
      </c>
      <c r="G1439">
        <v>4.0999999999999996</v>
      </c>
      <c r="H1439" t="str" cm="1">
        <f t="array" ref="H1439">_xlfn.IFS(G1439&gt;=20,"20-25", G1439&gt;=15,"15-20", G1439&gt;=10,"10-15", G1439&gt;=5,"5-10", G1439&gt;=1,"1-5", G1439&lt;1,"Less than 1")</f>
        <v>1-5</v>
      </c>
      <c r="I1439">
        <v>3</v>
      </c>
      <c r="J1439">
        <v>2</v>
      </c>
      <c r="K1439" s="6">
        <v>11</v>
      </c>
      <c r="L1439" s="2">
        <v>1.99</v>
      </c>
      <c r="M1439" s="6">
        <v>36</v>
      </c>
      <c r="N1439" t="str" cm="1">
        <f t="array" ref="N1439">_xlfn.IFS(M1439&gt;=50,"50-60 Days", M1439&gt;=40,"40-50 Days", M1439&gt;=30, "30-40 Days", M1439&gt;=20, "20-30 Days", M1439&gt;=10, "10-20 Days", M1439&gt;=0, "0-10 Days")</f>
        <v>30-40 Days</v>
      </c>
    </row>
    <row r="1440" spans="1:14">
      <c r="A1440">
        <v>1439</v>
      </c>
      <c r="B1440" t="s">
        <v>28</v>
      </c>
      <c r="C1440" s="5">
        <v>45143</v>
      </c>
      <c r="D1440" s="8">
        <v>45143</v>
      </c>
      <c r="E1440" s="8">
        <f>IF(B1440="Inactive", EDATE(D1440,K1440), "")</f>
        <v>45204</v>
      </c>
      <c r="F1440" t="s">
        <v>14</v>
      </c>
      <c r="G1440">
        <v>23.4</v>
      </c>
      <c r="H1440" t="str" cm="1">
        <f t="array" ref="H1440">_xlfn.IFS(G1440&gt;=20,"20-25", G1440&gt;=15,"15-20", G1440&gt;=10,"10-15", G1440&gt;=5,"5-10", G1440&gt;=1,"1-5", G1440&lt;1,"Less than 1")</f>
        <v>20-25</v>
      </c>
      <c r="I1440">
        <v>5</v>
      </c>
      <c r="J1440">
        <v>3</v>
      </c>
      <c r="K1440" s="6">
        <v>2</v>
      </c>
      <c r="L1440" s="2">
        <v>3.99</v>
      </c>
      <c r="M1440" s="6">
        <v>30</v>
      </c>
      <c r="N1440" t="str" cm="1">
        <f t="array" ref="N1440">_xlfn.IFS(M1440&gt;=50,"50-60 Days", M1440&gt;=40,"40-50 Days", M1440&gt;=30, "30-40 Days", M1440&gt;=20, "20-30 Days", M1440&gt;=10, "10-20 Days", M1440&gt;=0, "0-10 Days")</f>
        <v>30-40 Days</v>
      </c>
    </row>
    <row r="1441" spans="1:14">
      <c r="A1441">
        <v>1440</v>
      </c>
      <c r="B1441" t="s">
        <v>28</v>
      </c>
      <c r="C1441" s="5">
        <v>45341</v>
      </c>
      <c r="D1441" s="8">
        <v>45341</v>
      </c>
      <c r="E1441" s="8">
        <f>IF(B1441="Inactive", EDATE(D1441,K1441), "")</f>
        <v>45645</v>
      </c>
      <c r="F1441" t="s">
        <v>12</v>
      </c>
      <c r="G1441">
        <v>7.1</v>
      </c>
      <c r="H1441" t="str" cm="1">
        <f t="array" ref="H1441">_xlfn.IFS(G1441&gt;=20,"20-25", G1441&gt;=15,"15-20", G1441&gt;=10,"10-15", G1441&gt;=5,"5-10", G1441&gt;=1,"1-5", G1441&lt;1,"Less than 1")</f>
        <v>5-10</v>
      </c>
      <c r="I1441">
        <v>2</v>
      </c>
      <c r="J1441">
        <v>0</v>
      </c>
      <c r="K1441" s="6">
        <v>10</v>
      </c>
      <c r="L1441" s="2">
        <v>1.99</v>
      </c>
      <c r="M1441" s="6">
        <v>9</v>
      </c>
      <c r="N1441" t="str" cm="1">
        <f t="array" ref="N1441">_xlfn.IFS(M1441&gt;=50,"50-60 Days", M1441&gt;=40,"40-50 Days", M1441&gt;=30, "30-40 Days", M1441&gt;=20, "20-30 Days", M1441&gt;=10, "10-20 Days", M1441&gt;=0, "0-10 Days")</f>
        <v>0-10 Days</v>
      </c>
    </row>
    <row r="1442" spans="1:14">
      <c r="A1442">
        <v>1441</v>
      </c>
      <c r="B1442" t="s">
        <v>28</v>
      </c>
      <c r="C1442" s="5">
        <v>45192</v>
      </c>
      <c r="D1442" s="8">
        <v>45192</v>
      </c>
      <c r="E1442" s="8">
        <f>IF(B1442="Inactive", EDATE(D1442,K1442), "")</f>
        <v>45405</v>
      </c>
      <c r="F1442" t="s">
        <v>12</v>
      </c>
      <c r="G1442">
        <v>21.9</v>
      </c>
      <c r="H1442" t="str" cm="1">
        <f t="array" ref="H1442">_xlfn.IFS(G1442&gt;=20,"20-25", G1442&gt;=15,"15-20", G1442&gt;=10,"10-15", G1442&gt;=5,"5-10", G1442&gt;=1,"1-5", G1442&lt;1,"Less than 1")</f>
        <v>20-25</v>
      </c>
      <c r="I1442">
        <v>7</v>
      </c>
      <c r="J1442">
        <v>3</v>
      </c>
      <c r="K1442" s="6">
        <v>7</v>
      </c>
      <c r="L1442" s="2">
        <v>1.99</v>
      </c>
      <c r="M1442" s="6">
        <v>33</v>
      </c>
      <c r="N1442" t="str" cm="1">
        <f t="array" ref="N1442">_xlfn.IFS(M1442&gt;=50,"50-60 Days", M1442&gt;=40,"40-50 Days", M1442&gt;=30, "30-40 Days", M1442&gt;=20, "20-30 Days", M1442&gt;=10, "10-20 Days", M1442&gt;=0, "0-10 Days")</f>
        <v>30-40 Days</v>
      </c>
    </row>
    <row r="1443" spans="1:14">
      <c r="A1443">
        <v>1442</v>
      </c>
      <c r="B1443" t="s">
        <v>28</v>
      </c>
      <c r="C1443" s="5">
        <v>45130</v>
      </c>
      <c r="D1443" s="8">
        <v>45130</v>
      </c>
      <c r="E1443" s="8">
        <f>IF(B1443="Inactive", EDATE(D1443,K1443), "")</f>
        <v>45192</v>
      </c>
      <c r="F1443" t="s">
        <v>12</v>
      </c>
      <c r="G1443">
        <v>2.8</v>
      </c>
      <c r="H1443" t="str" cm="1">
        <f t="array" ref="H1443">_xlfn.IFS(G1443&gt;=20,"20-25", G1443&gt;=15,"15-20", G1443&gt;=10,"10-15", G1443&gt;=5,"5-10", G1443&gt;=1,"1-5", G1443&lt;1,"Less than 1")</f>
        <v>1-5</v>
      </c>
      <c r="I1443">
        <v>6</v>
      </c>
      <c r="J1443">
        <v>2</v>
      </c>
      <c r="K1443" s="6">
        <v>2</v>
      </c>
      <c r="L1443" s="2">
        <v>1.99</v>
      </c>
      <c r="M1443" s="6">
        <v>48</v>
      </c>
      <c r="N1443" t="str" cm="1">
        <f t="array" ref="N1443">_xlfn.IFS(M1443&gt;=50,"50-60 Days", M1443&gt;=40,"40-50 Days", M1443&gt;=30, "30-40 Days", M1443&gt;=20, "20-30 Days", M1443&gt;=10, "10-20 Days", M1443&gt;=0, "0-10 Days")</f>
        <v>40-50 Days</v>
      </c>
    </row>
    <row r="1444" spans="1:14">
      <c r="A1444">
        <v>1443</v>
      </c>
      <c r="B1444" t="s">
        <v>28</v>
      </c>
      <c r="C1444" s="5">
        <v>45640</v>
      </c>
      <c r="D1444" s="8">
        <v>45640</v>
      </c>
      <c r="E1444" s="8">
        <f>IF(B1444="Inactive", EDATE(D1444,K1444), "")</f>
        <v>45914</v>
      </c>
      <c r="F1444" t="s">
        <v>14</v>
      </c>
      <c r="G1444">
        <v>12.3</v>
      </c>
      <c r="H1444" t="str" cm="1">
        <f t="array" ref="H1444">_xlfn.IFS(G1444&gt;=20,"20-25", G1444&gt;=15,"15-20", G1444&gt;=10,"10-15", G1444&gt;=5,"5-10", G1444&gt;=1,"1-5", G1444&lt;1,"Less than 1")</f>
        <v>10-15</v>
      </c>
      <c r="I1444">
        <v>8</v>
      </c>
      <c r="J1444">
        <v>5</v>
      </c>
      <c r="K1444" s="6">
        <v>9</v>
      </c>
      <c r="L1444" s="2">
        <v>3.99</v>
      </c>
      <c r="M1444" s="6">
        <v>50</v>
      </c>
      <c r="N1444" t="str" cm="1">
        <f t="array" ref="N1444">_xlfn.IFS(M1444&gt;=50,"50-60 Days", M1444&gt;=40,"40-50 Days", M1444&gt;=30, "30-40 Days", M1444&gt;=20, "20-30 Days", M1444&gt;=10, "10-20 Days", M1444&gt;=0, "0-10 Days")</f>
        <v>50-60 Days</v>
      </c>
    </row>
    <row r="1445" spans="1:14">
      <c r="A1445">
        <v>1444</v>
      </c>
      <c r="B1445" t="s">
        <v>29</v>
      </c>
      <c r="C1445" s="5">
        <v>45538</v>
      </c>
      <c r="D1445" s="8">
        <v>45538</v>
      </c>
      <c r="E1445" s="8" t="str">
        <f>IF(B1445="Inactive", EDATE(D1445,K1445), "")</f>
        <v/>
      </c>
      <c r="F1445" t="s">
        <v>14</v>
      </c>
      <c r="G1445">
        <v>22.9</v>
      </c>
      <c r="H1445" t="str" cm="1">
        <f t="array" ref="H1445">_xlfn.IFS(G1445&gt;=20,"20-25", G1445&gt;=15,"15-20", G1445&gt;=10,"10-15", G1445&gt;=5,"5-10", G1445&gt;=1,"1-5", G1445&lt;1,"Less than 1")</f>
        <v>20-25</v>
      </c>
      <c r="I1445">
        <v>6</v>
      </c>
      <c r="J1445">
        <v>0</v>
      </c>
      <c r="K1445" s="6">
        <v>8</v>
      </c>
      <c r="L1445" s="2">
        <v>3.99</v>
      </c>
      <c r="M1445" s="6">
        <v>35</v>
      </c>
      <c r="N1445" t="str" cm="1">
        <f t="array" ref="N1445">_xlfn.IFS(M1445&gt;=50,"50-60 Days", M1445&gt;=40,"40-50 Days", M1445&gt;=30, "30-40 Days", M1445&gt;=20, "20-30 Days", M1445&gt;=10, "10-20 Days", M1445&gt;=0, "0-10 Days")</f>
        <v>30-40 Days</v>
      </c>
    </row>
    <row r="1446" spans="1:14">
      <c r="A1446">
        <v>1445</v>
      </c>
      <c r="B1446" t="s">
        <v>29</v>
      </c>
      <c r="C1446" s="5">
        <v>45251</v>
      </c>
      <c r="D1446" s="8">
        <v>45251</v>
      </c>
      <c r="E1446" s="8" t="str">
        <f>IF(B1446="Inactive", EDATE(D1446,K1446), "")</f>
        <v/>
      </c>
      <c r="F1446" t="s">
        <v>12</v>
      </c>
      <c r="G1446">
        <v>18.2</v>
      </c>
      <c r="H1446" t="str" cm="1">
        <f t="array" ref="H1446">_xlfn.IFS(G1446&gt;=20,"20-25", G1446&gt;=15,"15-20", G1446&gt;=10,"10-15", G1446&gt;=5,"5-10", G1446&gt;=1,"1-5", G1446&lt;1,"Less than 1")</f>
        <v>15-20</v>
      </c>
      <c r="I1446">
        <v>2</v>
      </c>
      <c r="J1446">
        <v>2</v>
      </c>
      <c r="K1446" s="6">
        <v>2</v>
      </c>
      <c r="L1446" s="2">
        <v>1.99</v>
      </c>
      <c r="M1446" s="6">
        <v>42</v>
      </c>
      <c r="N1446" t="str" cm="1">
        <f t="array" ref="N1446">_xlfn.IFS(M1446&gt;=50,"50-60 Days", M1446&gt;=40,"40-50 Days", M1446&gt;=30, "30-40 Days", M1446&gt;=20, "20-30 Days", M1446&gt;=10, "10-20 Days", M1446&gt;=0, "0-10 Days")</f>
        <v>40-50 Days</v>
      </c>
    </row>
    <row r="1447" spans="1:14">
      <c r="A1447">
        <v>1446</v>
      </c>
      <c r="B1447" t="s">
        <v>28</v>
      </c>
      <c r="C1447" s="5">
        <v>45617</v>
      </c>
      <c r="D1447" s="8">
        <v>45617</v>
      </c>
      <c r="E1447" s="8">
        <f>IF(B1447="Inactive", EDATE(D1447,K1447), "")</f>
        <v>45737</v>
      </c>
      <c r="F1447" t="s">
        <v>12</v>
      </c>
      <c r="G1447">
        <v>22.5</v>
      </c>
      <c r="H1447" t="str" cm="1">
        <f t="array" ref="H1447">_xlfn.IFS(G1447&gt;=20,"20-25", G1447&gt;=15,"15-20", G1447&gt;=10,"10-15", G1447&gt;=5,"5-10", G1447&gt;=1,"1-5", G1447&lt;1,"Less than 1")</f>
        <v>20-25</v>
      </c>
      <c r="I1447">
        <v>2</v>
      </c>
      <c r="J1447">
        <v>3</v>
      </c>
      <c r="K1447" s="6">
        <v>4</v>
      </c>
      <c r="L1447" s="2">
        <v>1.99</v>
      </c>
      <c r="M1447" s="6">
        <v>55</v>
      </c>
      <c r="N1447" t="str" cm="1">
        <f t="array" ref="N1447">_xlfn.IFS(M1447&gt;=50,"50-60 Days", M1447&gt;=40,"40-50 Days", M1447&gt;=30, "30-40 Days", M1447&gt;=20, "20-30 Days", M1447&gt;=10, "10-20 Days", M1447&gt;=0, "0-10 Days")</f>
        <v>50-60 Days</v>
      </c>
    </row>
    <row r="1448" spans="1:14">
      <c r="A1448">
        <v>1447</v>
      </c>
      <c r="B1448" t="s">
        <v>29</v>
      </c>
      <c r="C1448" s="5">
        <v>45055</v>
      </c>
      <c r="D1448" s="8">
        <v>45055</v>
      </c>
      <c r="E1448" s="8" t="str">
        <f>IF(B1448="Inactive", EDATE(D1448,K1448), "")</f>
        <v/>
      </c>
      <c r="F1448" t="s">
        <v>14</v>
      </c>
      <c r="G1448">
        <v>13.3</v>
      </c>
      <c r="H1448" t="str" cm="1">
        <f t="array" ref="H1448">_xlfn.IFS(G1448&gt;=20,"20-25", G1448&gt;=15,"15-20", G1448&gt;=10,"10-15", G1448&gt;=5,"5-10", G1448&gt;=1,"1-5", G1448&lt;1,"Less than 1")</f>
        <v>10-15</v>
      </c>
      <c r="I1448">
        <v>0</v>
      </c>
      <c r="J1448">
        <v>3</v>
      </c>
      <c r="K1448" s="6">
        <v>6</v>
      </c>
      <c r="L1448" s="2">
        <v>3.99</v>
      </c>
      <c r="M1448" s="6">
        <v>60</v>
      </c>
      <c r="N1448" t="str" cm="1">
        <f t="array" ref="N1448">_xlfn.IFS(M1448&gt;=50,"50-60 Days", M1448&gt;=40,"40-50 Days", M1448&gt;=30, "30-40 Days", M1448&gt;=20, "20-30 Days", M1448&gt;=10, "10-20 Days", M1448&gt;=0, "0-10 Days")</f>
        <v>50-60 Days</v>
      </c>
    </row>
    <row r="1449" spans="1:14">
      <c r="A1449">
        <v>1448</v>
      </c>
      <c r="B1449" t="s">
        <v>29</v>
      </c>
      <c r="C1449" s="5">
        <v>45119</v>
      </c>
      <c r="D1449" s="8">
        <v>45119</v>
      </c>
      <c r="E1449" s="8" t="str">
        <f>IF(B1449="Inactive", EDATE(D1449,K1449), "")</f>
        <v/>
      </c>
      <c r="F1449" t="s">
        <v>10</v>
      </c>
      <c r="G1449">
        <v>16.2</v>
      </c>
      <c r="H1449" t="str" cm="1">
        <f t="array" ref="H1449">_xlfn.IFS(G1449&gt;=20,"20-25", G1449&gt;=15,"15-20", G1449&gt;=10,"10-15", G1449&gt;=5,"5-10", G1449&gt;=1,"1-5", G1449&lt;1,"Less than 1")</f>
        <v>15-20</v>
      </c>
      <c r="I1449">
        <v>1</v>
      </c>
      <c r="J1449">
        <v>0</v>
      </c>
      <c r="K1449" s="6">
        <v>10</v>
      </c>
      <c r="L1449" s="2">
        <v>6.99</v>
      </c>
      <c r="M1449" s="6">
        <v>13</v>
      </c>
      <c r="N1449" t="str" cm="1">
        <f t="array" ref="N1449">_xlfn.IFS(M1449&gt;=50,"50-60 Days", M1449&gt;=40,"40-50 Days", M1449&gt;=30, "30-40 Days", M1449&gt;=20, "20-30 Days", M1449&gt;=10, "10-20 Days", M1449&gt;=0, "0-10 Days")</f>
        <v>10-20 Days</v>
      </c>
    </row>
    <row r="1450" spans="1:14">
      <c r="A1450">
        <v>1449</v>
      </c>
      <c r="B1450" t="s">
        <v>28</v>
      </c>
      <c r="C1450" s="5">
        <v>45122</v>
      </c>
      <c r="D1450" s="8">
        <v>45122</v>
      </c>
      <c r="E1450" s="8">
        <f>IF(B1450="Inactive", EDATE(D1450,K1450), "")</f>
        <v>45488</v>
      </c>
      <c r="F1450" t="s">
        <v>14</v>
      </c>
      <c r="G1450">
        <v>19.5</v>
      </c>
      <c r="H1450" t="str" cm="1">
        <f t="array" ref="H1450">_xlfn.IFS(G1450&gt;=20,"20-25", G1450&gt;=15,"15-20", G1450&gt;=10,"10-15", G1450&gt;=5,"5-10", G1450&gt;=1,"1-5", G1450&lt;1,"Less than 1")</f>
        <v>15-20</v>
      </c>
      <c r="I1450">
        <v>6</v>
      </c>
      <c r="J1450">
        <v>1</v>
      </c>
      <c r="K1450" s="6">
        <v>12</v>
      </c>
      <c r="L1450" s="2">
        <v>3.99</v>
      </c>
      <c r="M1450" s="6">
        <v>22</v>
      </c>
      <c r="N1450" t="str" cm="1">
        <f t="array" ref="N1450">_xlfn.IFS(M1450&gt;=50,"50-60 Days", M1450&gt;=40,"40-50 Days", M1450&gt;=30, "30-40 Days", M1450&gt;=20, "20-30 Days", M1450&gt;=10, "10-20 Days", M1450&gt;=0, "0-10 Days")</f>
        <v>20-30 Days</v>
      </c>
    </row>
    <row r="1451" spans="1:14">
      <c r="A1451">
        <v>1450</v>
      </c>
      <c r="B1451" t="s">
        <v>29</v>
      </c>
      <c r="C1451" s="5">
        <v>45441</v>
      </c>
      <c r="D1451" s="8">
        <v>45441</v>
      </c>
      <c r="E1451" s="8" t="str">
        <f>IF(B1451="Inactive", EDATE(D1451,K1451), "")</f>
        <v/>
      </c>
      <c r="F1451" t="s">
        <v>10</v>
      </c>
      <c r="G1451">
        <v>9.6</v>
      </c>
      <c r="H1451" t="str" cm="1">
        <f t="array" ref="H1451">_xlfn.IFS(G1451&gt;=20,"20-25", G1451&gt;=15,"15-20", G1451&gt;=10,"10-15", G1451&gt;=5,"5-10", G1451&gt;=1,"1-5", G1451&lt;1,"Less than 1")</f>
        <v>5-10</v>
      </c>
      <c r="I1451">
        <v>5</v>
      </c>
      <c r="J1451">
        <v>0</v>
      </c>
      <c r="K1451" s="6">
        <v>1</v>
      </c>
      <c r="L1451" s="2">
        <v>6.99</v>
      </c>
      <c r="M1451" s="6">
        <v>19</v>
      </c>
      <c r="N1451" t="str" cm="1">
        <f t="array" ref="N1451">_xlfn.IFS(M1451&gt;=50,"50-60 Days", M1451&gt;=40,"40-50 Days", M1451&gt;=30, "30-40 Days", M1451&gt;=20, "20-30 Days", M1451&gt;=10, "10-20 Days", M1451&gt;=0, "0-10 Days")</f>
        <v>10-20 Days</v>
      </c>
    </row>
    <row r="1452" spans="1:14">
      <c r="A1452">
        <v>1451</v>
      </c>
      <c r="B1452" t="s">
        <v>28</v>
      </c>
      <c r="C1452" s="5">
        <v>45482</v>
      </c>
      <c r="D1452" s="8">
        <v>45482</v>
      </c>
      <c r="E1452" s="8">
        <f>IF(B1452="Inactive", EDATE(D1452,K1452), "")</f>
        <v>45817</v>
      </c>
      <c r="F1452" t="s">
        <v>12</v>
      </c>
      <c r="G1452">
        <v>16.399999999999999</v>
      </c>
      <c r="H1452" t="str" cm="1">
        <f t="array" ref="H1452">_xlfn.IFS(G1452&gt;=20,"20-25", G1452&gt;=15,"15-20", G1452&gt;=10,"10-15", G1452&gt;=5,"5-10", G1452&gt;=1,"1-5", G1452&lt;1,"Less than 1")</f>
        <v>15-20</v>
      </c>
      <c r="I1452">
        <v>7</v>
      </c>
      <c r="J1452">
        <v>3</v>
      </c>
      <c r="K1452" s="6">
        <v>11</v>
      </c>
      <c r="L1452" s="2">
        <v>1.99</v>
      </c>
      <c r="M1452" s="6">
        <v>26</v>
      </c>
      <c r="N1452" t="str" cm="1">
        <f t="array" ref="N1452">_xlfn.IFS(M1452&gt;=50,"50-60 Days", M1452&gt;=40,"40-50 Days", M1452&gt;=30, "30-40 Days", M1452&gt;=20, "20-30 Days", M1452&gt;=10, "10-20 Days", M1452&gt;=0, "0-10 Days")</f>
        <v>20-30 Days</v>
      </c>
    </row>
    <row r="1453" spans="1:14">
      <c r="A1453">
        <v>1452</v>
      </c>
      <c r="B1453" t="s">
        <v>28</v>
      </c>
      <c r="C1453" s="5">
        <v>45365</v>
      </c>
      <c r="D1453" s="8">
        <v>45365</v>
      </c>
      <c r="E1453" s="8">
        <f>IF(B1453="Inactive", EDATE(D1453,K1453), "")</f>
        <v>45730</v>
      </c>
      <c r="F1453" t="s">
        <v>14</v>
      </c>
      <c r="G1453">
        <v>24.4</v>
      </c>
      <c r="H1453" t="str" cm="1">
        <f t="array" ref="H1453">_xlfn.IFS(G1453&gt;=20,"20-25", G1453&gt;=15,"15-20", G1453&gt;=10,"10-15", G1453&gt;=5,"5-10", G1453&gt;=1,"1-5", G1453&lt;1,"Less than 1")</f>
        <v>20-25</v>
      </c>
      <c r="I1453">
        <v>5</v>
      </c>
      <c r="J1453">
        <v>0</v>
      </c>
      <c r="K1453" s="6">
        <v>12</v>
      </c>
      <c r="L1453" s="2">
        <v>3.99</v>
      </c>
      <c r="M1453" s="6">
        <v>59</v>
      </c>
      <c r="N1453" t="str" cm="1">
        <f t="array" ref="N1453">_xlfn.IFS(M1453&gt;=50,"50-60 Days", M1453&gt;=40,"40-50 Days", M1453&gt;=30, "30-40 Days", M1453&gt;=20, "20-30 Days", M1453&gt;=10, "10-20 Days", M1453&gt;=0, "0-10 Days")</f>
        <v>50-60 Days</v>
      </c>
    </row>
    <row r="1454" spans="1:14">
      <c r="A1454">
        <v>1453</v>
      </c>
      <c r="B1454" t="s">
        <v>28</v>
      </c>
      <c r="C1454" s="5">
        <v>45602</v>
      </c>
      <c r="D1454" s="8">
        <v>45602</v>
      </c>
      <c r="E1454" s="8">
        <f>IF(B1454="Inactive", EDATE(D1454,K1454), "")</f>
        <v>45722</v>
      </c>
      <c r="F1454" t="s">
        <v>14</v>
      </c>
      <c r="G1454">
        <v>14</v>
      </c>
      <c r="H1454" t="str" cm="1">
        <f t="array" ref="H1454">_xlfn.IFS(G1454&gt;=20,"20-25", G1454&gt;=15,"15-20", G1454&gt;=10,"10-15", G1454&gt;=5,"5-10", G1454&gt;=1,"1-5", G1454&lt;1,"Less than 1")</f>
        <v>10-15</v>
      </c>
      <c r="I1454">
        <v>2</v>
      </c>
      <c r="J1454">
        <v>4</v>
      </c>
      <c r="K1454" s="6">
        <v>4</v>
      </c>
      <c r="L1454" s="2">
        <v>3.99</v>
      </c>
      <c r="M1454" s="6">
        <v>27</v>
      </c>
      <c r="N1454" t="str" cm="1">
        <f t="array" ref="N1454">_xlfn.IFS(M1454&gt;=50,"50-60 Days", M1454&gt;=40,"40-50 Days", M1454&gt;=30, "30-40 Days", M1454&gt;=20, "20-30 Days", M1454&gt;=10, "10-20 Days", M1454&gt;=0, "0-10 Days")</f>
        <v>20-30 Days</v>
      </c>
    </row>
    <row r="1455" spans="1:14">
      <c r="A1455">
        <v>1454</v>
      </c>
      <c r="B1455" t="s">
        <v>29</v>
      </c>
      <c r="C1455" s="5">
        <v>45018</v>
      </c>
      <c r="D1455" s="8">
        <v>45018</v>
      </c>
      <c r="E1455" s="8" t="str">
        <f>IF(B1455="Inactive", EDATE(D1455,K1455), "")</f>
        <v/>
      </c>
      <c r="F1455" t="s">
        <v>10</v>
      </c>
      <c r="G1455">
        <v>16</v>
      </c>
      <c r="H1455" t="str" cm="1">
        <f t="array" ref="H1455">_xlfn.IFS(G1455&gt;=20,"20-25", G1455&gt;=15,"15-20", G1455&gt;=10,"10-15", G1455&gt;=5,"5-10", G1455&gt;=1,"1-5", G1455&lt;1,"Less than 1")</f>
        <v>15-20</v>
      </c>
      <c r="I1455">
        <v>1</v>
      </c>
      <c r="J1455">
        <v>0</v>
      </c>
      <c r="K1455" s="6">
        <v>10</v>
      </c>
      <c r="L1455" s="2">
        <v>6.99</v>
      </c>
      <c r="M1455" s="6">
        <v>51</v>
      </c>
      <c r="N1455" t="str" cm="1">
        <f t="array" ref="N1455">_xlfn.IFS(M1455&gt;=50,"50-60 Days", M1455&gt;=40,"40-50 Days", M1455&gt;=30, "30-40 Days", M1455&gt;=20, "20-30 Days", M1455&gt;=10, "10-20 Days", M1455&gt;=0, "0-10 Days")</f>
        <v>50-60 Days</v>
      </c>
    </row>
    <row r="1456" spans="1:14">
      <c r="A1456">
        <v>1455</v>
      </c>
      <c r="B1456" t="s">
        <v>29</v>
      </c>
      <c r="C1456" s="5">
        <v>45565</v>
      </c>
      <c r="D1456" s="8">
        <v>45565</v>
      </c>
      <c r="E1456" s="8" t="str">
        <f>IF(B1456="Inactive", EDATE(D1456,K1456), "")</f>
        <v/>
      </c>
      <c r="F1456" t="s">
        <v>10</v>
      </c>
      <c r="G1456">
        <v>15.6</v>
      </c>
      <c r="H1456" t="str" cm="1">
        <f t="array" ref="H1456">_xlfn.IFS(G1456&gt;=20,"20-25", G1456&gt;=15,"15-20", G1456&gt;=10,"10-15", G1456&gt;=5,"5-10", G1456&gt;=1,"1-5", G1456&lt;1,"Less than 1")</f>
        <v>15-20</v>
      </c>
      <c r="I1456">
        <v>6</v>
      </c>
      <c r="J1456">
        <v>0</v>
      </c>
      <c r="K1456" s="6">
        <v>1</v>
      </c>
      <c r="L1456" s="2">
        <v>6.99</v>
      </c>
      <c r="M1456" s="6">
        <v>31</v>
      </c>
      <c r="N1456" t="str" cm="1">
        <f t="array" ref="N1456">_xlfn.IFS(M1456&gt;=50,"50-60 Days", M1456&gt;=40,"40-50 Days", M1456&gt;=30, "30-40 Days", M1456&gt;=20, "20-30 Days", M1456&gt;=10, "10-20 Days", M1456&gt;=0, "0-10 Days")</f>
        <v>30-40 Days</v>
      </c>
    </row>
    <row r="1457" spans="1:14">
      <c r="A1457">
        <v>1456</v>
      </c>
      <c r="B1457" t="s">
        <v>28</v>
      </c>
      <c r="C1457" s="5">
        <v>45223</v>
      </c>
      <c r="D1457" s="8">
        <v>45223</v>
      </c>
      <c r="E1457" s="8">
        <f>IF(B1457="Inactive", EDATE(D1457,K1457), "")</f>
        <v>45315</v>
      </c>
      <c r="F1457" t="s">
        <v>10</v>
      </c>
      <c r="G1457">
        <v>16</v>
      </c>
      <c r="H1457" t="str" cm="1">
        <f t="array" ref="H1457">_xlfn.IFS(G1457&gt;=20,"20-25", G1457&gt;=15,"15-20", G1457&gt;=10,"10-15", G1457&gt;=5,"5-10", G1457&gt;=1,"1-5", G1457&lt;1,"Less than 1")</f>
        <v>15-20</v>
      </c>
      <c r="I1457">
        <v>8</v>
      </c>
      <c r="J1457">
        <v>4</v>
      </c>
      <c r="K1457" s="6">
        <v>3</v>
      </c>
      <c r="L1457" s="2">
        <v>6.99</v>
      </c>
      <c r="M1457" s="6">
        <v>51</v>
      </c>
      <c r="N1457" t="str" cm="1">
        <f t="array" ref="N1457">_xlfn.IFS(M1457&gt;=50,"50-60 Days", M1457&gt;=40,"40-50 Days", M1457&gt;=30, "30-40 Days", M1457&gt;=20, "20-30 Days", M1457&gt;=10, "10-20 Days", M1457&gt;=0, "0-10 Days")</f>
        <v>50-60 Days</v>
      </c>
    </row>
    <row r="1458" spans="1:14">
      <c r="A1458">
        <v>1457</v>
      </c>
      <c r="B1458" t="s">
        <v>28</v>
      </c>
      <c r="C1458" s="5">
        <v>45407</v>
      </c>
      <c r="D1458" s="8">
        <v>45407</v>
      </c>
      <c r="E1458" s="8">
        <f>IF(B1458="Inactive", EDATE(D1458,K1458), "")</f>
        <v>45560</v>
      </c>
      <c r="F1458" t="s">
        <v>14</v>
      </c>
      <c r="G1458">
        <v>6</v>
      </c>
      <c r="H1458" t="str" cm="1">
        <f t="array" ref="H1458">_xlfn.IFS(G1458&gt;=20,"20-25", G1458&gt;=15,"15-20", G1458&gt;=10,"10-15", G1458&gt;=5,"5-10", G1458&gt;=1,"1-5", G1458&lt;1,"Less than 1")</f>
        <v>5-10</v>
      </c>
      <c r="I1458">
        <v>7</v>
      </c>
      <c r="J1458">
        <v>4</v>
      </c>
      <c r="K1458" s="6">
        <v>5</v>
      </c>
      <c r="L1458" s="2">
        <v>3.99</v>
      </c>
      <c r="M1458" s="6">
        <v>24</v>
      </c>
      <c r="N1458" t="str" cm="1">
        <f t="array" ref="N1458">_xlfn.IFS(M1458&gt;=50,"50-60 Days", M1458&gt;=40,"40-50 Days", M1458&gt;=30, "30-40 Days", M1458&gt;=20, "20-30 Days", M1458&gt;=10, "10-20 Days", M1458&gt;=0, "0-10 Days")</f>
        <v>20-30 Days</v>
      </c>
    </row>
    <row r="1459" spans="1:14">
      <c r="A1459">
        <v>1458</v>
      </c>
      <c r="B1459" t="s">
        <v>29</v>
      </c>
      <c r="C1459" s="5">
        <v>45647</v>
      </c>
      <c r="D1459" s="8">
        <v>45647</v>
      </c>
      <c r="E1459" s="8" t="str">
        <f>IF(B1459="Inactive", EDATE(D1459,K1459), "")</f>
        <v/>
      </c>
      <c r="F1459" t="s">
        <v>12</v>
      </c>
      <c r="G1459">
        <v>24.2</v>
      </c>
      <c r="H1459" t="str" cm="1">
        <f t="array" ref="H1459">_xlfn.IFS(G1459&gt;=20,"20-25", G1459&gt;=15,"15-20", G1459&gt;=10,"10-15", G1459&gt;=5,"5-10", G1459&gt;=1,"1-5", G1459&lt;1,"Less than 1")</f>
        <v>20-25</v>
      </c>
      <c r="I1459">
        <v>7</v>
      </c>
      <c r="J1459">
        <v>3</v>
      </c>
      <c r="K1459" s="6">
        <v>8</v>
      </c>
      <c r="L1459" s="2">
        <v>1.99</v>
      </c>
      <c r="M1459" s="6">
        <v>58</v>
      </c>
      <c r="N1459" t="str" cm="1">
        <f t="array" ref="N1459">_xlfn.IFS(M1459&gt;=50,"50-60 Days", M1459&gt;=40,"40-50 Days", M1459&gt;=30, "30-40 Days", M1459&gt;=20, "20-30 Days", M1459&gt;=10, "10-20 Days", M1459&gt;=0, "0-10 Days")</f>
        <v>50-60 Days</v>
      </c>
    </row>
    <row r="1460" spans="1:14">
      <c r="A1460">
        <v>1459</v>
      </c>
      <c r="B1460" t="s">
        <v>28</v>
      </c>
      <c r="C1460" s="5">
        <v>45601</v>
      </c>
      <c r="D1460" s="8">
        <v>45601</v>
      </c>
      <c r="E1460" s="8">
        <f>IF(B1460="Inactive", EDATE(D1460,K1460), "")</f>
        <v>45874</v>
      </c>
      <c r="F1460" t="s">
        <v>10</v>
      </c>
      <c r="G1460">
        <v>0.7</v>
      </c>
      <c r="H1460" t="str" cm="1">
        <f t="array" ref="H1460">_xlfn.IFS(G1460&gt;=20,"20-25", G1460&gt;=15,"15-20", G1460&gt;=10,"10-15", G1460&gt;=5,"5-10", G1460&gt;=1,"1-5", G1460&lt;1,"Less than 1")</f>
        <v>Less than 1</v>
      </c>
      <c r="I1460">
        <v>5</v>
      </c>
      <c r="J1460">
        <v>1</v>
      </c>
      <c r="K1460" s="6">
        <v>9</v>
      </c>
      <c r="L1460" s="2">
        <v>6.99</v>
      </c>
      <c r="M1460" s="6">
        <v>32</v>
      </c>
      <c r="N1460" t="str" cm="1">
        <f t="array" ref="N1460">_xlfn.IFS(M1460&gt;=50,"50-60 Days", M1460&gt;=40,"40-50 Days", M1460&gt;=30, "30-40 Days", M1460&gt;=20, "20-30 Days", M1460&gt;=10, "10-20 Days", M1460&gt;=0, "0-10 Days")</f>
        <v>30-40 Days</v>
      </c>
    </row>
    <row r="1461" spans="1:14">
      <c r="A1461">
        <v>1460</v>
      </c>
      <c r="B1461" t="s">
        <v>28</v>
      </c>
      <c r="C1461" s="5">
        <v>45351</v>
      </c>
      <c r="D1461" s="8">
        <v>45351</v>
      </c>
      <c r="E1461" s="8">
        <f>IF(B1461="Inactive", EDATE(D1461,K1461), "")</f>
        <v>45564</v>
      </c>
      <c r="F1461" t="s">
        <v>14</v>
      </c>
      <c r="G1461">
        <v>21</v>
      </c>
      <c r="H1461" t="str" cm="1">
        <f t="array" ref="H1461">_xlfn.IFS(G1461&gt;=20,"20-25", G1461&gt;=15,"15-20", G1461&gt;=10,"10-15", G1461&gt;=5,"5-10", G1461&gt;=1,"1-5", G1461&lt;1,"Less than 1")</f>
        <v>20-25</v>
      </c>
      <c r="I1461">
        <v>6</v>
      </c>
      <c r="J1461">
        <v>5</v>
      </c>
      <c r="K1461" s="6">
        <v>7</v>
      </c>
      <c r="L1461" s="2">
        <v>3.99</v>
      </c>
      <c r="M1461" s="6">
        <v>15</v>
      </c>
      <c r="N1461" t="str" cm="1">
        <f t="array" ref="N1461">_xlfn.IFS(M1461&gt;=50,"50-60 Days", M1461&gt;=40,"40-50 Days", M1461&gt;=30, "30-40 Days", M1461&gt;=20, "20-30 Days", M1461&gt;=10, "10-20 Days", M1461&gt;=0, "0-10 Days")</f>
        <v>10-20 Days</v>
      </c>
    </row>
    <row r="1462" spans="1:14">
      <c r="A1462">
        <v>1461</v>
      </c>
      <c r="B1462" t="s">
        <v>28</v>
      </c>
      <c r="C1462" s="5">
        <v>45252</v>
      </c>
      <c r="D1462" s="8">
        <v>45252</v>
      </c>
      <c r="E1462" s="8">
        <f>IF(B1462="Inactive", EDATE(D1462,K1462), "")</f>
        <v>45282</v>
      </c>
      <c r="F1462" t="s">
        <v>12</v>
      </c>
      <c r="G1462">
        <v>1.1000000000000001</v>
      </c>
      <c r="H1462" t="str" cm="1">
        <f t="array" ref="H1462">_xlfn.IFS(G1462&gt;=20,"20-25", G1462&gt;=15,"15-20", G1462&gt;=10,"10-15", G1462&gt;=5,"5-10", G1462&gt;=1,"1-5", G1462&lt;1,"Less than 1")</f>
        <v>1-5</v>
      </c>
      <c r="I1462">
        <v>5</v>
      </c>
      <c r="J1462">
        <v>4</v>
      </c>
      <c r="K1462" s="6">
        <v>1</v>
      </c>
      <c r="L1462" s="2">
        <v>1.99</v>
      </c>
      <c r="M1462" s="6">
        <v>52</v>
      </c>
      <c r="N1462" t="str" cm="1">
        <f t="array" ref="N1462">_xlfn.IFS(M1462&gt;=50,"50-60 Days", M1462&gt;=40,"40-50 Days", M1462&gt;=30, "30-40 Days", M1462&gt;=20, "20-30 Days", M1462&gt;=10, "10-20 Days", M1462&gt;=0, "0-10 Days")</f>
        <v>50-60 Days</v>
      </c>
    </row>
    <row r="1463" spans="1:14">
      <c r="A1463">
        <v>1462</v>
      </c>
      <c r="B1463" t="s">
        <v>29</v>
      </c>
      <c r="C1463" s="5">
        <v>45124</v>
      </c>
      <c r="D1463" s="8">
        <v>45124</v>
      </c>
      <c r="E1463" s="8" t="str">
        <f>IF(B1463="Inactive", EDATE(D1463,K1463), "")</f>
        <v/>
      </c>
      <c r="F1463" t="s">
        <v>14</v>
      </c>
      <c r="G1463">
        <v>24</v>
      </c>
      <c r="H1463" t="str" cm="1">
        <f t="array" ref="H1463">_xlfn.IFS(G1463&gt;=20,"20-25", G1463&gt;=15,"15-20", G1463&gt;=10,"10-15", G1463&gt;=5,"5-10", G1463&gt;=1,"1-5", G1463&lt;1,"Less than 1")</f>
        <v>20-25</v>
      </c>
      <c r="I1463">
        <v>6</v>
      </c>
      <c r="J1463">
        <v>1</v>
      </c>
      <c r="K1463" s="6">
        <v>4</v>
      </c>
      <c r="L1463" s="2">
        <v>3.99</v>
      </c>
      <c r="M1463" s="6">
        <v>35</v>
      </c>
      <c r="N1463" t="str" cm="1">
        <f t="array" ref="N1463">_xlfn.IFS(M1463&gt;=50,"50-60 Days", M1463&gt;=40,"40-50 Days", M1463&gt;=30, "30-40 Days", M1463&gt;=20, "20-30 Days", M1463&gt;=10, "10-20 Days", M1463&gt;=0, "0-10 Days")</f>
        <v>30-40 Days</v>
      </c>
    </row>
    <row r="1464" spans="1:14">
      <c r="A1464">
        <v>1463</v>
      </c>
      <c r="B1464" t="s">
        <v>29</v>
      </c>
      <c r="C1464" s="5">
        <v>45104</v>
      </c>
      <c r="D1464" s="8">
        <v>45104</v>
      </c>
      <c r="E1464" s="8" t="str">
        <f>IF(B1464="Inactive", EDATE(D1464,K1464), "")</f>
        <v/>
      </c>
      <c r="F1464" t="s">
        <v>10</v>
      </c>
      <c r="G1464">
        <v>20.8</v>
      </c>
      <c r="H1464" t="str" cm="1">
        <f t="array" ref="H1464">_xlfn.IFS(G1464&gt;=20,"20-25", G1464&gt;=15,"15-20", G1464&gt;=10,"10-15", G1464&gt;=5,"5-10", G1464&gt;=1,"1-5", G1464&lt;1,"Less than 1")</f>
        <v>20-25</v>
      </c>
      <c r="I1464">
        <v>6</v>
      </c>
      <c r="J1464">
        <v>1</v>
      </c>
      <c r="K1464" s="6">
        <v>9</v>
      </c>
      <c r="L1464" s="2">
        <v>6.99</v>
      </c>
      <c r="M1464" s="6">
        <v>60</v>
      </c>
      <c r="N1464" t="str" cm="1">
        <f t="array" ref="N1464">_xlfn.IFS(M1464&gt;=50,"50-60 Days", M1464&gt;=40,"40-50 Days", M1464&gt;=30, "30-40 Days", M1464&gt;=20, "20-30 Days", M1464&gt;=10, "10-20 Days", M1464&gt;=0, "0-10 Days")</f>
        <v>50-60 Days</v>
      </c>
    </row>
    <row r="1465" spans="1:14">
      <c r="A1465">
        <v>1464</v>
      </c>
      <c r="B1465" t="s">
        <v>29</v>
      </c>
      <c r="C1465" s="5">
        <v>45056</v>
      </c>
      <c r="D1465" s="8">
        <v>45056</v>
      </c>
      <c r="E1465" s="8" t="str">
        <f>IF(B1465="Inactive", EDATE(D1465,K1465), "")</f>
        <v/>
      </c>
      <c r="F1465" t="s">
        <v>14</v>
      </c>
      <c r="G1465">
        <v>13.2</v>
      </c>
      <c r="H1465" t="str" cm="1">
        <f t="array" ref="H1465">_xlfn.IFS(G1465&gt;=20,"20-25", G1465&gt;=15,"15-20", G1465&gt;=10,"10-15", G1465&gt;=5,"5-10", G1465&gt;=1,"1-5", G1465&lt;1,"Less than 1")</f>
        <v>10-15</v>
      </c>
      <c r="I1465">
        <v>6</v>
      </c>
      <c r="J1465">
        <v>1</v>
      </c>
      <c r="K1465" s="6">
        <v>7</v>
      </c>
      <c r="L1465" s="2">
        <v>3.99</v>
      </c>
      <c r="M1465" s="6">
        <v>6</v>
      </c>
      <c r="N1465" t="str" cm="1">
        <f t="array" ref="N1465">_xlfn.IFS(M1465&gt;=50,"50-60 Days", M1465&gt;=40,"40-50 Days", M1465&gt;=30, "30-40 Days", M1465&gt;=20, "20-30 Days", M1465&gt;=10, "10-20 Days", M1465&gt;=0, "0-10 Days")</f>
        <v>0-10 Days</v>
      </c>
    </row>
    <row r="1466" spans="1:14">
      <c r="A1466">
        <v>1465</v>
      </c>
      <c r="B1466" t="s">
        <v>28</v>
      </c>
      <c r="C1466" s="5">
        <v>45493</v>
      </c>
      <c r="D1466" s="8">
        <v>45493</v>
      </c>
      <c r="E1466" s="8">
        <f>IF(B1466="Inactive", EDATE(D1466,K1466), "")</f>
        <v>45585</v>
      </c>
      <c r="F1466" t="s">
        <v>10</v>
      </c>
      <c r="G1466">
        <v>16</v>
      </c>
      <c r="H1466" t="str" cm="1">
        <f t="array" ref="H1466">_xlfn.IFS(G1466&gt;=20,"20-25", G1466&gt;=15,"15-20", G1466&gt;=10,"10-15", G1466&gt;=5,"5-10", G1466&gt;=1,"1-5", G1466&lt;1,"Less than 1")</f>
        <v>15-20</v>
      </c>
      <c r="I1466">
        <v>6</v>
      </c>
      <c r="J1466">
        <v>5</v>
      </c>
      <c r="K1466" s="6">
        <v>3</v>
      </c>
      <c r="L1466" s="2">
        <v>6.99</v>
      </c>
      <c r="M1466" s="6">
        <v>58</v>
      </c>
      <c r="N1466" t="str" cm="1">
        <f t="array" ref="N1466">_xlfn.IFS(M1466&gt;=50,"50-60 Days", M1466&gt;=40,"40-50 Days", M1466&gt;=30, "30-40 Days", M1466&gt;=20, "20-30 Days", M1466&gt;=10, "10-20 Days", M1466&gt;=0, "0-10 Days")</f>
        <v>50-60 Days</v>
      </c>
    </row>
    <row r="1467" spans="1:14">
      <c r="A1467">
        <v>1466</v>
      </c>
      <c r="B1467" t="s">
        <v>28</v>
      </c>
      <c r="C1467" s="5">
        <v>45534</v>
      </c>
      <c r="D1467" s="8">
        <v>45534</v>
      </c>
      <c r="E1467" s="8">
        <f>IF(B1467="Inactive", EDATE(D1467,K1467), "")</f>
        <v>45746</v>
      </c>
      <c r="F1467" t="s">
        <v>12</v>
      </c>
      <c r="G1467">
        <v>5.5</v>
      </c>
      <c r="H1467" t="str" cm="1">
        <f t="array" ref="H1467">_xlfn.IFS(G1467&gt;=20,"20-25", G1467&gt;=15,"15-20", G1467&gt;=10,"10-15", G1467&gt;=5,"5-10", G1467&gt;=1,"1-5", G1467&lt;1,"Less than 1")</f>
        <v>5-10</v>
      </c>
      <c r="I1467">
        <v>1</v>
      </c>
      <c r="J1467">
        <v>0</v>
      </c>
      <c r="K1467" s="6">
        <v>7</v>
      </c>
      <c r="L1467" s="2">
        <v>1.99</v>
      </c>
      <c r="M1467" s="6">
        <v>27</v>
      </c>
      <c r="N1467" t="str" cm="1">
        <f t="array" ref="N1467">_xlfn.IFS(M1467&gt;=50,"50-60 Days", M1467&gt;=40,"40-50 Days", M1467&gt;=30, "30-40 Days", M1467&gt;=20, "20-30 Days", M1467&gt;=10, "10-20 Days", M1467&gt;=0, "0-10 Days")</f>
        <v>20-30 Days</v>
      </c>
    </row>
    <row r="1468" spans="1:14">
      <c r="A1468">
        <v>1467</v>
      </c>
      <c r="B1468" t="s">
        <v>28</v>
      </c>
      <c r="C1468" s="5">
        <v>45060</v>
      </c>
      <c r="D1468" s="8">
        <v>45060</v>
      </c>
      <c r="E1468" s="8">
        <f>IF(B1468="Inactive", EDATE(D1468,K1468), "")</f>
        <v>45091</v>
      </c>
      <c r="F1468" t="s">
        <v>12</v>
      </c>
      <c r="G1468">
        <v>15.6</v>
      </c>
      <c r="H1468" t="str" cm="1">
        <f t="array" ref="H1468">_xlfn.IFS(G1468&gt;=20,"20-25", G1468&gt;=15,"15-20", G1468&gt;=10,"10-15", G1468&gt;=5,"5-10", G1468&gt;=1,"1-5", G1468&lt;1,"Less than 1")</f>
        <v>15-20</v>
      </c>
      <c r="I1468">
        <v>8</v>
      </c>
      <c r="J1468">
        <v>0</v>
      </c>
      <c r="K1468" s="6">
        <v>1</v>
      </c>
      <c r="L1468" s="2">
        <v>1.99</v>
      </c>
      <c r="M1468" s="6">
        <v>36</v>
      </c>
      <c r="N1468" t="str" cm="1">
        <f t="array" ref="N1468">_xlfn.IFS(M1468&gt;=50,"50-60 Days", M1468&gt;=40,"40-50 Days", M1468&gt;=30, "30-40 Days", M1468&gt;=20, "20-30 Days", M1468&gt;=10, "10-20 Days", M1468&gt;=0, "0-10 Days")</f>
        <v>30-40 Days</v>
      </c>
    </row>
    <row r="1469" spans="1:14">
      <c r="A1469">
        <v>1468</v>
      </c>
      <c r="B1469" t="s">
        <v>29</v>
      </c>
      <c r="C1469" s="5">
        <v>45178</v>
      </c>
      <c r="D1469" s="8">
        <v>45178</v>
      </c>
      <c r="E1469" s="8" t="str">
        <f>IF(B1469="Inactive", EDATE(D1469,K1469), "")</f>
        <v/>
      </c>
      <c r="F1469" t="s">
        <v>14</v>
      </c>
      <c r="G1469">
        <v>5.0999999999999996</v>
      </c>
      <c r="H1469" t="str" cm="1">
        <f t="array" ref="H1469">_xlfn.IFS(G1469&gt;=20,"20-25", G1469&gt;=15,"15-20", G1469&gt;=10,"10-15", G1469&gt;=5,"5-10", G1469&gt;=1,"1-5", G1469&lt;1,"Less than 1")</f>
        <v>5-10</v>
      </c>
      <c r="I1469">
        <v>3</v>
      </c>
      <c r="J1469">
        <v>2</v>
      </c>
      <c r="K1469" s="6">
        <v>8</v>
      </c>
      <c r="L1469" s="2">
        <v>3.99</v>
      </c>
      <c r="M1469" s="6">
        <v>12</v>
      </c>
      <c r="N1469" t="str" cm="1">
        <f t="array" ref="N1469">_xlfn.IFS(M1469&gt;=50,"50-60 Days", M1469&gt;=40,"40-50 Days", M1469&gt;=30, "30-40 Days", M1469&gt;=20, "20-30 Days", M1469&gt;=10, "10-20 Days", M1469&gt;=0, "0-10 Days")</f>
        <v>10-20 Days</v>
      </c>
    </row>
    <row r="1470" spans="1:14">
      <c r="A1470">
        <v>1469</v>
      </c>
      <c r="B1470" t="s">
        <v>29</v>
      </c>
      <c r="C1470" s="5">
        <v>45569</v>
      </c>
      <c r="D1470" s="8">
        <v>45569</v>
      </c>
      <c r="E1470" s="8" t="str">
        <f>IF(B1470="Inactive", EDATE(D1470,K1470), "")</f>
        <v/>
      </c>
      <c r="F1470" t="s">
        <v>10</v>
      </c>
      <c r="G1470">
        <v>19.399999999999999</v>
      </c>
      <c r="H1470" t="str" cm="1">
        <f t="array" ref="H1470">_xlfn.IFS(G1470&gt;=20,"20-25", G1470&gt;=15,"15-20", G1470&gt;=10,"10-15", G1470&gt;=5,"5-10", G1470&gt;=1,"1-5", G1470&lt;1,"Less than 1")</f>
        <v>15-20</v>
      </c>
      <c r="I1470">
        <v>0</v>
      </c>
      <c r="J1470">
        <v>2</v>
      </c>
      <c r="K1470" s="6">
        <v>9</v>
      </c>
      <c r="L1470" s="2">
        <v>6.99</v>
      </c>
      <c r="M1470" s="6">
        <v>5</v>
      </c>
      <c r="N1470" t="str" cm="1">
        <f t="array" ref="N1470">_xlfn.IFS(M1470&gt;=50,"50-60 Days", M1470&gt;=40,"40-50 Days", M1470&gt;=30, "30-40 Days", M1470&gt;=20, "20-30 Days", M1470&gt;=10, "10-20 Days", M1470&gt;=0, "0-10 Days")</f>
        <v>0-10 Days</v>
      </c>
    </row>
    <row r="1471" spans="1:14">
      <c r="A1471">
        <v>1470</v>
      </c>
      <c r="B1471" t="s">
        <v>28</v>
      </c>
      <c r="C1471" s="5">
        <v>45111</v>
      </c>
      <c r="D1471" s="8">
        <v>45111</v>
      </c>
      <c r="E1471" s="8">
        <f>IF(B1471="Inactive", EDATE(D1471,K1471), "")</f>
        <v>45203</v>
      </c>
      <c r="F1471" t="s">
        <v>12</v>
      </c>
      <c r="G1471">
        <v>3.2</v>
      </c>
      <c r="H1471" t="str" cm="1">
        <f t="array" ref="H1471">_xlfn.IFS(G1471&gt;=20,"20-25", G1471&gt;=15,"15-20", G1471&gt;=10,"10-15", G1471&gt;=5,"5-10", G1471&gt;=1,"1-5", G1471&lt;1,"Less than 1")</f>
        <v>1-5</v>
      </c>
      <c r="I1471">
        <v>1</v>
      </c>
      <c r="J1471">
        <v>0</v>
      </c>
      <c r="K1471" s="6">
        <v>3</v>
      </c>
      <c r="L1471" s="2">
        <v>1.99</v>
      </c>
      <c r="M1471" s="6">
        <v>9</v>
      </c>
      <c r="N1471" t="str" cm="1">
        <f t="array" ref="N1471">_xlfn.IFS(M1471&gt;=50,"50-60 Days", M1471&gt;=40,"40-50 Days", M1471&gt;=30, "30-40 Days", M1471&gt;=20, "20-30 Days", M1471&gt;=10, "10-20 Days", M1471&gt;=0, "0-10 Days")</f>
        <v>0-10 Days</v>
      </c>
    </row>
    <row r="1472" spans="1:14">
      <c r="A1472">
        <v>1471</v>
      </c>
      <c r="B1472" t="s">
        <v>28</v>
      </c>
      <c r="C1472" s="5">
        <v>44949</v>
      </c>
      <c r="D1472" s="8">
        <v>44949</v>
      </c>
      <c r="E1472" s="8">
        <f>IF(B1472="Inactive", EDATE(D1472,K1472), "")</f>
        <v>45008</v>
      </c>
      <c r="F1472" t="s">
        <v>12</v>
      </c>
      <c r="G1472">
        <v>12.6</v>
      </c>
      <c r="H1472" t="str" cm="1">
        <f t="array" ref="H1472">_xlfn.IFS(G1472&gt;=20,"20-25", G1472&gt;=15,"15-20", G1472&gt;=10,"10-15", G1472&gt;=5,"5-10", G1472&gt;=1,"1-5", G1472&lt;1,"Less than 1")</f>
        <v>10-15</v>
      </c>
      <c r="I1472">
        <v>5</v>
      </c>
      <c r="J1472">
        <v>1</v>
      </c>
      <c r="K1472" s="6">
        <v>2</v>
      </c>
      <c r="L1472" s="2">
        <v>1.99</v>
      </c>
      <c r="M1472" s="6">
        <v>25</v>
      </c>
      <c r="N1472" t="str" cm="1">
        <f t="array" ref="N1472">_xlfn.IFS(M1472&gt;=50,"50-60 Days", M1472&gt;=40,"40-50 Days", M1472&gt;=30, "30-40 Days", M1472&gt;=20, "20-30 Days", M1472&gt;=10, "10-20 Days", M1472&gt;=0, "0-10 Days")</f>
        <v>20-30 Days</v>
      </c>
    </row>
    <row r="1473" spans="1:14">
      <c r="A1473">
        <v>1472</v>
      </c>
      <c r="B1473" t="s">
        <v>29</v>
      </c>
      <c r="C1473" s="5">
        <v>45248</v>
      </c>
      <c r="D1473" s="8">
        <v>45248</v>
      </c>
      <c r="E1473" s="8" t="str">
        <f>IF(B1473="Inactive", EDATE(D1473,K1473), "")</f>
        <v/>
      </c>
      <c r="F1473" t="s">
        <v>14</v>
      </c>
      <c r="G1473">
        <v>12.4</v>
      </c>
      <c r="H1473" t="str" cm="1">
        <f t="array" ref="H1473">_xlfn.IFS(G1473&gt;=20,"20-25", G1473&gt;=15,"15-20", G1473&gt;=10,"10-15", G1473&gt;=5,"5-10", G1473&gt;=1,"1-5", G1473&lt;1,"Less than 1")</f>
        <v>10-15</v>
      </c>
      <c r="I1473">
        <v>1</v>
      </c>
      <c r="J1473">
        <v>1</v>
      </c>
      <c r="K1473" s="6">
        <v>2</v>
      </c>
      <c r="L1473" s="2">
        <v>3.99</v>
      </c>
      <c r="M1473" s="6">
        <v>43</v>
      </c>
      <c r="N1473" t="str" cm="1">
        <f t="array" ref="N1473">_xlfn.IFS(M1473&gt;=50,"50-60 Days", M1473&gt;=40,"40-50 Days", M1473&gt;=30, "30-40 Days", M1473&gt;=20, "20-30 Days", M1473&gt;=10, "10-20 Days", M1473&gt;=0, "0-10 Days")</f>
        <v>40-50 Days</v>
      </c>
    </row>
    <row r="1474" spans="1:14">
      <c r="A1474">
        <v>1473</v>
      </c>
      <c r="B1474" t="s">
        <v>29</v>
      </c>
      <c r="C1474" s="5">
        <v>45602</v>
      </c>
      <c r="D1474" s="8">
        <v>45602</v>
      </c>
      <c r="E1474" s="8" t="str">
        <f>IF(B1474="Inactive", EDATE(D1474,K1474), "")</f>
        <v/>
      </c>
      <c r="F1474" t="s">
        <v>10</v>
      </c>
      <c r="G1474">
        <v>20.3</v>
      </c>
      <c r="H1474" t="str" cm="1">
        <f t="array" ref="H1474">_xlfn.IFS(G1474&gt;=20,"20-25", G1474&gt;=15,"15-20", G1474&gt;=10,"10-15", G1474&gt;=5,"5-10", G1474&gt;=1,"1-5", G1474&lt;1,"Less than 1")</f>
        <v>20-25</v>
      </c>
      <c r="I1474">
        <v>2</v>
      </c>
      <c r="J1474">
        <v>2</v>
      </c>
      <c r="K1474" s="6">
        <v>10</v>
      </c>
      <c r="L1474" s="2">
        <v>6.99</v>
      </c>
      <c r="M1474" s="6">
        <v>0</v>
      </c>
      <c r="N1474" t="str" cm="1">
        <f t="array" ref="N1474">_xlfn.IFS(M1474&gt;=50,"50-60 Days", M1474&gt;=40,"40-50 Days", M1474&gt;=30, "30-40 Days", M1474&gt;=20, "20-30 Days", M1474&gt;=10, "10-20 Days", M1474&gt;=0, "0-10 Days")</f>
        <v>0-10 Days</v>
      </c>
    </row>
    <row r="1475" spans="1:14">
      <c r="A1475">
        <v>1474</v>
      </c>
      <c r="B1475" t="s">
        <v>28</v>
      </c>
      <c r="C1475" s="5">
        <v>45541</v>
      </c>
      <c r="D1475" s="8">
        <v>45541</v>
      </c>
      <c r="E1475" s="8">
        <f>IF(B1475="Inactive", EDATE(D1475,K1475), "")</f>
        <v>45571</v>
      </c>
      <c r="F1475" t="s">
        <v>10</v>
      </c>
      <c r="G1475">
        <v>3.4</v>
      </c>
      <c r="H1475" t="str" cm="1">
        <f t="array" ref="H1475">_xlfn.IFS(G1475&gt;=20,"20-25", G1475&gt;=15,"15-20", G1475&gt;=10,"10-15", G1475&gt;=5,"5-10", G1475&gt;=1,"1-5", G1475&lt;1,"Less than 1")</f>
        <v>1-5</v>
      </c>
      <c r="I1475">
        <v>5</v>
      </c>
      <c r="J1475">
        <v>2</v>
      </c>
      <c r="K1475" s="6">
        <v>1</v>
      </c>
      <c r="L1475" s="2">
        <v>6.99</v>
      </c>
      <c r="M1475" s="6">
        <v>30</v>
      </c>
      <c r="N1475" t="str" cm="1">
        <f t="array" ref="N1475">_xlfn.IFS(M1475&gt;=50,"50-60 Days", M1475&gt;=40,"40-50 Days", M1475&gt;=30, "30-40 Days", M1475&gt;=20, "20-30 Days", M1475&gt;=10, "10-20 Days", M1475&gt;=0, "0-10 Days")</f>
        <v>30-40 Days</v>
      </c>
    </row>
    <row r="1476" spans="1:14">
      <c r="A1476">
        <v>1475</v>
      </c>
      <c r="B1476" t="s">
        <v>29</v>
      </c>
      <c r="C1476" s="5">
        <v>45475</v>
      </c>
      <c r="D1476" s="8">
        <v>45475</v>
      </c>
      <c r="E1476" s="8" t="str">
        <f>IF(B1476="Inactive", EDATE(D1476,K1476), "")</f>
        <v/>
      </c>
      <c r="F1476" t="s">
        <v>10</v>
      </c>
      <c r="G1476">
        <v>4.4000000000000004</v>
      </c>
      <c r="H1476" t="str" cm="1">
        <f t="array" ref="H1476">_xlfn.IFS(G1476&gt;=20,"20-25", G1476&gt;=15,"15-20", G1476&gt;=10,"10-15", G1476&gt;=5,"5-10", G1476&gt;=1,"1-5", G1476&lt;1,"Less than 1")</f>
        <v>1-5</v>
      </c>
      <c r="I1476">
        <v>4</v>
      </c>
      <c r="J1476">
        <v>0</v>
      </c>
      <c r="K1476" s="6">
        <v>1</v>
      </c>
      <c r="L1476" s="2">
        <v>6.99</v>
      </c>
      <c r="M1476" s="6">
        <v>12</v>
      </c>
      <c r="N1476" t="str" cm="1">
        <f t="array" ref="N1476">_xlfn.IFS(M1476&gt;=50,"50-60 Days", M1476&gt;=40,"40-50 Days", M1476&gt;=30, "30-40 Days", M1476&gt;=20, "20-30 Days", M1476&gt;=10, "10-20 Days", M1476&gt;=0, "0-10 Days")</f>
        <v>10-20 Days</v>
      </c>
    </row>
    <row r="1477" spans="1:14">
      <c r="A1477">
        <v>1476</v>
      </c>
      <c r="B1477" t="s">
        <v>29</v>
      </c>
      <c r="C1477" s="5">
        <v>45149</v>
      </c>
      <c r="D1477" s="8">
        <v>45149</v>
      </c>
      <c r="E1477" s="8" t="str">
        <f>IF(B1477="Inactive", EDATE(D1477,K1477), "")</f>
        <v/>
      </c>
      <c r="F1477" t="s">
        <v>12</v>
      </c>
      <c r="G1477">
        <v>13</v>
      </c>
      <c r="H1477" t="str" cm="1">
        <f t="array" ref="H1477">_xlfn.IFS(G1477&gt;=20,"20-25", G1477&gt;=15,"15-20", G1477&gt;=10,"10-15", G1477&gt;=5,"5-10", G1477&gt;=1,"1-5", G1477&lt;1,"Less than 1")</f>
        <v>10-15</v>
      </c>
      <c r="I1477">
        <v>2</v>
      </c>
      <c r="J1477">
        <v>1</v>
      </c>
      <c r="K1477" s="6">
        <v>12</v>
      </c>
      <c r="L1477" s="2">
        <v>1.99</v>
      </c>
      <c r="M1477" s="6">
        <v>55</v>
      </c>
      <c r="N1477" t="str" cm="1">
        <f t="array" ref="N1477">_xlfn.IFS(M1477&gt;=50,"50-60 Days", M1477&gt;=40,"40-50 Days", M1477&gt;=30, "30-40 Days", M1477&gt;=20, "20-30 Days", M1477&gt;=10, "10-20 Days", M1477&gt;=0, "0-10 Days")</f>
        <v>50-60 Days</v>
      </c>
    </row>
    <row r="1478" spans="1:14">
      <c r="A1478">
        <v>1477</v>
      </c>
      <c r="B1478" t="s">
        <v>29</v>
      </c>
      <c r="C1478" s="5">
        <v>45201</v>
      </c>
      <c r="D1478" s="8">
        <v>45201</v>
      </c>
      <c r="E1478" s="8" t="str">
        <f>IF(B1478="Inactive", EDATE(D1478,K1478), "")</f>
        <v/>
      </c>
      <c r="F1478" t="s">
        <v>12</v>
      </c>
      <c r="G1478">
        <v>3.9</v>
      </c>
      <c r="H1478" t="str" cm="1">
        <f t="array" ref="H1478">_xlfn.IFS(G1478&gt;=20,"20-25", G1478&gt;=15,"15-20", G1478&gt;=10,"10-15", G1478&gt;=5,"5-10", G1478&gt;=1,"1-5", G1478&lt;1,"Less than 1")</f>
        <v>1-5</v>
      </c>
      <c r="I1478">
        <v>1</v>
      </c>
      <c r="J1478">
        <v>5</v>
      </c>
      <c r="K1478" s="6">
        <v>7</v>
      </c>
      <c r="L1478" s="2">
        <v>1.99</v>
      </c>
      <c r="M1478" s="6">
        <v>44</v>
      </c>
      <c r="N1478" t="str" cm="1">
        <f t="array" ref="N1478">_xlfn.IFS(M1478&gt;=50,"50-60 Days", M1478&gt;=40,"40-50 Days", M1478&gt;=30, "30-40 Days", M1478&gt;=20, "20-30 Days", M1478&gt;=10, "10-20 Days", M1478&gt;=0, "0-10 Days")</f>
        <v>40-50 Days</v>
      </c>
    </row>
    <row r="1479" spans="1:14">
      <c r="A1479">
        <v>1478</v>
      </c>
      <c r="B1479" t="s">
        <v>28</v>
      </c>
      <c r="C1479" s="5">
        <v>45228</v>
      </c>
      <c r="D1479" s="8">
        <v>45228</v>
      </c>
      <c r="E1479" s="8">
        <f>IF(B1479="Inactive", EDATE(D1479,K1479), "")</f>
        <v>45564</v>
      </c>
      <c r="F1479" t="s">
        <v>14</v>
      </c>
      <c r="G1479">
        <v>5.4</v>
      </c>
      <c r="H1479" t="str" cm="1">
        <f t="array" ref="H1479">_xlfn.IFS(G1479&gt;=20,"20-25", G1479&gt;=15,"15-20", G1479&gt;=10,"10-15", G1479&gt;=5,"5-10", G1479&gt;=1,"1-5", G1479&lt;1,"Less than 1")</f>
        <v>5-10</v>
      </c>
      <c r="I1479">
        <v>1</v>
      </c>
      <c r="J1479">
        <v>2</v>
      </c>
      <c r="K1479" s="6">
        <v>11</v>
      </c>
      <c r="L1479" s="2">
        <v>3.99</v>
      </c>
      <c r="M1479" s="6">
        <v>45</v>
      </c>
      <c r="N1479" t="str" cm="1">
        <f t="array" ref="N1479">_xlfn.IFS(M1479&gt;=50,"50-60 Days", M1479&gt;=40,"40-50 Days", M1479&gt;=30, "30-40 Days", M1479&gt;=20, "20-30 Days", M1479&gt;=10, "10-20 Days", M1479&gt;=0, "0-10 Days")</f>
        <v>40-50 Days</v>
      </c>
    </row>
    <row r="1480" spans="1:14">
      <c r="A1480">
        <v>1479</v>
      </c>
      <c r="B1480" t="s">
        <v>28</v>
      </c>
      <c r="C1480" s="5">
        <v>45630</v>
      </c>
      <c r="D1480" s="8">
        <v>45630</v>
      </c>
      <c r="E1480" s="8">
        <f>IF(B1480="Inactive", EDATE(D1480,K1480), "")</f>
        <v>45965</v>
      </c>
      <c r="F1480" t="s">
        <v>14</v>
      </c>
      <c r="G1480">
        <v>11.2</v>
      </c>
      <c r="H1480" t="str" cm="1">
        <f t="array" ref="H1480">_xlfn.IFS(G1480&gt;=20,"20-25", G1480&gt;=15,"15-20", G1480&gt;=10,"10-15", G1480&gt;=5,"5-10", G1480&gt;=1,"1-5", G1480&lt;1,"Less than 1")</f>
        <v>10-15</v>
      </c>
      <c r="I1480">
        <v>6</v>
      </c>
      <c r="J1480">
        <v>1</v>
      </c>
      <c r="K1480" s="6">
        <v>11</v>
      </c>
      <c r="L1480" s="2">
        <v>3.99</v>
      </c>
      <c r="M1480" s="6">
        <v>16</v>
      </c>
      <c r="N1480" t="str" cm="1">
        <f t="array" ref="N1480">_xlfn.IFS(M1480&gt;=50,"50-60 Days", M1480&gt;=40,"40-50 Days", M1480&gt;=30, "30-40 Days", M1480&gt;=20, "20-30 Days", M1480&gt;=10, "10-20 Days", M1480&gt;=0, "0-10 Days")</f>
        <v>10-20 Days</v>
      </c>
    </row>
    <row r="1481" spans="1:14">
      <c r="A1481">
        <v>1480</v>
      </c>
      <c r="B1481" t="s">
        <v>29</v>
      </c>
      <c r="C1481" s="5">
        <v>45246</v>
      </c>
      <c r="D1481" s="8">
        <v>45246</v>
      </c>
      <c r="E1481" s="8" t="str">
        <f>IF(B1481="Inactive", EDATE(D1481,K1481), "")</f>
        <v/>
      </c>
      <c r="F1481" t="s">
        <v>10</v>
      </c>
      <c r="G1481">
        <v>24.1</v>
      </c>
      <c r="H1481" t="str" cm="1">
        <f t="array" ref="H1481">_xlfn.IFS(G1481&gt;=20,"20-25", G1481&gt;=15,"15-20", G1481&gt;=10,"10-15", G1481&gt;=5,"5-10", G1481&gt;=1,"1-5", G1481&lt;1,"Less than 1")</f>
        <v>20-25</v>
      </c>
      <c r="I1481">
        <v>1</v>
      </c>
      <c r="J1481">
        <v>4</v>
      </c>
      <c r="K1481" s="6">
        <v>6</v>
      </c>
      <c r="L1481" s="2">
        <v>6.99</v>
      </c>
      <c r="M1481" s="6">
        <v>50</v>
      </c>
      <c r="N1481" t="str" cm="1">
        <f t="array" ref="N1481">_xlfn.IFS(M1481&gt;=50,"50-60 Days", M1481&gt;=40,"40-50 Days", M1481&gt;=30, "30-40 Days", M1481&gt;=20, "20-30 Days", M1481&gt;=10, "10-20 Days", M1481&gt;=0, "0-10 Days")</f>
        <v>50-60 Days</v>
      </c>
    </row>
    <row r="1482" spans="1:14">
      <c r="A1482">
        <v>1481</v>
      </c>
      <c r="B1482" t="s">
        <v>28</v>
      </c>
      <c r="C1482" s="5">
        <v>45537</v>
      </c>
      <c r="D1482" s="8">
        <v>45537</v>
      </c>
      <c r="E1482" s="8">
        <f>IF(B1482="Inactive", EDATE(D1482,K1482), "")</f>
        <v>45690</v>
      </c>
      <c r="F1482" t="s">
        <v>12</v>
      </c>
      <c r="G1482">
        <v>23.9</v>
      </c>
      <c r="H1482" t="str" cm="1">
        <f t="array" ref="H1482">_xlfn.IFS(G1482&gt;=20,"20-25", G1482&gt;=15,"15-20", G1482&gt;=10,"10-15", G1482&gt;=5,"5-10", G1482&gt;=1,"1-5", G1482&lt;1,"Less than 1")</f>
        <v>20-25</v>
      </c>
      <c r="I1482">
        <v>7</v>
      </c>
      <c r="J1482">
        <v>3</v>
      </c>
      <c r="K1482" s="6">
        <v>5</v>
      </c>
      <c r="L1482" s="2">
        <v>1.99</v>
      </c>
      <c r="M1482" s="6">
        <v>56</v>
      </c>
      <c r="N1482" t="str" cm="1">
        <f t="array" ref="N1482">_xlfn.IFS(M1482&gt;=50,"50-60 Days", M1482&gt;=40,"40-50 Days", M1482&gt;=30, "30-40 Days", M1482&gt;=20, "20-30 Days", M1482&gt;=10, "10-20 Days", M1482&gt;=0, "0-10 Days")</f>
        <v>50-60 Days</v>
      </c>
    </row>
    <row r="1483" spans="1:14">
      <c r="A1483">
        <v>1482</v>
      </c>
      <c r="B1483" t="s">
        <v>28</v>
      </c>
      <c r="C1483" s="5">
        <v>45507</v>
      </c>
      <c r="D1483" s="8">
        <v>45507</v>
      </c>
      <c r="E1483" s="8">
        <f>IF(B1483="Inactive", EDATE(D1483,K1483), "")</f>
        <v>45691</v>
      </c>
      <c r="F1483" t="s">
        <v>10</v>
      </c>
      <c r="G1483">
        <v>20.5</v>
      </c>
      <c r="H1483" t="str" cm="1">
        <f t="array" ref="H1483">_xlfn.IFS(G1483&gt;=20,"20-25", G1483&gt;=15,"15-20", G1483&gt;=10,"10-15", G1483&gt;=5,"5-10", G1483&gt;=1,"1-5", G1483&lt;1,"Less than 1")</f>
        <v>20-25</v>
      </c>
      <c r="I1483">
        <v>1</v>
      </c>
      <c r="J1483">
        <v>4</v>
      </c>
      <c r="K1483" s="6">
        <v>6</v>
      </c>
      <c r="L1483" s="2">
        <v>6.99</v>
      </c>
      <c r="M1483" s="6">
        <v>24</v>
      </c>
      <c r="N1483" t="str" cm="1">
        <f t="array" ref="N1483">_xlfn.IFS(M1483&gt;=50,"50-60 Days", M1483&gt;=40,"40-50 Days", M1483&gt;=30, "30-40 Days", M1483&gt;=20, "20-30 Days", M1483&gt;=10, "10-20 Days", M1483&gt;=0, "0-10 Days")</f>
        <v>20-30 Days</v>
      </c>
    </row>
    <row r="1484" spans="1:14">
      <c r="A1484">
        <v>1483</v>
      </c>
      <c r="B1484" t="s">
        <v>29</v>
      </c>
      <c r="C1484" s="5">
        <v>45450</v>
      </c>
      <c r="D1484" s="8">
        <v>45450</v>
      </c>
      <c r="E1484" s="8" t="str">
        <f>IF(B1484="Inactive", EDATE(D1484,K1484), "")</f>
        <v/>
      </c>
      <c r="F1484" t="s">
        <v>14</v>
      </c>
      <c r="G1484">
        <v>22.5</v>
      </c>
      <c r="H1484" t="str" cm="1">
        <f t="array" ref="H1484">_xlfn.IFS(G1484&gt;=20,"20-25", G1484&gt;=15,"15-20", G1484&gt;=10,"10-15", G1484&gt;=5,"5-10", G1484&gt;=1,"1-5", G1484&lt;1,"Less than 1")</f>
        <v>20-25</v>
      </c>
      <c r="I1484">
        <v>1</v>
      </c>
      <c r="J1484">
        <v>3</v>
      </c>
      <c r="K1484" s="6">
        <v>8</v>
      </c>
      <c r="L1484" s="2">
        <v>3.99</v>
      </c>
      <c r="M1484" s="6">
        <v>10</v>
      </c>
      <c r="N1484" t="str" cm="1">
        <f t="array" ref="N1484">_xlfn.IFS(M1484&gt;=50,"50-60 Days", M1484&gt;=40,"40-50 Days", M1484&gt;=30, "30-40 Days", M1484&gt;=20, "20-30 Days", M1484&gt;=10, "10-20 Days", M1484&gt;=0, "0-10 Days")</f>
        <v>10-20 Days</v>
      </c>
    </row>
    <row r="1485" spans="1:14">
      <c r="A1485">
        <v>1484</v>
      </c>
      <c r="B1485" t="s">
        <v>28</v>
      </c>
      <c r="C1485" s="5">
        <v>45111</v>
      </c>
      <c r="D1485" s="8">
        <v>45111</v>
      </c>
      <c r="E1485" s="8">
        <f>IF(B1485="Inactive", EDATE(D1485,K1485), "")</f>
        <v>45386</v>
      </c>
      <c r="F1485" t="s">
        <v>14</v>
      </c>
      <c r="G1485">
        <v>7.7</v>
      </c>
      <c r="H1485" t="str" cm="1">
        <f t="array" ref="H1485">_xlfn.IFS(G1485&gt;=20,"20-25", G1485&gt;=15,"15-20", G1485&gt;=10,"10-15", G1485&gt;=5,"5-10", G1485&gt;=1,"1-5", G1485&lt;1,"Less than 1")</f>
        <v>5-10</v>
      </c>
      <c r="I1485">
        <v>8</v>
      </c>
      <c r="J1485">
        <v>2</v>
      </c>
      <c r="K1485" s="6">
        <v>9</v>
      </c>
      <c r="L1485" s="2">
        <v>3.99</v>
      </c>
      <c r="M1485" s="6">
        <v>25</v>
      </c>
      <c r="N1485" t="str" cm="1">
        <f t="array" ref="N1485">_xlfn.IFS(M1485&gt;=50,"50-60 Days", M1485&gt;=40,"40-50 Days", M1485&gt;=30, "30-40 Days", M1485&gt;=20, "20-30 Days", M1485&gt;=10, "10-20 Days", M1485&gt;=0, "0-10 Days")</f>
        <v>20-30 Days</v>
      </c>
    </row>
    <row r="1486" spans="1:14">
      <c r="A1486">
        <v>1485</v>
      </c>
      <c r="B1486" t="s">
        <v>28</v>
      </c>
      <c r="C1486" s="5">
        <v>45307</v>
      </c>
      <c r="D1486" s="8">
        <v>45307</v>
      </c>
      <c r="E1486" s="8">
        <f>IF(B1486="Inactive", EDATE(D1486,K1486), "")</f>
        <v>45612</v>
      </c>
      <c r="F1486" t="s">
        <v>14</v>
      </c>
      <c r="G1486">
        <v>19.899999999999999</v>
      </c>
      <c r="H1486" t="str" cm="1">
        <f t="array" ref="H1486">_xlfn.IFS(G1486&gt;=20,"20-25", G1486&gt;=15,"15-20", G1486&gt;=10,"10-15", G1486&gt;=5,"5-10", G1486&gt;=1,"1-5", G1486&lt;1,"Less than 1")</f>
        <v>15-20</v>
      </c>
      <c r="I1486">
        <v>5</v>
      </c>
      <c r="J1486">
        <v>1</v>
      </c>
      <c r="K1486" s="6">
        <v>10</v>
      </c>
      <c r="L1486" s="2">
        <v>3.99</v>
      </c>
      <c r="M1486" s="6">
        <v>4</v>
      </c>
      <c r="N1486" t="str" cm="1">
        <f t="array" ref="N1486">_xlfn.IFS(M1486&gt;=50,"50-60 Days", M1486&gt;=40,"40-50 Days", M1486&gt;=30, "30-40 Days", M1486&gt;=20, "20-30 Days", M1486&gt;=10, "10-20 Days", M1486&gt;=0, "0-10 Days")</f>
        <v>0-10 Days</v>
      </c>
    </row>
    <row r="1487" spans="1:14">
      <c r="A1487">
        <v>1486</v>
      </c>
      <c r="B1487" t="s">
        <v>29</v>
      </c>
      <c r="C1487" s="5">
        <v>45263</v>
      </c>
      <c r="D1487" s="8">
        <v>45263</v>
      </c>
      <c r="E1487" s="8" t="str">
        <f>IF(B1487="Inactive", EDATE(D1487,K1487), "")</f>
        <v/>
      </c>
      <c r="F1487" t="s">
        <v>14</v>
      </c>
      <c r="G1487">
        <v>19.600000000000001</v>
      </c>
      <c r="H1487" t="str" cm="1">
        <f t="array" ref="H1487">_xlfn.IFS(G1487&gt;=20,"20-25", G1487&gt;=15,"15-20", G1487&gt;=10,"10-15", G1487&gt;=5,"5-10", G1487&gt;=1,"1-5", G1487&lt;1,"Less than 1")</f>
        <v>15-20</v>
      </c>
      <c r="I1487">
        <v>1</v>
      </c>
      <c r="J1487">
        <v>0</v>
      </c>
      <c r="K1487" s="6">
        <v>4</v>
      </c>
      <c r="L1487" s="2">
        <v>3.99</v>
      </c>
      <c r="M1487" s="6">
        <v>20</v>
      </c>
      <c r="N1487" t="str" cm="1">
        <f t="array" ref="N1487">_xlfn.IFS(M1487&gt;=50,"50-60 Days", M1487&gt;=40,"40-50 Days", M1487&gt;=30, "30-40 Days", M1487&gt;=20, "20-30 Days", M1487&gt;=10, "10-20 Days", M1487&gt;=0, "0-10 Days")</f>
        <v>20-30 Days</v>
      </c>
    </row>
    <row r="1488" spans="1:14">
      <c r="A1488">
        <v>1487</v>
      </c>
      <c r="B1488" t="s">
        <v>28</v>
      </c>
      <c r="C1488" s="5">
        <v>45217</v>
      </c>
      <c r="D1488" s="8">
        <v>45217</v>
      </c>
      <c r="E1488" s="8">
        <f>IF(B1488="Inactive", EDATE(D1488,K1488), "")</f>
        <v>45522</v>
      </c>
      <c r="F1488" t="s">
        <v>12</v>
      </c>
      <c r="G1488">
        <v>14.4</v>
      </c>
      <c r="H1488" t="str" cm="1">
        <f t="array" ref="H1488">_xlfn.IFS(G1488&gt;=20,"20-25", G1488&gt;=15,"15-20", G1488&gt;=10,"10-15", G1488&gt;=5,"5-10", G1488&gt;=1,"1-5", G1488&lt;1,"Less than 1")</f>
        <v>10-15</v>
      </c>
      <c r="I1488">
        <v>5</v>
      </c>
      <c r="J1488">
        <v>1</v>
      </c>
      <c r="K1488" s="6">
        <v>10</v>
      </c>
      <c r="L1488" s="2">
        <v>1.99</v>
      </c>
      <c r="M1488" s="6">
        <v>35</v>
      </c>
      <c r="N1488" t="str" cm="1">
        <f t="array" ref="N1488">_xlfn.IFS(M1488&gt;=50,"50-60 Days", M1488&gt;=40,"40-50 Days", M1488&gt;=30, "30-40 Days", M1488&gt;=20, "20-30 Days", M1488&gt;=10, "10-20 Days", M1488&gt;=0, "0-10 Days")</f>
        <v>30-40 Days</v>
      </c>
    </row>
    <row r="1489" spans="1:14">
      <c r="A1489">
        <v>1488</v>
      </c>
      <c r="B1489" t="s">
        <v>29</v>
      </c>
      <c r="C1489" s="5">
        <v>45614</v>
      </c>
      <c r="D1489" s="8">
        <v>45614</v>
      </c>
      <c r="E1489" s="8" t="str">
        <f>IF(B1489="Inactive", EDATE(D1489,K1489), "")</f>
        <v/>
      </c>
      <c r="F1489" t="s">
        <v>10</v>
      </c>
      <c r="G1489">
        <v>13.4</v>
      </c>
      <c r="H1489" t="str" cm="1">
        <f t="array" ref="H1489">_xlfn.IFS(G1489&gt;=20,"20-25", G1489&gt;=15,"15-20", G1489&gt;=10,"10-15", G1489&gt;=5,"5-10", G1489&gt;=1,"1-5", G1489&lt;1,"Less than 1")</f>
        <v>10-15</v>
      </c>
      <c r="I1489">
        <v>1</v>
      </c>
      <c r="J1489">
        <v>4</v>
      </c>
      <c r="K1489" s="6">
        <v>5</v>
      </c>
      <c r="L1489" s="2">
        <v>6.99</v>
      </c>
      <c r="M1489" s="6">
        <v>17</v>
      </c>
      <c r="N1489" t="str" cm="1">
        <f t="array" ref="N1489">_xlfn.IFS(M1489&gt;=50,"50-60 Days", M1489&gt;=40,"40-50 Days", M1489&gt;=30, "30-40 Days", M1489&gt;=20, "20-30 Days", M1489&gt;=10, "10-20 Days", M1489&gt;=0, "0-10 Days")</f>
        <v>10-20 Days</v>
      </c>
    </row>
    <row r="1490" spans="1:14">
      <c r="A1490">
        <v>1489</v>
      </c>
      <c r="B1490" t="s">
        <v>28</v>
      </c>
      <c r="C1490" s="5">
        <v>45128</v>
      </c>
      <c r="D1490" s="8">
        <v>45128</v>
      </c>
      <c r="E1490" s="8">
        <f>IF(B1490="Inactive", EDATE(D1490,K1490), "")</f>
        <v>45403</v>
      </c>
      <c r="F1490" t="s">
        <v>12</v>
      </c>
      <c r="G1490">
        <v>17.2</v>
      </c>
      <c r="H1490" t="str" cm="1">
        <f t="array" ref="H1490">_xlfn.IFS(G1490&gt;=20,"20-25", G1490&gt;=15,"15-20", G1490&gt;=10,"10-15", G1490&gt;=5,"5-10", G1490&gt;=1,"1-5", G1490&lt;1,"Less than 1")</f>
        <v>15-20</v>
      </c>
      <c r="I1490">
        <v>6</v>
      </c>
      <c r="J1490">
        <v>2</v>
      </c>
      <c r="K1490" s="6">
        <v>9</v>
      </c>
      <c r="L1490" s="2">
        <v>1.99</v>
      </c>
      <c r="M1490" s="6">
        <v>52</v>
      </c>
      <c r="N1490" t="str" cm="1">
        <f t="array" ref="N1490">_xlfn.IFS(M1490&gt;=50,"50-60 Days", M1490&gt;=40,"40-50 Days", M1490&gt;=30, "30-40 Days", M1490&gt;=20, "20-30 Days", M1490&gt;=10, "10-20 Days", M1490&gt;=0, "0-10 Days")</f>
        <v>50-60 Days</v>
      </c>
    </row>
    <row r="1491" spans="1:14">
      <c r="A1491">
        <v>1490</v>
      </c>
      <c r="B1491" t="s">
        <v>28</v>
      </c>
      <c r="C1491" s="5">
        <v>45102</v>
      </c>
      <c r="D1491" s="8">
        <v>45102</v>
      </c>
      <c r="E1491" s="8">
        <f>IF(B1491="Inactive", EDATE(D1491,K1491), "")</f>
        <v>45437</v>
      </c>
      <c r="F1491" t="s">
        <v>12</v>
      </c>
      <c r="G1491">
        <v>12.7</v>
      </c>
      <c r="H1491" t="str" cm="1">
        <f t="array" ref="H1491">_xlfn.IFS(G1491&gt;=20,"20-25", G1491&gt;=15,"15-20", G1491&gt;=10,"10-15", G1491&gt;=5,"5-10", G1491&gt;=1,"1-5", G1491&lt;1,"Less than 1")</f>
        <v>10-15</v>
      </c>
      <c r="I1491">
        <v>4</v>
      </c>
      <c r="J1491">
        <v>3</v>
      </c>
      <c r="K1491" s="6">
        <v>11</v>
      </c>
      <c r="L1491" s="2">
        <v>1.99</v>
      </c>
      <c r="M1491" s="6">
        <v>7</v>
      </c>
      <c r="N1491" t="str" cm="1">
        <f t="array" ref="N1491">_xlfn.IFS(M1491&gt;=50,"50-60 Days", M1491&gt;=40,"40-50 Days", M1491&gt;=30, "30-40 Days", M1491&gt;=20, "20-30 Days", M1491&gt;=10, "10-20 Days", M1491&gt;=0, "0-10 Days")</f>
        <v>0-10 Days</v>
      </c>
    </row>
    <row r="1492" spans="1:14">
      <c r="A1492">
        <v>1491</v>
      </c>
      <c r="B1492" t="s">
        <v>28</v>
      </c>
      <c r="C1492" s="5">
        <v>45586</v>
      </c>
      <c r="D1492" s="8">
        <v>45586</v>
      </c>
      <c r="E1492" s="8">
        <f>IF(B1492="Inactive", EDATE(D1492,K1492), "")</f>
        <v>45798</v>
      </c>
      <c r="F1492" t="s">
        <v>10</v>
      </c>
      <c r="G1492">
        <v>15</v>
      </c>
      <c r="H1492" t="str" cm="1">
        <f t="array" ref="H1492">_xlfn.IFS(G1492&gt;=20,"20-25", G1492&gt;=15,"15-20", G1492&gt;=10,"10-15", G1492&gt;=5,"5-10", G1492&gt;=1,"1-5", G1492&lt;1,"Less than 1")</f>
        <v>15-20</v>
      </c>
      <c r="I1492">
        <v>3</v>
      </c>
      <c r="J1492">
        <v>4</v>
      </c>
      <c r="K1492" s="6">
        <v>7</v>
      </c>
      <c r="L1492" s="2">
        <v>6.99</v>
      </c>
      <c r="M1492" s="6">
        <v>1</v>
      </c>
      <c r="N1492" t="str" cm="1">
        <f t="array" ref="N1492">_xlfn.IFS(M1492&gt;=50,"50-60 Days", M1492&gt;=40,"40-50 Days", M1492&gt;=30, "30-40 Days", M1492&gt;=20, "20-30 Days", M1492&gt;=10, "10-20 Days", M1492&gt;=0, "0-10 Days")</f>
        <v>0-10 Days</v>
      </c>
    </row>
    <row r="1493" spans="1:14">
      <c r="A1493">
        <v>1492</v>
      </c>
      <c r="B1493" t="s">
        <v>29</v>
      </c>
      <c r="C1493" s="5">
        <v>44964</v>
      </c>
      <c r="D1493" s="8">
        <v>44964</v>
      </c>
      <c r="E1493" s="8" t="str">
        <f>IF(B1493="Inactive", EDATE(D1493,K1493), "")</f>
        <v/>
      </c>
      <c r="F1493" t="s">
        <v>10</v>
      </c>
      <c r="G1493">
        <v>22.8</v>
      </c>
      <c r="H1493" t="str" cm="1">
        <f t="array" ref="H1493">_xlfn.IFS(G1493&gt;=20,"20-25", G1493&gt;=15,"15-20", G1493&gt;=10,"10-15", G1493&gt;=5,"5-10", G1493&gt;=1,"1-5", G1493&lt;1,"Less than 1")</f>
        <v>20-25</v>
      </c>
      <c r="I1493">
        <v>4</v>
      </c>
      <c r="J1493">
        <v>1</v>
      </c>
      <c r="K1493" s="6">
        <v>1</v>
      </c>
      <c r="L1493" s="2">
        <v>6.99</v>
      </c>
      <c r="M1493" s="6">
        <v>53</v>
      </c>
      <c r="N1493" t="str" cm="1">
        <f t="array" ref="N1493">_xlfn.IFS(M1493&gt;=50,"50-60 Days", M1493&gt;=40,"40-50 Days", M1493&gt;=30, "30-40 Days", M1493&gt;=20, "20-30 Days", M1493&gt;=10, "10-20 Days", M1493&gt;=0, "0-10 Days")</f>
        <v>50-60 Days</v>
      </c>
    </row>
    <row r="1494" spans="1:14">
      <c r="A1494">
        <v>1493</v>
      </c>
      <c r="B1494" t="s">
        <v>28</v>
      </c>
      <c r="C1494" s="5">
        <v>45352</v>
      </c>
      <c r="D1494" s="8">
        <v>45352</v>
      </c>
      <c r="E1494" s="8">
        <f>IF(B1494="Inactive", EDATE(D1494,K1494), "")</f>
        <v>45717</v>
      </c>
      <c r="F1494" t="s">
        <v>10</v>
      </c>
      <c r="G1494">
        <v>1.5</v>
      </c>
      <c r="H1494" t="str" cm="1">
        <f t="array" ref="H1494">_xlfn.IFS(G1494&gt;=20,"20-25", G1494&gt;=15,"15-20", G1494&gt;=10,"10-15", G1494&gt;=5,"5-10", G1494&gt;=1,"1-5", G1494&lt;1,"Less than 1")</f>
        <v>1-5</v>
      </c>
      <c r="I1494">
        <v>0</v>
      </c>
      <c r="J1494">
        <v>0</v>
      </c>
      <c r="K1494" s="6">
        <v>12</v>
      </c>
      <c r="L1494" s="2">
        <v>6.99</v>
      </c>
      <c r="M1494" s="6">
        <v>30</v>
      </c>
      <c r="N1494" t="str" cm="1">
        <f t="array" ref="N1494">_xlfn.IFS(M1494&gt;=50,"50-60 Days", M1494&gt;=40,"40-50 Days", M1494&gt;=30, "30-40 Days", M1494&gt;=20, "20-30 Days", M1494&gt;=10, "10-20 Days", M1494&gt;=0, "0-10 Days")</f>
        <v>30-40 Days</v>
      </c>
    </row>
    <row r="1495" spans="1:14">
      <c r="A1495">
        <v>1494</v>
      </c>
      <c r="B1495" t="s">
        <v>29</v>
      </c>
      <c r="C1495" s="5">
        <v>45247</v>
      </c>
      <c r="D1495" s="8">
        <v>45247</v>
      </c>
      <c r="E1495" s="8" t="str">
        <f>IF(B1495="Inactive", EDATE(D1495,K1495), "")</f>
        <v/>
      </c>
      <c r="F1495" t="s">
        <v>10</v>
      </c>
      <c r="G1495">
        <v>7.2</v>
      </c>
      <c r="H1495" t="str" cm="1">
        <f t="array" ref="H1495">_xlfn.IFS(G1495&gt;=20,"20-25", G1495&gt;=15,"15-20", G1495&gt;=10,"10-15", G1495&gt;=5,"5-10", G1495&gt;=1,"1-5", G1495&lt;1,"Less than 1")</f>
        <v>5-10</v>
      </c>
      <c r="I1495">
        <v>5</v>
      </c>
      <c r="J1495">
        <v>3</v>
      </c>
      <c r="K1495" s="6">
        <v>7</v>
      </c>
      <c r="L1495" s="2">
        <v>6.99</v>
      </c>
      <c r="M1495" s="6">
        <v>5</v>
      </c>
      <c r="N1495" t="str" cm="1">
        <f t="array" ref="N1495">_xlfn.IFS(M1495&gt;=50,"50-60 Days", M1495&gt;=40,"40-50 Days", M1495&gt;=30, "30-40 Days", M1495&gt;=20, "20-30 Days", M1495&gt;=10, "10-20 Days", M1495&gt;=0, "0-10 Days")</f>
        <v>0-10 Days</v>
      </c>
    </row>
    <row r="1496" spans="1:14">
      <c r="A1496">
        <v>1495</v>
      </c>
      <c r="B1496" t="s">
        <v>28</v>
      </c>
      <c r="C1496" s="5">
        <v>45051</v>
      </c>
      <c r="D1496" s="8">
        <v>45051</v>
      </c>
      <c r="E1496" s="8">
        <f>IF(B1496="Inactive", EDATE(D1496,K1496), "")</f>
        <v>45112</v>
      </c>
      <c r="F1496" t="s">
        <v>14</v>
      </c>
      <c r="G1496">
        <v>10.1</v>
      </c>
      <c r="H1496" t="str" cm="1">
        <f t="array" ref="H1496">_xlfn.IFS(G1496&gt;=20,"20-25", G1496&gt;=15,"15-20", G1496&gt;=10,"10-15", G1496&gt;=5,"5-10", G1496&gt;=1,"1-5", G1496&lt;1,"Less than 1")</f>
        <v>10-15</v>
      </c>
      <c r="I1496">
        <v>7</v>
      </c>
      <c r="J1496">
        <v>3</v>
      </c>
      <c r="K1496" s="6">
        <v>2</v>
      </c>
      <c r="L1496" s="2">
        <v>3.99</v>
      </c>
      <c r="M1496" s="6">
        <v>54</v>
      </c>
      <c r="N1496" t="str" cm="1">
        <f t="array" ref="N1496">_xlfn.IFS(M1496&gt;=50,"50-60 Days", M1496&gt;=40,"40-50 Days", M1496&gt;=30, "30-40 Days", M1496&gt;=20, "20-30 Days", M1496&gt;=10, "10-20 Days", M1496&gt;=0, "0-10 Days")</f>
        <v>50-60 Days</v>
      </c>
    </row>
    <row r="1497" spans="1:14">
      <c r="A1497">
        <v>1496</v>
      </c>
      <c r="B1497" t="s">
        <v>28</v>
      </c>
      <c r="C1497" s="5">
        <v>45257</v>
      </c>
      <c r="D1497" s="8">
        <v>45257</v>
      </c>
      <c r="E1497" s="8">
        <f>IF(B1497="Inactive", EDATE(D1497,K1497), "")</f>
        <v>45349</v>
      </c>
      <c r="F1497" t="s">
        <v>14</v>
      </c>
      <c r="G1497">
        <v>1.2</v>
      </c>
      <c r="H1497" t="str" cm="1">
        <f t="array" ref="H1497">_xlfn.IFS(G1497&gt;=20,"20-25", G1497&gt;=15,"15-20", G1497&gt;=10,"10-15", G1497&gt;=5,"5-10", G1497&gt;=1,"1-5", G1497&lt;1,"Less than 1")</f>
        <v>1-5</v>
      </c>
      <c r="I1497">
        <v>0</v>
      </c>
      <c r="J1497">
        <v>0</v>
      </c>
      <c r="K1497" s="6">
        <v>3</v>
      </c>
      <c r="L1497" s="2">
        <v>3.99</v>
      </c>
      <c r="M1497" s="6">
        <v>8</v>
      </c>
      <c r="N1497" t="str" cm="1">
        <f t="array" ref="N1497">_xlfn.IFS(M1497&gt;=50,"50-60 Days", M1497&gt;=40,"40-50 Days", M1497&gt;=30, "30-40 Days", M1497&gt;=20, "20-30 Days", M1497&gt;=10, "10-20 Days", M1497&gt;=0, "0-10 Days")</f>
        <v>0-10 Days</v>
      </c>
    </row>
    <row r="1498" spans="1:14">
      <c r="A1498">
        <v>1497</v>
      </c>
      <c r="B1498" t="s">
        <v>29</v>
      </c>
      <c r="C1498" s="5">
        <v>45304</v>
      </c>
      <c r="D1498" s="8">
        <v>45304</v>
      </c>
      <c r="E1498" s="8" t="str">
        <f>IF(B1498="Inactive", EDATE(D1498,K1498), "")</f>
        <v/>
      </c>
      <c r="F1498" t="s">
        <v>10</v>
      </c>
      <c r="G1498">
        <v>6</v>
      </c>
      <c r="H1498" t="str" cm="1">
        <f t="array" ref="H1498">_xlfn.IFS(G1498&gt;=20,"20-25", G1498&gt;=15,"15-20", G1498&gt;=10,"10-15", G1498&gt;=5,"5-10", G1498&gt;=1,"1-5", G1498&lt;1,"Less than 1")</f>
        <v>5-10</v>
      </c>
      <c r="I1498">
        <v>1</v>
      </c>
      <c r="J1498">
        <v>1</v>
      </c>
      <c r="K1498" s="6">
        <v>10</v>
      </c>
      <c r="L1498" s="2">
        <v>6.99</v>
      </c>
      <c r="M1498" s="6">
        <v>46</v>
      </c>
      <c r="N1498" t="str" cm="1">
        <f t="array" ref="N1498">_xlfn.IFS(M1498&gt;=50,"50-60 Days", M1498&gt;=40,"40-50 Days", M1498&gt;=30, "30-40 Days", M1498&gt;=20, "20-30 Days", M1498&gt;=10, "10-20 Days", M1498&gt;=0, "0-10 Days")</f>
        <v>40-50 Days</v>
      </c>
    </row>
    <row r="1499" spans="1:14">
      <c r="A1499">
        <v>1498</v>
      </c>
      <c r="B1499" t="s">
        <v>29</v>
      </c>
      <c r="C1499" s="5">
        <v>45040</v>
      </c>
      <c r="D1499" s="8">
        <v>45040</v>
      </c>
      <c r="E1499" s="8" t="str">
        <f>IF(B1499="Inactive", EDATE(D1499,K1499), "")</f>
        <v/>
      </c>
      <c r="F1499" t="s">
        <v>10</v>
      </c>
      <c r="G1499">
        <v>23.4</v>
      </c>
      <c r="H1499" t="str" cm="1">
        <f t="array" ref="H1499">_xlfn.IFS(G1499&gt;=20,"20-25", G1499&gt;=15,"15-20", G1499&gt;=10,"10-15", G1499&gt;=5,"5-10", G1499&gt;=1,"1-5", G1499&lt;1,"Less than 1")</f>
        <v>20-25</v>
      </c>
      <c r="I1499">
        <v>0</v>
      </c>
      <c r="J1499">
        <v>2</v>
      </c>
      <c r="K1499" s="6">
        <v>1</v>
      </c>
      <c r="L1499" s="2">
        <v>6.99</v>
      </c>
      <c r="M1499" s="6">
        <v>56</v>
      </c>
      <c r="N1499" t="str" cm="1">
        <f t="array" ref="N1499">_xlfn.IFS(M1499&gt;=50,"50-60 Days", M1499&gt;=40,"40-50 Days", M1499&gt;=30, "30-40 Days", M1499&gt;=20, "20-30 Days", M1499&gt;=10, "10-20 Days", M1499&gt;=0, "0-10 Days")</f>
        <v>50-60 Days</v>
      </c>
    </row>
    <row r="1500" spans="1:14">
      <c r="A1500">
        <v>1499</v>
      </c>
      <c r="B1500" t="s">
        <v>28</v>
      </c>
      <c r="C1500" s="5">
        <v>45315</v>
      </c>
      <c r="D1500" s="8">
        <v>45315</v>
      </c>
      <c r="E1500" s="8">
        <f>IF(B1500="Inactive", EDATE(D1500,K1500), "")</f>
        <v>45528</v>
      </c>
      <c r="F1500" t="s">
        <v>12</v>
      </c>
      <c r="G1500">
        <v>2.2999999999999998</v>
      </c>
      <c r="H1500" t="str" cm="1">
        <f t="array" ref="H1500">_xlfn.IFS(G1500&gt;=20,"20-25", G1500&gt;=15,"15-20", G1500&gt;=10,"10-15", G1500&gt;=5,"5-10", G1500&gt;=1,"1-5", G1500&lt;1,"Less than 1")</f>
        <v>1-5</v>
      </c>
      <c r="I1500">
        <v>5</v>
      </c>
      <c r="J1500">
        <v>5</v>
      </c>
      <c r="K1500" s="6">
        <v>7</v>
      </c>
      <c r="L1500" s="2">
        <v>1.99</v>
      </c>
      <c r="M1500" s="6">
        <v>39</v>
      </c>
      <c r="N1500" t="str" cm="1">
        <f t="array" ref="N1500">_xlfn.IFS(M1500&gt;=50,"50-60 Days", M1500&gt;=40,"40-50 Days", M1500&gt;=30, "30-40 Days", M1500&gt;=20, "20-30 Days", M1500&gt;=10, "10-20 Days", M1500&gt;=0, "0-10 Days")</f>
        <v>30-40 Days</v>
      </c>
    </row>
    <row r="1501" spans="1:14">
      <c r="A1501">
        <v>1500</v>
      </c>
      <c r="B1501" t="s">
        <v>29</v>
      </c>
      <c r="C1501" s="5">
        <v>45078</v>
      </c>
      <c r="D1501" s="8">
        <v>45078</v>
      </c>
      <c r="E1501" s="8" t="str">
        <f>IF(B1501="Inactive", EDATE(D1501,K1501), "")</f>
        <v/>
      </c>
      <c r="F1501" t="s">
        <v>14</v>
      </c>
      <c r="G1501">
        <v>23.2</v>
      </c>
      <c r="H1501" t="str" cm="1">
        <f t="array" ref="H1501">_xlfn.IFS(G1501&gt;=20,"20-25", G1501&gt;=15,"15-20", G1501&gt;=10,"10-15", G1501&gt;=5,"5-10", G1501&gt;=1,"1-5", G1501&lt;1,"Less than 1")</f>
        <v>20-25</v>
      </c>
      <c r="I1501">
        <v>7</v>
      </c>
      <c r="J1501">
        <v>0</v>
      </c>
      <c r="K1501" s="6">
        <v>4</v>
      </c>
      <c r="L1501" s="2">
        <v>3.99</v>
      </c>
      <c r="M1501" s="6">
        <v>8</v>
      </c>
      <c r="N1501" t="str" cm="1">
        <f t="array" ref="N1501">_xlfn.IFS(M1501&gt;=50,"50-60 Days", M1501&gt;=40,"40-50 Days", M1501&gt;=30, "30-40 Days", M1501&gt;=20, "20-30 Days", M1501&gt;=10, "10-20 Days", M1501&gt;=0, "0-10 Days")</f>
        <v>0-10 Days</v>
      </c>
    </row>
    <row r="1502" spans="1:14">
      <c r="A1502">
        <v>1501</v>
      </c>
      <c r="B1502" t="s">
        <v>28</v>
      </c>
      <c r="C1502" s="5">
        <v>45416</v>
      </c>
      <c r="D1502" s="8">
        <v>45416</v>
      </c>
      <c r="E1502" s="8">
        <f>IF(B1502="Inactive", EDATE(D1502,K1502), "")</f>
        <v>45692</v>
      </c>
      <c r="F1502" t="s">
        <v>10</v>
      </c>
      <c r="G1502">
        <v>16.100000000000001</v>
      </c>
      <c r="H1502" t="str" cm="1">
        <f t="array" ref="H1502">_xlfn.IFS(G1502&gt;=20,"20-25", G1502&gt;=15,"15-20", G1502&gt;=10,"10-15", G1502&gt;=5,"5-10", G1502&gt;=1,"1-5", G1502&lt;1,"Less than 1")</f>
        <v>15-20</v>
      </c>
      <c r="I1502">
        <v>1</v>
      </c>
      <c r="J1502">
        <v>4</v>
      </c>
      <c r="K1502" s="6">
        <v>9</v>
      </c>
      <c r="L1502" s="2">
        <v>6.99</v>
      </c>
      <c r="M1502" s="6">
        <v>33</v>
      </c>
      <c r="N1502" t="str" cm="1">
        <f t="array" ref="N1502">_xlfn.IFS(M1502&gt;=50,"50-60 Days", M1502&gt;=40,"40-50 Days", M1502&gt;=30, "30-40 Days", M1502&gt;=20, "20-30 Days", M1502&gt;=10, "10-20 Days", M1502&gt;=0, "0-10 Days")</f>
        <v>30-40 Days</v>
      </c>
    </row>
    <row r="1503" spans="1:14">
      <c r="A1503">
        <v>1502</v>
      </c>
      <c r="B1503" t="s">
        <v>28</v>
      </c>
      <c r="C1503" s="5">
        <v>45197</v>
      </c>
      <c r="D1503" s="8">
        <v>45197</v>
      </c>
      <c r="E1503" s="8">
        <f>IF(B1503="Inactive", EDATE(D1503,K1503), "")</f>
        <v>45532</v>
      </c>
      <c r="F1503" t="s">
        <v>10</v>
      </c>
      <c r="G1503">
        <v>24.4</v>
      </c>
      <c r="H1503" t="str" cm="1">
        <f t="array" ref="H1503">_xlfn.IFS(G1503&gt;=20,"20-25", G1503&gt;=15,"15-20", G1503&gt;=10,"10-15", G1503&gt;=5,"5-10", G1503&gt;=1,"1-5", G1503&lt;1,"Less than 1")</f>
        <v>20-25</v>
      </c>
      <c r="I1503">
        <v>5</v>
      </c>
      <c r="J1503">
        <v>5</v>
      </c>
      <c r="K1503" s="6">
        <v>11</v>
      </c>
      <c r="L1503" s="2">
        <v>6.99</v>
      </c>
      <c r="M1503" s="6">
        <v>30</v>
      </c>
      <c r="N1503" t="str" cm="1">
        <f t="array" ref="N1503">_xlfn.IFS(M1503&gt;=50,"50-60 Days", M1503&gt;=40,"40-50 Days", M1503&gt;=30, "30-40 Days", M1503&gt;=20, "20-30 Days", M1503&gt;=10, "10-20 Days", M1503&gt;=0, "0-10 Days")</f>
        <v>30-40 Days</v>
      </c>
    </row>
    <row r="1504" spans="1:14">
      <c r="A1504">
        <v>1503</v>
      </c>
      <c r="B1504" t="s">
        <v>29</v>
      </c>
      <c r="C1504" s="5">
        <v>45137</v>
      </c>
      <c r="D1504" s="8">
        <v>45137</v>
      </c>
      <c r="E1504" s="8" t="str">
        <f>IF(B1504="Inactive", EDATE(D1504,K1504), "")</f>
        <v/>
      </c>
      <c r="F1504" t="s">
        <v>14</v>
      </c>
      <c r="G1504">
        <v>9.1</v>
      </c>
      <c r="H1504" t="str" cm="1">
        <f t="array" ref="H1504">_xlfn.IFS(G1504&gt;=20,"20-25", G1504&gt;=15,"15-20", G1504&gt;=10,"10-15", G1504&gt;=5,"5-10", G1504&gt;=1,"1-5", G1504&lt;1,"Less than 1")</f>
        <v>5-10</v>
      </c>
      <c r="I1504">
        <v>3</v>
      </c>
      <c r="J1504">
        <v>5</v>
      </c>
      <c r="K1504" s="6">
        <v>2</v>
      </c>
      <c r="L1504" s="2">
        <v>3.99</v>
      </c>
      <c r="M1504" s="6">
        <v>41</v>
      </c>
      <c r="N1504" t="str" cm="1">
        <f t="array" ref="N1504">_xlfn.IFS(M1504&gt;=50,"50-60 Days", M1504&gt;=40,"40-50 Days", M1504&gt;=30, "30-40 Days", M1504&gt;=20, "20-30 Days", M1504&gt;=10, "10-20 Days", M1504&gt;=0, "0-10 Days")</f>
        <v>40-50 Days</v>
      </c>
    </row>
    <row r="1505" spans="1:14">
      <c r="A1505">
        <v>1504</v>
      </c>
      <c r="B1505" t="s">
        <v>28</v>
      </c>
      <c r="C1505" s="5">
        <v>45148</v>
      </c>
      <c r="D1505" s="8">
        <v>45148</v>
      </c>
      <c r="E1505" s="8">
        <f>IF(B1505="Inactive", EDATE(D1505,K1505), "")</f>
        <v>45209</v>
      </c>
      <c r="F1505" t="s">
        <v>10</v>
      </c>
      <c r="G1505">
        <v>2.2999999999999998</v>
      </c>
      <c r="H1505" t="str" cm="1">
        <f t="array" ref="H1505">_xlfn.IFS(G1505&gt;=20,"20-25", G1505&gt;=15,"15-20", G1505&gt;=10,"10-15", G1505&gt;=5,"5-10", G1505&gt;=1,"1-5", G1505&lt;1,"Less than 1")</f>
        <v>1-5</v>
      </c>
      <c r="I1505">
        <v>7</v>
      </c>
      <c r="J1505">
        <v>0</v>
      </c>
      <c r="K1505" s="6">
        <v>2</v>
      </c>
      <c r="L1505" s="2">
        <v>6.99</v>
      </c>
      <c r="M1505" s="6">
        <v>13</v>
      </c>
      <c r="N1505" t="str" cm="1">
        <f t="array" ref="N1505">_xlfn.IFS(M1505&gt;=50,"50-60 Days", M1505&gt;=40,"40-50 Days", M1505&gt;=30, "30-40 Days", M1505&gt;=20, "20-30 Days", M1505&gt;=10, "10-20 Days", M1505&gt;=0, "0-10 Days")</f>
        <v>10-20 Days</v>
      </c>
    </row>
    <row r="1506" spans="1:14">
      <c r="A1506">
        <v>1505</v>
      </c>
      <c r="B1506" t="s">
        <v>29</v>
      </c>
      <c r="C1506" s="5">
        <v>45467</v>
      </c>
      <c r="D1506" s="8">
        <v>45467</v>
      </c>
      <c r="E1506" s="8" t="str">
        <f>IF(B1506="Inactive", EDATE(D1506,K1506), "")</f>
        <v/>
      </c>
      <c r="F1506" t="s">
        <v>14</v>
      </c>
      <c r="G1506">
        <v>5.0999999999999996</v>
      </c>
      <c r="H1506" t="str" cm="1">
        <f t="array" ref="H1506">_xlfn.IFS(G1506&gt;=20,"20-25", G1506&gt;=15,"15-20", G1506&gt;=10,"10-15", G1506&gt;=5,"5-10", G1506&gt;=1,"1-5", G1506&lt;1,"Less than 1")</f>
        <v>5-10</v>
      </c>
      <c r="I1506">
        <v>1</v>
      </c>
      <c r="J1506">
        <v>2</v>
      </c>
      <c r="K1506" s="6">
        <v>9</v>
      </c>
      <c r="L1506" s="2">
        <v>3.99</v>
      </c>
      <c r="M1506" s="6">
        <v>13</v>
      </c>
      <c r="N1506" t="str" cm="1">
        <f t="array" ref="N1506">_xlfn.IFS(M1506&gt;=50,"50-60 Days", M1506&gt;=40,"40-50 Days", M1506&gt;=30, "30-40 Days", M1506&gt;=20, "20-30 Days", M1506&gt;=10, "10-20 Days", M1506&gt;=0, "0-10 Days")</f>
        <v>10-20 Days</v>
      </c>
    </row>
    <row r="1507" spans="1:14">
      <c r="A1507">
        <v>1506</v>
      </c>
      <c r="B1507" t="s">
        <v>28</v>
      </c>
      <c r="C1507" s="5">
        <v>45443</v>
      </c>
      <c r="D1507" s="8">
        <v>45443</v>
      </c>
      <c r="E1507" s="8">
        <f>IF(B1507="Inactive", EDATE(D1507,K1507), "")</f>
        <v>45657</v>
      </c>
      <c r="F1507" t="s">
        <v>10</v>
      </c>
      <c r="G1507">
        <v>19.100000000000001</v>
      </c>
      <c r="H1507" t="str" cm="1">
        <f t="array" ref="H1507">_xlfn.IFS(G1507&gt;=20,"20-25", G1507&gt;=15,"15-20", G1507&gt;=10,"10-15", G1507&gt;=5,"5-10", G1507&gt;=1,"1-5", G1507&lt;1,"Less than 1")</f>
        <v>15-20</v>
      </c>
      <c r="I1507">
        <v>4</v>
      </c>
      <c r="J1507">
        <v>5</v>
      </c>
      <c r="K1507" s="6">
        <v>7</v>
      </c>
      <c r="L1507" s="2">
        <v>6.99</v>
      </c>
      <c r="M1507" s="6">
        <v>29</v>
      </c>
      <c r="N1507" t="str" cm="1">
        <f t="array" ref="N1507">_xlfn.IFS(M1507&gt;=50,"50-60 Days", M1507&gt;=40,"40-50 Days", M1507&gt;=30, "30-40 Days", M1507&gt;=20, "20-30 Days", M1507&gt;=10, "10-20 Days", M1507&gt;=0, "0-10 Days")</f>
        <v>20-30 Days</v>
      </c>
    </row>
    <row r="1508" spans="1:14">
      <c r="A1508">
        <v>1507</v>
      </c>
      <c r="B1508" t="s">
        <v>29</v>
      </c>
      <c r="C1508" s="5">
        <v>45452</v>
      </c>
      <c r="D1508" s="8">
        <v>45452</v>
      </c>
      <c r="E1508" s="8" t="str">
        <f>IF(B1508="Inactive", EDATE(D1508,K1508), "")</f>
        <v/>
      </c>
      <c r="F1508" t="s">
        <v>12</v>
      </c>
      <c r="G1508">
        <v>5.9</v>
      </c>
      <c r="H1508" t="str" cm="1">
        <f t="array" ref="H1508">_xlfn.IFS(G1508&gt;=20,"20-25", G1508&gt;=15,"15-20", G1508&gt;=10,"10-15", G1508&gt;=5,"5-10", G1508&gt;=1,"1-5", G1508&lt;1,"Less than 1")</f>
        <v>5-10</v>
      </c>
      <c r="I1508">
        <v>5</v>
      </c>
      <c r="J1508">
        <v>3</v>
      </c>
      <c r="K1508" s="6">
        <v>3</v>
      </c>
      <c r="L1508" s="2">
        <v>1.99</v>
      </c>
      <c r="M1508" s="6">
        <v>28</v>
      </c>
      <c r="N1508" t="str" cm="1">
        <f t="array" ref="N1508">_xlfn.IFS(M1508&gt;=50,"50-60 Days", M1508&gt;=40,"40-50 Days", M1508&gt;=30, "30-40 Days", M1508&gt;=20, "20-30 Days", M1508&gt;=10, "10-20 Days", M1508&gt;=0, "0-10 Days")</f>
        <v>20-30 Days</v>
      </c>
    </row>
    <row r="1509" spans="1:14">
      <c r="A1509">
        <v>1508</v>
      </c>
      <c r="B1509" t="s">
        <v>29</v>
      </c>
      <c r="C1509" s="5">
        <v>45518</v>
      </c>
      <c r="D1509" s="8">
        <v>45518</v>
      </c>
      <c r="E1509" s="8" t="str">
        <f>IF(B1509="Inactive", EDATE(D1509,K1509), "")</f>
        <v/>
      </c>
      <c r="F1509" t="s">
        <v>12</v>
      </c>
      <c r="G1509">
        <v>5.0999999999999996</v>
      </c>
      <c r="H1509" t="str" cm="1">
        <f t="array" ref="H1509">_xlfn.IFS(G1509&gt;=20,"20-25", G1509&gt;=15,"15-20", G1509&gt;=10,"10-15", G1509&gt;=5,"5-10", G1509&gt;=1,"1-5", G1509&lt;1,"Less than 1")</f>
        <v>5-10</v>
      </c>
      <c r="I1509">
        <v>4</v>
      </c>
      <c r="J1509">
        <v>3</v>
      </c>
      <c r="K1509" s="6">
        <v>9</v>
      </c>
      <c r="L1509" s="2">
        <v>1.99</v>
      </c>
      <c r="M1509" s="6">
        <v>10</v>
      </c>
      <c r="N1509" t="str" cm="1">
        <f t="array" ref="N1509">_xlfn.IFS(M1509&gt;=50,"50-60 Days", M1509&gt;=40,"40-50 Days", M1509&gt;=30, "30-40 Days", M1509&gt;=20, "20-30 Days", M1509&gt;=10, "10-20 Days", M1509&gt;=0, "0-10 Days")</f>
        <v>10-20 Days</v>
      </c>
    </row>
    <row r="1510" spans="1:14">
      <c r="A1510">
        <v>1509</v>
      </c>
      <c r="B1510" t="s">
        <v>28</v>
      </c>
      <c r="C1510" s="5">
        <v>45398</v>
      </c>
      <c r="D1510" s="8">
        <v>45398</v>
      </c>
      <c r="E1510" s="8">
        <f>IF(B1510="Inactive", EDATE(D1510,K1510), "")</f>
        <v>45489</v>
      </c>
      <c r="F1510" t="s">
        <v>10</v>
      </c>
      <c r="G1510">
        <v>4.0999999999999996</v>
      </c>
      <c r="H1510" t="str" cm="1">
        <f t="array" ref="H1510">_xlfn.IFS(G1510&gt;=20,"20-25", G1510&gt;=15,"15-20", G1510&gt;=10,"10-15", G1510&gt;=5,"5-10", G1510&gt;=1,"1-5", G1510&lt;1,"Less than 1")</f>
        <v>1-5</v>
      </c>
      <c r="I1510">
        <v>1</v>
      </c>
      <c r="J1510">
        <v>5</v>
      </c>
      <c r="K1510" s="6">
        <v>3</v>
      </c>
      <c r="L1510" s="2">
        <v>6.99</v>
      </c>
      <c r="M1510" s="6">
        <v>7</v>
      </c>
      <c r="N1510" t="str" cm="1">
        <f t="array" ref="N1510">_xlfn.IFS(M1510&gt;=50,"50-60 Days", M1510&gt;=40,"40-50 Days", M1510&gt;=30, "30-40 Days", M1510&gt;=20, "20-30 Days", M1510&gt;=10, "10-20 Days", M1510&gt;=0, "0-10 Days")</f>
        <v>0-10 Days</v>
      </c>
    </row>
    <row r="1511" spans="1:14">
      <c r="A1511">
        <v>1510</v>
      </c>
      <c r="B1511" t="s">
        <v>28</v>
      </c>
      <c r="C1511" s="5">
        <v>45490</v>
      </c>
      <c r="D1511" s="8">
        <v>45490</v>
      </c>
      <c r="E1511" s="8">
        <f>IF(B1511="Inactive", EDATE(D1511,K1511), "")</f>
        <v>45674</v>
      </c>
      <c r="F1511" t="s">
        <v>12</v>
      </c>
      <c r="G1511">
        <v>1.2</v>
      </c>
      <c r="H1511" t="str" cm="1">
        <f t="array" ref="H1511">_xlfn.IFS(G1511&gt;=20,"20-25", G1511&gt;=15,"15-20", G1511&gt;=10,"10-15", G1511&gt;=5,"5-10", G1511&gt;=1,"1-5", G1511&lt;1,"Less than 1")</f>
        <v>1-5</v>
      </c>
      <c r="I1511">
        <v>8</v>
      </c>
      <c r="J1511">
        <v>3</v>
      </c>
      <c r="K1511" s="6">
        <v>6</v>
      </c>
      <c r="L1511" s="2">
        <v>1.99</v>
      </c>
      <c r="M1511" s="6">
        <v>22</v>
      </c>
      <c r="N1511" t="str" cm="1">
        <f t="array" ref="N1511">_xlfn.IFS(M1511&gt;=50,"50-60 Days", M1511&gt;=40,"40-50 Days", M1511&gt;=30, "30-40 Days", M1511&gt;=20, "20-30 Days", M1511&gt;=10, "10-20 Days", M1511&gt;=0, "0-10 Days")</f>
        <v>20-30 Days</v>
      </c>
    </row>
    <row r="1512" spans="1:14">
      <c r="A1512">
        <v>1511</v>
      </c>
      <c r="B1512" t="s">
        <v>28</v>
      </c>
      <c r="C1512" s="5">
        <v>45268</v>
      </c>
      <c r="D1512" s="8">
        <v>45268</v>
      </c>
      <c r="E1512" s="8">
        <f>IF(B1512="Inactive", EDATE(D1512,K1512), "")</f>
        <v>45512</v>
      </c>
      <c r="F1512" t="s">
        <v>12</v>
      </c>
      <c r="G1512">
        <v>11.1</v>
      </c>
      <c r="H1512" t="str" cm="1">
        <f t="array" ref="H1512">_xlfn.IFS(G1512&gt;=20,"20-25", G1512&gt;=15,"15-20", G1512&gt;=10,"10-15", G1512&gt;=5,"5-10", G1512&gt;=1,"1-5", G1512&lt;1,"Less than 1")</f>
        <v>10-15</v>
      </c>
      <c r="I1512">
        <v>2</v>
      </c>
      <c r="J1512">
        <v>3</v>
      </c>
      <c r="K1512" s="6">
        <v>8</v>
      </c>
      <c r="L1512" s="2">
        <v>1.99</v>
      </c>
      <c r="M1512" s="6">
        <v>32</v>
      </c>
      <c r="N1512" t="str" cm="1">
        <f t="array" ref="N1512">_xlfn.IFS(M1512&gt;=50,"50-60 Days", M1512&gt;=40,"40-50 Days", M1512&gt;=30, "30-40 Days", M1512&gt;=20, "20-30 Days", M1512&gt;=10, "10-20 Days", M1512&gt;=0, "0-10 Days")</f>
        <v>30-40 Days</v>
      </c>
    </row>
    <row r="1513" spans="1:14">
      <c r="A1513">
        <v>1512</v>
      </c>
      <c r="B1513" t="s">
        <v>29</v>
      </c>
      <c r="C1513" s="5">
        <v>45359</v>
      </c>
      <c r="D1513" s="8">
        <v>45359</v>
      </c>
      <c r="E1513" s="8" t="str">
        <f>IF(B1513="Inactive", EDATE(D1513,K1513), "")</f>
        <v/>
      </c>
      <c r="F1513" t="s">
        <v>12</v>
      </c>
      <c r="G1513">
        <v>7.2</v>
      </c>
      <c r="H1513" t="str" cm="1">
        <f t="array" ref="H1513">_xlfn.IFS(G1513&gt;=20,"20-25", G1513&gt;=15,"15-20", G1513&gt;=10,"10-15", G1513&gt;=5,"5-10", G1513&gt;=1,"1-5", G1513&lt;1,"Less than 1")</f>
        <v>5-10</v>
      </c>
      <c r="I1513">
        <v>1</v>
      </c>
      <c r="J1513">
        <v>0</v>
      </c>
      <c r="K1513" s="6">
        <v>10</v>
      </c>
      <c r="L1513" s="2">
        <v>1.99</v>
      </c>
      <c r="M1513" s="6">
        <v>41</v>
      </c>
      <c r="N1513" t="str" cm="1">
        <f t="array" ref="N1513">_xlfn.IFS(M1513&gt;=50,"50-60 Days", M1513&gt;=40,"40-50 Days", M1513&gt;=30, "30-40 Days", M1513&gt;=20, "20-30 Days", M1513&gt;=10, "10-20 Days", M1513&gt;=0, "0-10 Days")</f>
        <v>40-50 Days</v>
      </c>
    </row>
    <row r="1514" spans="1:14">
      <c r="A1514">
        <v>1513</v>
      </c>
      <c r="B1514" t="s">
        <v>29</v>
      </c>
      <c r="C1514" s="5">
        <v>45432</v>
      </c>
      <c r="D1514" s="8">
        <v>45432</v>
      </c>
      <c r="E1514" s="8" t="str">
        <f>IF(B1514="Inactive", EDATE(D1514,K1514), "")</f>
        <v/>
      </c>
      <c r="F1514" t="s">
        <v>12</v>
      </c>
      <c r="G1514">
        <v>5.0999999999999996</v>
      </c>
      <c r="H1514" t="str" cm="1">
        <f t="array" ref="H1514">_xlfn.IFS(G1514&gt;=20,"20-25", G1514&gt;=15,"15-20", G1514&gt;=10,"10-15", G1514&gt;=5,"5-10", G1514&gt;=1,"1-5", G1514&lt;1,"Less than 1")</f>
        <v>5-10</v>
      </c>
      <c r="I1514">
        <v>2</v>
      </c>
      <c r="J1514">
        <v>4</v>
      </c>
      <c r="K1514" s="6">
        <v>7</v>
      </c>
      <c r="L1514" s="2">
        <v>1.99</v>
      </c>
      <c r="M1514" s="6">
        <v>17</v>
      </c>
      <c r="N1514" t="str" cm="1">
        <f t="array" ref="N1514">_xlfn.IFS(M1514&gt;=50,"50-60 Days", M1514&gt;=40,"40-50 Days", M1514&gt;=30, "30-40 Days", M1514&gt;=20, "20-30 Days", M1514&gt;=10, "10-20 Days", M1514&gt;=0, "0-10 Days")</f>
        <v>10-20 Days</v>
      </c>
    </row>
    <row r="1515" spans="1:14">
      <c r="A1515">
        <v>1514</v>
      </c>
      <c r="B1515" t="s">
        <v>29</v>
      </c>
      <c r="C1515" s="5">
        <v>45151</v>
      </c>
      <c r="D1515" s="8">
        <v>45151</v>
      </c>
      <c r="E1515" s="8" t="str">
        <f>IF(B1515="Inactive", EDATE(D1515,K1515), "")</f>
        <v/>
      </c>
      <c r="F1515" t="s">
        <v>10</v>
      </c>
      <c r="G1515">
        <v>3.2</v>
      </c>
      <c r="H1515" t="str" cm="1">
        <f t="array" ref="H1515">_xlfn.IFS(G1515&gt;=20,"20-25", G1515&gt;=15,"15-20", G1515&gt;=10,"10-15", G1515&gt;=5,"5-10", G1515&gt;=1,"1-5", G1515&lt;1,"Less than 1")</f>
        <v>1-5</v>
      </c>
      <c r="I1515">
        <v>0</v>
      </c>
      <c r="J1515">
        <v>5</v>
      </c>
      <c r="K1515" s="6">
        <v>10</v>
      </c>
      <c r="L1515" s="2">
        <v>6.99</v>
      </c>
      <c r="M1515" s="6">
        <v>15</v>
      </c>
      <c r="N1515" t="str" cm="1">
        <f t="array" ref="N1515">_xlfn.IFS(M1515&gt;=50,"50-60 Days", M1515&gt;=40,"40-50 Days", M1515&gt;=30, "30-40 Days", M1515&gt;=20, "20-30 Days", M1515&gt;=10, "10-20 Days", M1515&gt;=0, "0-10 Days")</f>
        <v>10-20 Days</v>
      </c>
    </row>
    <row r="1516" spans="1:14">
      <c r="A1516">
        <v>1515</v>
      </c>
      <c r="B1516" t="s">
        <v>29</v>
      </c>
      <c r="C1516" s="5">
        <v>45209</v>
      </c>
      <c r="D1516" s="8">
        <v>45209</v>
      </c>
      <c r="E1516" s="8" t="str">
        <f>IF(B1516="Inactive", EDATE(D1516,K1516), "")</f>
        <v/>
      </c>
      <c r="F1516" t="s">
        <v>12</v>
      </c>
      <c r="G1516">
        <v>22.4</v>
      </c>
      <c r="H1516" t="str" cm="1">
        <f t="array" ref="H1516">_xlfn.IFS(G1516&gt;=20,"20-25", G1516&gt;=15,"15-20", G1516&gt;=10,"10-15", G1516&gt;=5,"5-10", G1516&gt;=1,"1-5", G1516&lt;1,"Less than 1")</f>
        <v>20-25</v>
      </c>
      <c r="I1516">
        <v>4</v>
      </c>
      <c r="J1516">
        <v>1</v>
      </c>
      <c r="K1516" s="6">
        <v>2</v>
      </c>
      <c r="L1516" s="2">
        <v>1.99</v>
      </c>
      <c r="M1516" s="6">
        <v>4</v>
      </c>
      <c r="N1516" t="str" cm="1">
        <f t="array" ref="N1516">_xlfn.IFS(M1516&gt;=50,"50-60 Days", M1516&gt;=40,"40-50 Days", M1516&gt;=30, "30-40 Days", M1516&gt;=20, "20-30 Days", M1516&gt;=10, "10-20 Days", M1516&gt;=0, "0-10 Days")</f>
        <v>0-10 Days</v>
      </c>
    </row>
    <row r="1517" spans="1:14">
      <c r="A1517">
        <v>1516</v>
      </c>
      <c r="B1517" t="s">
        <v>29</v>
      </c>
      <c r="C1517" s="5">
        <v>45635</v>
      </c>
      <c r="D1517" s="8">
        <v>45635</v>
      </c>
      <c r="E1517" s="8" t="str">
        <f>IF(B1517="Inactive", EDATE(D1517,K1517), "")</f>
        <v/>
      </c>
      <c r="F1517" t="s">
        <v>12</v>
      </c>
      <c r="G1517">
        <v>10.1</v>
      </c>
      <c r="H1517" t="str" cm="1">
        <f t="array" ref="H1517">_xlfn.IFS(G1517&gt;=20,"20-25", G1517&gt;=15,"15-20", G1517&gt;=10,"10-15", G1517&gt;=5,"5-10", G1517&gt;=1,"1-5", G1517&lt;1,"Less than 1")</f>
        <v>10-15</v>
      </c>
      <c r="I1517">
        <v>1</v>
      </c>
      <c r="J1517">
        <v>1</v>
      </c>
      <c r="K1517" s="6">
        <v>9</v>
      </c>
      <c r="L1517" s="2">
        <v>1.99</v>
      </c>
      <c r="M1517" s="6">
        <v>46</v>
      </c>
      <c r="N1517" t="str" cm="1">
        <f t="array" ref="N1517">_xlfn.IFS(M1517&gt;=50,"50-60 Days", M1517&gt;=40,"40-50 Days", M1517&gt;=30, "30-40 Days", M1517&gt;=20, "20-30 Days", M1517&gt;=10, "10-20 Days", M1517&gt;=0, "0-10 Days")</f>
        <v>40-50 Days</v>
      </c>
    </row>
    <row r="1518" spans="1:14">
      <c r="A1518">
        <v>1517</v>
      </c>
      <c r="B1518" t="s">
        <v>28</v>
      </c>
      <c r="C1518" s="5">
        <v>45537</v>
      </c>
      <c r="D1518" s="8">
        <v>45537</v>
      </c>
      <c r="E1518" s="8">
        <f>IF(B1518="Inactive", EDATE(D1518,K1518), "")</f>
        <v>45871</v>
      </c>
      <c r="F1518" t="s">
        <v>14</v>
      </c>
      <c r="G1518">
        <v>5.5</v>
      </c>
      <c r="H1518" t="str" cm="1">
        <f t="array" ref="H1518">_xlfn.IFS(G1518&gt;=20,"20-25", G1518&gt;=15,"15-20", G1518&gt;=10,"10-15", G1518&gt;=5,"5-10", G1518&gt;=1,"1-5", G1518&lt;1,"Less than 1")</f>
        <v>5-10</v>
      </c>
      <c r="I1518">
        <v>3</v>
      </c>
      <c r="J1518">
        <v>2</v>
      </c>
      <c r="K1518" s="6">
        <v>11</v>
      </c>
      <c r="L1518" s="2">
        <v>3.99</v>
      </c>
      <c r="M1518" s="6">
        <v>40</v>
      </c>
      <c r="N1518" t="str" cm="1">
        <f t="array" ref="N1518">_xlfn.IFS(M1518&gt;=50,"50-60 Days", M1518&gt;=40,"40-50 Days", M1518&gt;=30, "30-40 Days", M1518&gt;=20, "20-30 Days", M1518&gt;=10, "10-20 Days", M1518&gt;=0, "0-10 Days")</f>
        <v>40-50 Days</v>
      </c>
    </row>
    <row r="1519" spans="1:14">
      <c r="A1519">
        <v>1518</v>
      </c>
      <c r="B1519" t="s">
        <v>28</v>
      </c>
      <c r="C1519" s="5">
        <v>45239</v>
      </c>
      <c r="D1519" s="8">
        <v>45239</v>
      </c>
      <c r="E1519" s="8">
        <f>IF(B1519="Inactive", EDATE(D1519,K1519), "")</f>
        <v>45269</v>
      </c>
      <c r="F1519" t="s">
        <v>14</v>
      </c>
      <c r="G1519">
        <v>2.8</v>
      </c>
      <c r="H1519" t="str" cm="1">
        <f t="array" ref="H1519">_xlfn.IFS(G1519&gt;=20,"20-25", G1519&gt;=15,"15-20", G1519&gt;=10,"10-15", G1519&gt;=5,"5-10", G1519&gt;=1,"1-5", G1519&lt;1,"Less than 1")</f>
        <v>1-5</v>
      </c>
      <c r="I1519">
        <v>8</v>
      </c>
      <c r="J1519">
        <v>5</v>
      </c>
      <c r="K1519" s="6">
        <v>1</v>
      </c>
      <c r="L1519" s="2">
        <v>3.99</v>
      </c>
      <c r="M1519" s="6">
        <v>39</v>
      </c>
      <c r="N1519" t="str" cm="1">
        <f t="array" ref="N1519">_xlfn.IFS(M1519&gt;=50,"50-60 Days", M1519&gt;=40,"40-50 Days", M1519&gt;=30, "30-40 Days", M1519&gt;=20, "20-30 Days", M1519&gt;=10, "10-20 Days", M1519&gt;=0, "0-10 Days")</f>
        <v>30-40 Days</v>
      </c>
    </row>
    <row r="1520" spans="1:14">
      <c r="A1520">
        <v>1519</v>
      </c>
      <c r="B1520" t="s">
        <v>28</v>
      </c>
      <c r="C1520" s="5">
        <v>45393</v>
      </c>
      <c r="D1520" s="8">
        <v>45393</v>
      </c>
      <c r="E1520" s="8">
        <f>IF(B1520="Inactive", EDATE(D1520,K1520), "")</f>
        <v>45576</v>
      </c>
      <c r="F1520" t="s">
        <v>10</v>
      </c>
      <c r="G1520">
        <v>4.7</v>
      </c>
      <c r="H1520" t="str" cm="1">
        <f t="array" ref="H1520">_xlfn.IFS(G1520&gt;=20,"20-25", G1520&gt;=15,"15-20", G1520&gt;=10,"10-15", G1520&gt;=5,"5-10", G1520&gt;=1,"1-5", G1520&lt;1,"Less than 1")</f>
        <v>1-5</v>
      </c>
      <c r="I1520">
        <v>1</v>
      </c>
      <c r="J1520">
        <v>1</v>
      </c>
      <c r="K1520" s="6">
        <v>6</v>
      </c>
      <c r="L1520" s="2">
        <v>6.99</v>
      </c>
      <c r="M1520" s="6">
        <v>11</v>
      </c>
      <c r="N1520" t="str" cm="1">
        <f t="array" ref="N1520">_xlfn.IFS(M1520&gt;=50,"50-60 Days", M1520&gt;=40,"40-50 Days", M1520&gt;=30, "30-40 Days", M1520&gt;=20, "20-30 Days", M1520&gt;=10, "10-20 Days", M1520&gt;=0, "0-10 Days")</f>
        <v>10-20 Days</v>
      </c>
    </row>
    <row r="1521" spans="1:14">
      <c r="A1521">
        <v>1520</v>
      </c>
      <c r="B1521" t="s">
        <v>28</v>
      </c>
      <c r="C1521" s="5">
        <v>45197</v>
      </c>
      <c r="D1521" s="8">
        <v>45197</v>
      </c>
      <c r="E1521" s="8">
        <f>IF(B1521="Inactive", EDATE(D1521,K1521), "")</f>
        <v>45227</v>
      </c>
      <c r="F1521" t="s">
        <v>12</v>
      </c>
      <c r="G1521">
        <v>16.8</v>
      </c>
      <c r="H1521" t="str" cm="1">
        <f t="array" ref="H1521">_xlfn.IFS(G1521&gt;=20,"20-25", G1521&gt;=15,"15-20", G1521&gt;=10,"10-15", G1521&gt;=5,"5-10", G1521&gt;=1,"1-5", G1521&lt;1,"Less than 1")</f>
        <v>15-20</v>
      </c>
      <c r="I1521">
        <v>6</v>
      </c>
      <c r="J1521">
        <v>2</v>
      </c>
      <c r="K1521" s="6">
        <v>1</v>
      </c>
      <c r="L1521" s="2">
        <v>1.99</v>
      </c>
      <c r="M1521" s="6">
        <v>1</v>
      </c>
      <c r="N1521" t="str" cm="1">
        <f t="array" ref="N1521">_xlfn.IFS(M1521&gt;=50,"50-60 Days", M1521&gt;=40,"40-50 Days", M1521&gt;=30, "30-40 Days", M1521&gt;=20, "20-30 Days", M1521&gt;=10, "10-20 Days", M1521&gt;=0, "0-10 Days")</f>
        <v>0-10 Days</v>
      </c>
    </row>
    <row r="1522" spans="1:14">
      <c r="A1522">
        <v>1521</v>
      </c>
      <c r="B1522" t="s">
        <v>29</v>
      </c>
      <c r="C1522" s="5">
        <v>45524</v>
      </c>
      <c r="D1522" s="8">
        <v>45524</v>
      </c>
      <c r="E1522" s="8" t="str">
        <f>IF(B1522="Inactive", EDATE(D1522,K1522), "")</f>
        <v/>
      </c>
      <c r="F1522" t="s">
        <v>12</v>
      </c>
      <c r="G1522">
        <v>17.100000000000001</v>
      </c>
      <c r="H1522" t="str" cm="1">
        <f t="array" ref="H1522">_xlfn.IFS(G1522&gt;=20,"20-25", G1522&gt;=15,"15-20", G1522&gt;=10,"10-15", G1522&gt;=5,"5-10", G1522&gt;=1,"1-5", G1522&lt;1,"Less than 1")</f>
        <v>15-20</v>
      </c>
      <c r="I1522">
        <v>0</v>
      </c>
      <c r="J1522">
        <v>4</v>
      </c>
      <c r="K1522" s="6">
        <v>4</v>
      </c>
      <c r="L1522" s="2">
        <v>1.99</v>
      </c>
      <c r="M1522" s="6">
        <v>22</v>
      </c>
      <c r="N1522" t="str" cm="1">
        <f t="array" ref="N1522">_xlfn.IFS(M1522&gt;=50,"50-60 Days", M1522&gt;=40,"40-50 Days", M1522&gt;=30, "30-40 Days", M1522&gt;=20, "20-30 Days", M1522&gt;=10, "10-20 Days", M1522&gt;=0, "0-10 Days")</f>
        <v>20-30 Days</v>
      </c>
    </row>
    <row r="1523" spans="1:14">
      <c r="A1523">
        <v>1522</v>
      </c>
      <c r="B1523" t="s">
        <v>29</v>
      </c>
      <c r="C1523" s="5">
        <v>45507</v>
      </c>
      <c r="D1523" s="8">
        <v>45507</v>
      </c>
      <c r="E1523" s="8" t="str">
        <f>IF(B1523="Inactive", EDATE(D1523,K1523), "")</f>
        <v/>
      </c>
      <c r="F1523" t="s">
        <v>12</v>
      </c>
      <c r="G1523">
        <v>21.9</v>
      </c>
      <c r="H1523" t="str" cm="1">
        <f t="array" ref="H1523">_xlfn.IFS(G1523&gt;=20,"20-25", G1523&gt;=15,"15-20", G1523&gt;=10,"10-15", G1523&gt;=5,"5-10", G1523&gt;=1,"1-5", G1523&lt;1,"Less than 1")</f>
        <v>20-25</v>
      </c>
      <c r="I1523">
        <v>7</v>
      </c>
      <c r="J1523">
        <v>0</v>
      </c>
      <c r="K1523" s="6">
        <v>11</v>
      </c>
      <c r="L1523" s="2">
        <v>1.99</v>
      </c>
      <c r="M1523" s="6">
        <v>2</v>
      </c>
      <c r="N1523" t="str" cm="1">
        <f t="array" ref="N1523">_xlfn.IFS(M1523&gt;=50,"50-60 Days", M1523&gt;=40,"40-50 Days", M1523&gt;=30, "30-40 Days", M1523&gt;=20, "20-30 Days", M1523&gt;=10, "10-20 Days", M1523&gt;=0, "0-10 Days")</f>
        <v>0-10 Days</v>
      </c>
    </row>
    <row r="1524" spans="1:14">
      <c r="A1524">
        <v>1523</v>
      </c>
      <c r="B1524" t="s">
        <v>29</v>
      </c>
      <c r="C1524" s="5">
        <v>45023</v>
      </c>
      <c r="D1524" s="8">
        <v>45023</v>
      </c>
      <c r="E1524" s="8" t="str">
        <f>IF(B1524="Inactive", EDATE(D1524,K1524), "")</f>
        <v/>
      </c>
      <c r="F1524" t="s">
        <v>10</v>
      </c>
      <c r="G1524">
        <v>21</v>
      </c>
      <c r="H1524" t="str" cm="1">
        <f t="array" ref="H1524">_xlfn.IFS(G1524&gt;=20,"20-25", G1524&gt;=15,"15-20", G1524&gt;=10,"10-15", G1524&gt;=5,"5-10", G1524&gt;=1,"1-5", G1524&lt;1,"Less than 1")</f>
        <v>20-25</v>
      </c>
      <c r="I1524">
        <v>8</v>
      </c>
      <c r="J1524">
        <v>4</v>
      </c>
      <c r="K1524" s="6">
        <v>7</v>
      </c>
      <c r="L1524" s="2">
        <v>6.99</v>
      </c>
      <c r="M1524" s="6">
        <v>10</v>
      </c>
      <c r="N1524" t="str" cm="1">
        <f t="array" ref="N1524">_xlfn.IFS(M1524&gt;=50,"50-60 Days", M1524&gt;=40,"40-50 Days", M1524&gt;=30, "30-40 Days", M1524&gt;=20, "20-30 Days", M1524&gt;=10, "10-20 Days", M1524&gt;=0, "0-10 Days")</f>
        <v>10-20 Days</v>
      </c>
    </row>
    <row r="1525" spans="1:14">
      <c r="A1525">
        <v>1524</v>
      </c>
      <c r="B1525" t="s">
        <v>28</v>
      </c>
      <c r="C1525" s="5">
        <v>45485</v>
      </c>
      <c r="D1525" s="8">
        <v>45485</v>
      </c>
      <c r="E1525" s="8">
        <f>IF(B1525="Inactive", EDATE(D1525,K1525), "")</f>
        <v>45700</v>
      </c>
      <c r="F1525" t="s">
        <v>12</v>
      </c>
      <c r="G1525">
        <v>20.2</v>
      </c>
      <c r="H1525" t="str" cm="1">
        <f t="array" ref="H1525">_xlfn.IFS(G1525&gt;=20,"20-25", G1525&gt;=15,"15-20", G1525&gt;=10,"10-15", G1525&gt;=5,"5-10", G1525&gt;=1,"1-5", G1525&lt;1,"Less than 1")</f>
        <v>20-25</v>
      </c>
      <c r="I1525">
        <v>5</v>
      </c>
      <c r="J1525">
        <v>3</v>
      </c>
      <c r="K1525" s="6">
        <v>7</v>
      </c>
      <c r="L1525" s="2">
        <v>1.99</v>
      </c>
      <c r="M1525" s="6">
        <v>31</v>
      </c>
      <c r="N1525" t="str" cm="1">
        <f t="array" ref="N1525">_xlfn.IFS(M1525&gt;=50,"50-60 Days", M1525&gt;=40,"40-50 Days", M1525&gt;=30, "30-40 Days", M1525&gt;=20, "20-30 Days", M1525&gt;=10, "10-20 Days", M1525&gt;=0, "0-10 Days")</f>
        <v>30-40 Days</v>
      </c>
    </row>
    <row r="1526" spans="1:14">
      <c r="A1526">
        <v>1525</v>
      </c>
      <c r="B1526" t="s">
        <v>28</v>
      </c>
      <c r="C1526" s="5">
        <v>45654</v>
      </c>
      <c r="D1526" s="8">
        <v>45654</v>
      </c>
      <c r="E1526" s="8">
        <f>IF(B1526="Inactive", EDATE(D1526,K1526), "")</f>
        <v>45989</v>
      </c>
      <c r="F1526" t="s">
        <v>14</v>
      </c>
      <c r="G1526">
        <v>6.7</v>
      </c>
      <c r="H1526" t="str" cm="1">
        <f t="array" ref="H1526">_xlfn.IFS(G1526&gt;=20,"20-25", G1526&gt;=15,"15-20", G1526&gt;=10,"10-15", G1526&gt;=5,"5-10", G1526&gt;=1,"1-5", G1526&lt;1,"Less than 1")</f>
        <v>5-10</v>
      </c>
      <c r="I1526">
        <v>7</v>
      </c>
      <c r="J1526">
        <v>0</v>
      </c>
      <c r="K1526" s="6">
        <v>11</v>
      </c>
      <c r="L1526" s="2">
        <v>3.99</v>
      </c>
      <c r="M1526" s="6">
        <v>52</v>
      </c>
      <c r="N1526" t="str" cm="1">
        <f t="array" ref="N1526">_xlfn.IFS(M1526&gt;=50,"50-60 Days", M1526&gt;=40,"40-50 Days", M1526&gt;=30, "30-40 Days", M1526&gt;=20, "20-30 Days", M1526&gt;=10, "10-20 Days", M1526&gt;=0, "0-10 Days")</f>
        <v>50-60 Days</v>
      </c>
    </row>
    <row r="1527" spans="1:14">
      <c r="A1527">
        <v>1526</v>
      </c>
      <c r="B1527" t="s">
        <v>29</v>
      </c>
      <c r="C1527" s="5">
        <v>45582</v>
      </c>
      <c r="D1527" s="8">
        <v>45582</v>
      </c>
      <c r="E1527" s="8" t="str">
        <f>IF(B1527="Inactive", EDATE(D1527,K1527), "")</f>
        <v/>
      </c>
      <c r="F1527" t="s">
        <v>14</v>
      </c>
      <c r="G1527">
        <v>19.5</v>
      </c>
      <c r="H1527" t="str" cm="1">
        <f t="array" ref="H1527">_xlfn.IFS(G1527&gt;=20,"20-25", G1527&gt;=15,"15-20", G1527&gt;=10,"10-15", G1527&gt;=5,"5-10", G1527&gt;=1,"1-5", G1527&lt;1,"Less than 1")</f>
        <v>15-20</v>
      </c>
      <c r="I1527">
        <v>7</v>
      </c>
      <c r="J1527">
        <v>0</v>
      </c>
      <c r="K1527" s="6">
        <v>12</v>
      </c>
      <c r="L1527" s="2">
        <v>3.99</v>
      </c>
      <c r="M1527" s="6">
        <v>17</v>
      </c>
      <c r="N1527" t="str" cm="1">
        <f t="array" ref="N1527">_xlfn.IFS(M1527&gt;=50,"50-60 Days", M1527&gt;=40,"40-50 Days", M1527&gt;=30, "30-40 Days", M1527&gt;=20, "20-30 Days", M1527&gt;=10, "10-20 Days", M1527&gt;=0, "0-10 Days")</f>
        <v>10-20 Days</v>
      </c>
    </row>
    <row r="1528" spans="1:14">
      <c r="A1528">
        <v>1527</v>
      </c>
      <c r="B1528" t="s">
        <v>29</v>
      </c>
      <c r="C1528" s="5">
        <v>44958</v>
      </c>
      <c r="D1528" s="8">
        <v>44958</v>
      </c>
      <c r="E1528" s="8" t="str">
        <f>IF(B1528="Inactive", EDATE(D1528,K1528), "")</f>
        <v/>
      </c>
      <c r="F1528" t="s">
        <v>12</v>
      </c>
      <c r="G1528">
        <v>24.5</v>
      </c>
      <c r="H1528" t="str" cm="1">
        <f t="array" ref="H1528">_xlfn.IFS(G1528&gt;=20,"20-25", G1528&gt;=15,"15-20", G1528&gt;=10,"10-15", G1528&gt;=5,"5-10", G1528&gt;=1,"1-5", G1528&lt;1,"Less than 1")</f>
        <v>20-25</v>
      </c>
      <c r="I1528">
        <v>3</v>
      </c>
      <c r="J1528">
        <v>5</v>
      </c>
      <c r="K1528" s="6">
        <v>4</v>
      </c>
      <c r="L1528" s="2">
        <v>1.99</v>
      </c>
      <c r="M1528" s="6">
        <v>9</v>
      </c>
      <c r="N1528" t="str" cm="1">
        <f t="array" ref="N1528">_xlfn.IFS(M1528&gt;=50,"50-60 Days", M1528&gt;=40,"40-50 Days", M1528&gt;=30, "30-40 Days", M1528&gt;=20, "20-30 Days", M1528&gt;=10, "10-20 Days", M1528&gt;=0, "0-10 Days")</f>
        <v>0-10 Days</v>
      </c>
    </row>
    <row r="1529" spans="1:14">
      <c r="A1529">
        <v>1528</v>
      </c>
      <c r="B1529" t="s">
        <v>29</v>
      </c>
      <c r="C1529" s="5">
        <v>45581</v>
      </c>
      <c r="D1529" s="8">
        <v>45581</v>
      </c>
      <c r="E1529" s="8" t="str">
        <f>IF(B1529="Inactive", EDATE(D1529,K1529), "")</f>
        <v/>
      </c>
      <c r="F1529" t="s">
        <v>12</v>
      </c>
      <c r="G1529">
        <v>9.3000000000000007</v>
      </c>
      <c r="H1529" t="str" cm="1">
        <f t="array" ref="H1529">_xlfn.IFS(G1529&gt;=20,"20-25", G1529&gt;=15,"15-20", G1529&gt;=10,"10-15", G1529&gt;=5,"5-10", G1529&gt;=1,"1-5", G1529&lt;1,"Less than 1")</f>
        <v>5-10</v>
      </c>
      <c r="I1529">
        <v>1</v>
      </c>
      <c r="J1529">
        <v>1</v>
      </c>
      <c r="K1529" s="6">
        <v>10</v>
      </c>
      <c r="L1529" s="2">
        <v>1.99</v>
      </c>
      <c r="M1529" s="6">
        <v>58</v>
      </c>
      <c r="N1529" t="str" cm="1">
        <f t="array" ref="N1529">_xlfn.IFS(M1529&gt;=50,"50-60 Days", M1529&gt;=40,"40-50 Days", M1529&gt;=30, "30-40 Days", M1529&gt;=20, "20-30 Days", M1529&gt;=10, "10-20 Days", M1529&gt;=0, "0-10 Days")</f>
        <v>50-60 Days</v>
      </c>
    </row>
    <row r="1530" spans="1:14">
      <c r="A1530">
        <v>1529</v>
      </c>
      <c r="B1530" t="s">
        <v>28</v>
      </c>
      <c r="C1530" s="5">
        <v>45198</v>
      </c>
      <c r="D1530" s="8">
        <v>45198</v>
      </c>
      <c r="E1530" s="8">
        <f>IF(B1530="Inactive", EDATE(D1530,K1530), "")</f>
        <v>45380</v>
      </c>
      <c r="F1530" t="s">
        <v>12</v>
      </c>
      <c r="G1530">
        <v>22</v>
      </c>
      <c r="H1530" t="str" cm="1">
        <f t="array" ref="H1530">_xlfn.IFS(G1530&gt;=20,"20-25", G1530&gt;=15,"15-20", G1530&gt;=10,"10-15", G1530&gt;=5,"5-10", G1530&gt;=1,"1-5", G1530&lt;1,"Less than 1")</f>
        <v>20-25</v>
      </c>
      <c r="I1530">
        <v>8</v>
      </c>
      <c r="J1530">
        <v>3</v>
      </c>
      <c r="K1530" s="6">
        <v>6</v>
      </c>
      <c r="L1530" s="2">
        <v>1.99</v>
      </c>
      <c r="M1530" s="6">
        <v>56</v>
      </c>
      <c r="N1530" t="str" cm="1">
        <f t="array" ref="N1530">_xlfn.IFS(M1530&gt;=50,"50-60 Days", M1530&gt;=40,"40-50 Days", M1530&gt;=30, "30-40 Days", M1530&gt;=20, "20-30 Days", M1530&gt;=10, "10-20 Days", M1530&gt;=0, "0-10 Days")</f>
        <v>50-60 Days</v>
      </c>
    </row>
    <row r="1531" spans="1:14">
      <c r="A1531">
        <v>1530</v>
      </c>
      <c r="B1531" t="s">
        <v>29</v>
      </c>
      <c r="C1531" s="5">
        <v>45209</v>
      </c>
      <c r="D1531" s="8">
        <v>45209</v>
      </c>
      <c r="E1531" s="8" t="str">
        <f>IF(B1531="Inactive", EDATE(D1531,K1531), "")</f>
        <v/>
      </c>
      <c r="F1531" t="s">
        <v>10</v>
      </c>
      <c r="G1531">
        <v>22.3</v>
      </c>
      <c r="H1531" t="str" cm="1">
        <f t="array" ref="H1531">_xlfn.IFS(G1531&gt;=20,"20-25", G1531&gt;=15,"15-20", G1531&gt;=10,"10-15", G1531&gt;=5,"5-10", G1531&gt;=1,"1-5", G1531&lt;1,"Less than 1")</f>
        <v>20-25</v>
      </c>
      <c r="I1531">
        <v>6</v>
      </c>
      <c r="J1531">
        <v>4</v>
      </c>
      <c r="K1531" s="6">
        <v>8</v>
      </c>
      <c r="L1531" s="2">
        <v>6.99</v>
      </c>
      <c r="M1531" s="6">
        <v>26</v>
      </c>
      <c r="N1531" t="str" cm="1">
        <f t="array" ref="N1531">_xlfn.IFS(M1531&gt;=50,"50-60 Days", M1531&gt;=40,"40-50 Days", M1531&gt;=30, "30-40 Days", M1531&gt;=20, "20-30 Days", M1531&gt;=10, "10-20 Days", M1531&gt;=0, "0-10 Days")</f>
        <v>20-30 Days</v>
      </c>
    </row>
    <row r="1532" spans="1:14">
      <c r="A1532">
        <v>1531</v>
      </c>
      <c r="B1532" t="s">
        <v>28</v>
      </c>
      <c r="C1532" s="5">
        <v>45052</v>
      </c>
      <c r="D1532" s="8">
        <v>45052</v>
      </c>
      <c r="E1532" s="8">
        <f>IF(B1532="Inactive", EDATE(D1532,K1532), "")</f>
        <v>45205</v>
      </c>
      <c r="F1532" t="s">
        <v>14</v>
      </c>
      <c r="G1532">
        <v>1.5</v>
      </c>
      <c r="H1532" t="str" cm="1">
        <f t="array" ref="H1532">_xlfn.IFS(G1532&gt;=20,"20-25", G1532&gt;=15,"15-20", G1532&gt;=10,"10-15", G1532&gt;=5,"5-10", G1532&gt;=1,"1-5", G1532&lt;1,"Less than 1")</f>
        <v>1-5</v>
      </c>
      <c r="I1532">
        <v>8</v>
      </c>
      <c r="J1532">
        <v>5</v>
      </c>
      <c r="K1532" s="6">
        <v>5</v>
      </c>
      <c r="L1532" s="2">
        <v>3.99</v>
      </c>
      <c r="M1532" s="6">
        <v>21</v>
      </c>
      <c r="N1532" t="str" cm="1">
        <f t="array" ref="N1532">_xlfn.IFS(M1532&gt;=50,"50-60 Days", M1532&gt;=40,"40-50 Days", M1532&gt;=30, "30-40 Days", M1532&gt;=20, "20-30 Days", M1532&gt;=10, "10-20 Days", M1532&gt;=0, "0-10 Days")</f>
        <v>20-30 Days</v>
      </c>
    </row>
    <row r="1533" spans="1:14">
      <c r="A1533">
        <v>1532</v>
      </c>
      <c r="B1533" t="s">
        <v>29</v>
      </c>
      <c r="C1533" s="5">
        <v>45437</v>
      </c>
      <c r="D1533" s="8">
        <v>45437</v>
      </c>
      <c r="E1533" s="8" t="str">
        <f>IF(B1533="Inactive", EDATE(D1533,K1533), "")</f>
        <v/>
      </c>
      <c r="F1533" t="s">
        <v>14</v>
      </c>
      <c r="G1533">
        <v>14.4</v>
      </c>
      <c r="H1533" t="str" cm="1">
        <f t="array" ref="H1533">_xlfn.IFS(G1533&gt;=20,"20-25", G1533&gt;=15,"15-20", G1533&gt;=10,"10-15", G1533&gt;=5,"5-10", G1533&gt;=1,"1-5", G1533&lt;1,"Less than 1")</f>
        <v>10-15</v>
      </c>
      <c r="I1533">
        <v>5</v>
      </c>
      <c r="J1533">
        <v>2</v>
      </c>
      <c r="K1533" s="6">
        <v>10</v>
      </c>
      <c r="L1533" s="2">
        <v>3.99</v>
      </c>
      <c r="M1533" s="6">
        <v>7</v>
      </c>
      <c r="N1533" t="str" cm="1">
        <f t="array" ref="N1533">_xlfn.IFS(M1533&gt;=50,"50-60 Days", M1533&gt;=40,"40-50 Days", M1533&gt;=30, "30-40 Days", M1533&gt;=20, "20-30 Days", M1533&gt;=10, "10-20 Days", M1533&gt;=0, "0-10 Days")</f>
        <v>0-10 Days</v>
      </c>
    </row>
    <row r="1534" spans="1:14">
      <c r="A1534">
        <v>1533</v>
      </c>
      <c r="B1534" t="s">
        <v>29</v>
      </c>
      <c r="C1534" s="5">
        <v>45607</v>
      </c>
      <c r="D1534" s="8">
        <v>45607</v>
      </c>
      <c r="E1534" s="8" t="str">
        <f>IF(B1534="Inactive", EDATE(D1534,K1534), "")</f>
        <v/>
      </c>
      <c r="F1534" t="s">
        <v>10</v>
      </c>
      <c r="G1534">
        <v>11.9</v>
      </c>
      <c r="H1534" t="str" cm="1">
        <f t="array" ref="H1534">_xlfn.IFS(G1534&gt;=20,"20-25", G1534&gt;=15,"15-20", G1534&gt;=10,"10-15", G1534&gt;=5,"5-10", G1534&gt;=1,"1-5", G1534&lt;1,"Less than 1")</f>
        <v>10-15</v>
      </c>
      <c r="I1534">
        <v>2</v>
      </c>
      <c r="J1534">
        <v>4</v>
      </c>
      <c r="K1534" s="6">
        <v>4</v>
      </c>
      <c r="L1534" s="2">
        <v>6.99</v>
      </c>
      <c r="M1534" s="6">
        <v>18</v>
      </c>
      <c r="N1534" t="str" cm="1">
        <f t="array" ref="N1534">_xlfn.IFS(M1534&gt;=50,"50-60 Days", M1534&gt;=40,"40-50 Days", M1534&gt;=30, "30-40 Days", M1534&gt;=20, "20-30 Days", M1534&gt;=10, "10-20 Days", M1534&gt;=0, "0-10 Days")</f>
        <v>10-20 Days</v>
      </c>
    </row>
    <row r="1535" spans="1:14">
      <c r="A1535">
        <v>1534</v>
      </c>
      <c r="B1535" t="s">
        <v>29</v>
      </c>
      <c r="C1535" s="5">
        <v>45149</v>
      </c>
      <c r="D1535" s="8">
        <v>45149</v>
      </c>
      <c r="E1535" s="8" t="str">
        <f>IF(B1535="Inactive", EDATE(D1535,K1535), "")</f>
        <v/>
      </c>
      <c r="F1535" t="s">
        <v>12</v>
      </c>
      <c r="G1535">
        <v>12.4</v>
      </c>
      <c r="H1535" t="str" cm="1">
        <f t="array" ref="H1535">_xlfn.IFS(G1535&gt;=20,"20-25", G1535&gt;=15,"15-20", G1535&gt;=10,"10-15", G1535&gt;=5,"5-10", G1535&gt;=1,"1-5", G1535&lt;1,"Less than 1")</f>
        <v>10-15</v>
      </c>
      <c r="I1535">
        <v>1</v>
      </c>
      <c r="J1535">
        <v>2</v>
      </c>
      <c r="K1535" s="6">
        <v>7</v>
      </c>
      <c r="L1535" s="2">
        <v>1.99</v>
      </c>
      <c r="M1535" s="6">
        <v>0</v>
      </c>
      <c r="N1535" t="str" cm="1">
        <f t="array" ref="N1535">_xlfn.IFS(M1535&gt;=50,"50-60 Days", M1535&gt;=40,"40-50 Days", M1535&gt;=30, "30-40 Days", M1535&gt;=20, "20-30 Days", M1535&gt;=10, "10-20 Days", M1535&gt;=0, "0-10 Days")</f>
        <v>0-10 Days</v>
      </c>
    </row>
    <row r="1536" spans="1:14">
      <c r="A1536">
        <v>1535</v>
      </c>
      <c r="B1536" t="s">
        <v>28</v>
      </c>
      <c r="C1536" s="5">
        <v>44927</v>
      </c>
      <c r="D1536" s="8">
        <v>44927</v>
      </c>
      <c r="E1536" s="8">
        <f>IF(B1536="Inactive", EDATE(D1536,K1536), "")</f>
        <v>45017</v>
      </c>
      <c r="F1536" t="s">
        <v>14</v>
      </c>
      <c r="G1536">
        <v>1.8</v>
      </c>
      <c r="H1536" t="str" cm="1">
        <f t="array" ref="H1536">_xlfn.IFS(G1536&gt;=20,"20-25", G1536&gt;=15,"15-20", G1536&gt;=10,"10-15", G1536&gt;=5,"5-10", G1536&gt;=1,"1-5", G1536&lt;1,"Less than 1")</f>
        <v>1-5</v>
      </c>
      <c r="I1536">
        <v>4</v>
      </c>
      <c r="J1536">
        <v>0</v>
      </c>
      <c r="K1536" s="6">
        <v>3</v>
      </c>
      <c r="L1536" s="2">
        <v>3.99</v>
      </c>
      <c r="M1536" s="6">
        <v>27</v>
      </c>
      <c r="N1536" t="str" cm="1">
        <f t="array" ref="N1536">_xlfn.IFS(M1536&gt;=50,"50-60 Days", M1536&gt;=40,"40-50 Days", M1536&gt;=30, "30-40 Days", M1536&gt;=20, "20-30 Days", M1536&gt;=10, "10-20 Days", M1536&gt;=0, "0-10 Days")</f>
        <v>20-30 Days</v>
      </c>
    </row>
    <row r="1537" spans="1:14">
      <c r="A1537">
        <v>1536</v>
      </c>
      <c r="B1537" t="s">
        <v>28</v>
      </c>
      <c r="C1537" s="5">
        <v>45501</v>
      </c>
      <c r="D1537" s="8">
        <v>45501</v>
      </c>
      <c r="E1537" s="8">
        <f>IF(B1537="Inactive", EDATE(D1537,K1537), "")</f>
        <v>45685</v>
      </c>
      <c r="F1537" t="s">
        <v>12</v>
      </c>
      <c r="G1537">
        <v>3.9</v>
      </c>
      <c r="H1537" t="str" cm="1">
        <f t="array" ref="H1537">_xlfn.IFS(G1537&gt;=20,"20-25", G1537&gt;=15,"15-20", G1537&gt;=10,"10-15", G1537&gt;=5,"5-10", G1537&gt;=1,"1-5", G1537&lt;1,"Less than 1")</f>
        <v>1-5</v>
      </c>
      <c r="I1537">
        <v>4</v>
      </c>
      <c r="J1537">
        <v>4</v>
      </c>
      <c r="K1537" s="6">
        <v>6</v>
      </c>
      <c r="L1537" s="2">
        <v>1.99</v>
      </c>
      <c r="M1537" s="6">
        <v>42</v>
      </c>
      <c r="N1537" t="str" cm="1">
        <f t="array" ref="N1537">_xlfn.IFS(M1537&gt;=50,"50-60 Days", M1537&gt;=40,"40-50 Days", M1537&gt;=30, "30-40 Days", M1537&gt;=20, "20-30 Days", M1537&gt;=10, "10-20 Days", M1537&gt;=0, "0-10 Days")</f>
        <v>40-50 Days</v>
      </c>
    </row>
    <row r="1538" spans="1:14">
      <c r="A1538">
        <v>1537</v>
      </c>
      <c r="B1538" t="s">
        <v>29</v>
      </c>
      <c r="C1538" s="5">
        <v>45009</v>
      </c>
      <c r="D1538" s="8">
        <v>45009</v>
      </c>
      <c r="E1538" s="8" t="str">
        <f>IF(B1538="Inactive", EDATE(D1538,K1538), "")</f>
        <v/>
      </c>
      <c r="F1538" t="s">
        <v>12</v>
      </c>
      <c r="G1538">
        <v>18</v>
      </c>
      <c r="H1538" t="str" cm="1">
        <f t="array" ref="H1538">_xlfn.IFS(G1538&gt;=20,"20-25", G1538&gt;=15,"15-20", G1538&gt;=10,"10-15", G1538&gt;=5,"5-10", G1538&gt;=1,"1-5", G1538&lt;1,"Less than 1")</f>
        <v>15-20</v>
      </c>
      <c r="I1538">
        <v>2</v>
      </c>
      <c r="J1538">
        <v>5</v>
      </c>
      <c r="K1538" s="6">
        <v>2</v>
      </c>
      <c r="L1538" s="2">
        <v>1.99</v>
      </c>
      <c r="M1538" s="6">
        <v>12</v>
      </c>
      <c r="N1538" t="str" cm="1">
        <f t="array" ref="N1538">_xlfn.IFS(M1538&gt;=50,"50-60 Days", M1538&gt;=40,"40-50 Days", M1538&gt;=30, "30-40 Days", M1538&gt;=20, "20-30 Days", M1538&gt;=10, "10-20 Days", M1538&gt;=0, "0-10 Days")</f>
        <v>10-20 Days</v>
      </c>
    </row>
    <row r="1539" spans="1:14">
      <c r="A1539">
        <v>1538</v>
      </c>
      <c r="B1539" t="s">
        <v>28</v>
      </c>
      <c r="C1539" s="5">
        <v>45322</v>
      </c>
      <c r="D1539" s="8">
        <v>45322</v>
      </c>
      <c r="E1539" s="8">
        <f>IF(B1539="Inactive", EDATE(D1539,K1539), "")</f>
        <v>45473</v>
      </c>
      <c r="F1539" t="s">
        <v>14</v>
      </c>
      <c r="G1539">
        <v>1.3</v>
      </c>
      <c r="H1539" t="str" cm="1">
        <f t="array" ref="H1539">_xlfn.IFS(G1539&gt;=20,"20-25", G1539&gt;=15,"15-20", G1539&gt;=10,"10-15", G1539&gt;=5,"5-10", G1539&gt;=1,"1-5", G1539&lt;1,"Less than 1")</f>
        <v>1-5</v>
      </c>
      <c r="I1539">
        <v>5</v>
      </c>
      <c r="J1539">
        <v>1</v>
      </c>
      <c r="K1539" s="6">
        <v>5</v>
      </c>
      <c r="L1539" s="2">
        <v>3.99</v>
      </c>
      <c r="M1539" s="6">
        <v>51</v>
      </c>
      <c r="N1539" t="str" cm="1">
        <f t="array" ref="N1539">_xlfn.IFS(M1539&gt;=50,"50-60 Days", M1539&gt;=40,"40-50 Days", M1539&gt;=30, "30-40 Days", M1539&gt;=20, "20-30 Days", M1539&gt;=10, "10-20 Days", M1539&gt;=0, "0-10 Days")</f>
        <v>50-60 Days</v>
      </c>
    </row>
    <row r="1540" spans="1:14">
      <c r="A1540">
        <v>1539</v>
      </c>
      <c r="B1540" t="s">
        <v>28</v>
      </c>
      <c r="C1540" s="5">
        <v>45245</v>
      </c>
      <c r="D1540" s="8">
        <v>45245</v>
      </c>
      <c r="E1540" s="8">
        <f>IF(B1540="Inactive", EDATE(D1540,K1540), "")</f>
        <v>45519</v>
      </c>
      <c r="F1540" t="s">
        <v>14</v>
      </c>
      <c r="G1540">
        <v>24.2</v>
      </c>
      <c r="H1540" t="str" cm="1">
        <f t="array" ref="H1540">_xlfn.IFS(G1540&gt;=20,"20-25", G1540&gt;=15,"15-20", G1540&gt;=10,"10-15", G1540&gt;=5,"5-10", G1540&gt;=1,"1-5", G1540&lt;1,"Less than 1")</f>
        <v>20-25</v>
      </c>
      <c r="I1540">
        <v>1</v>
      </c>
      <c r="J1540">
        <v>2</v>
      </c>
      <c r="K1540" s="6">
        <v>9</v>
      </c>
      <c r="L1540" s="2">
        <v>3.99</v>
      </c>
      <c r="M1540" s="6">
        <v>58</v>
      </c>
      <c r="N1540" t="str" cm="1">
        <f t="array" ref="N1540">_xlfn.IFS(M1540&gt;=50,"50-60 Days", M1540&gt;=40,"40-50 Days", M1540&gt;=30, "30-40 Days", M1540&gt;=20, "20-30 Days", M1540&gt;=10, "10-20 Days", M1540&gt;=0, "0-10 Days")</f>
        <v>50-60 Days</v>
      </c>
    </row>
    <row r="1541" spans="1:14">
      <c r="A1541">
        <v>1540</v>
      </c>
      <c r="B1541" t="s">
        <v>29</v>
      </c>
      <c r="C1541" s="5">
        <v>45131</v>
      </c>
      <c r="D1541" s="8">
        <v>45131</v>
      </c>
      <c r="E1541" s="8" t="str">
        <f>IF(B1541="Inactive", EDATE(D1541,K1541), "")</f>
        <v/>
      </c>
      <c r="F1541" t="s">
        <v>12</v>
      </c>
      <c r="G1541">
        <v>17.100000000000001</v>
      </c>
      <c r="H1541" t="str" cm="1">
        <f t="array" ref="H1541">_xlfn.IFS(G1541&gt;=20,"20-25", G1541&gt;=15,"15-20", G1541&gt;=10,"10-15", G1541&gt;=5,"5-10", G1541&gt;=1,"1-5", G1541&lt;1,"Less than 1")</f>
        <v>15-20</v>
      </c>
      <c r="I1541">
        <v>5</v>
      </c>
      <c r="J1541">
        <v>4</v>
      </c>
      <c r="K1541" s="6">
        <v>10</v>
      </c>
      <c r="L1541" s="2">
        <v>1.99</v>
      </c>
      <c r="M1541" s="6">
        <v>8</v>
      </c>
      <c r="N1541" t="str" cm="1">
        <f t="array" ref="N1541">_xlfn.IFS(M1541&gt;=50,"50-60 Days", M1541&gt;=40,"40-50 Days", M1541&gt;=30, "30-40 Days", M1541&gt;=20, "20-30 Days", M1541&gt;=10, "10-20 Days", M1541&gt;=0, "0-10 Days")</f>
        <v>0-10 Days</v>
      </c>
    </row>
    <row r="1542" spans="1:14">
      <c r="A1542">
        <v>1541</v>
      </c>
      <c r="B1542" t="s">
        <v>28</v>
      </c>
      <c r="C1542" s="5">
        <v>45507</v>
      </c>
      <c r="D1542" s="8">
        <v>45507</v>
      </c>
      <c r="E1542" s="8">
        <f>IF(B1542="Inactive", EDATE(D1542,K1542), "")</f>
        <v>45599</v>
      </c>
      <c r="F1542" t="s">
        <v>14</v>
      </c>
      <c r="G1542">
        <v>10.7</v>
      </c>
      <c r="H1542" t="str" cm="1">
        <f t="array" ref="H1542">_xlfn.IFS(G1542&gt;=20,"20-25", G1542&gt;=15,"15-20", G1542&gt;=10,"10-15", G1542&gt;=5,"5-10", G1542&gt;=1,"1-5", G1542&lt;1,"Less than 1")</f>
        <v>10-15</v>
      </c>
      <c r="I1542">
        <v>3</v>
      </c>
      <c r="J1542">
        <v>2</v>
      </c>
      <c r="K1542" s="6">
        <v>3</v>
      </c>
      <c r="L1542" s="2">
        <v>3.99</v>
      </c>
      <c r="M1542" s="6">
        <v>19</v>
      </c>
      <c r="N1542" t="str" cm="1">
        <f t="array" ref="N1542">_xlfn.IFS(M1542&gt;=50,"50-60 Days", M1542&gt;=40,"40-50 Days", M1542&gt;=30, "30-40 Days", M1542&gt;=20, "20-30 Days", M1542&gt;=10, "10-20 Days", M1542&gt;=0, "0-10 Days")</f>
        <v>10-20 Days</v>
      </c>
    </row>
    <row r="1543" spans="1:14">
      <c r="A1543">
        <v>1542</v>
      </c>
      <c r="B1543" t="s">
        <v>28</v>
      </c>
      <c r="C1543" s="5">
        <v>45379</v>
      </c>
      <c r="D1543" s="8">
        <v>45379</v>
      </c>
      <c r="E1543" s="8">
        <f>IF(B1543="Inactive", EDATE(D1543,K1543), "")</f>
        <v>45685</v>
      </c>
      <c r="F1543" t="s">
        <v>10</v>
      </c>
      <c r="G1543">
        <v>13.9</v>
      </c>
      <c r="H1543" t="str" cm="1">
        <f t="array" ref="H1543">_xlfn.IFS(G1543&gt;=20,"20-25", G1543&gt;=15,"15-20", G1543&gt;=10,"10-15", G1543&gt;=5,"5-10", G1543&gt;=1,"1-5", G1543&lt;1,"Less than 1")</f>
        <v>10-15</v>
      </c>
      <c r="I1543">
        <v>6</v>
      </c>
      <c r="J1543">
        <v>3</v>
      </c>
      <c r="K1543" s="6">
        <v>10</v>
      </c>
      <c r="L1543" s="2">
        <v>6.99</v>
      </c>
      <c r="M1543" s="6">
        <v>6</v>
      </c>
      <c r="N1543" t="str" cm="1">
        <f t="array" ref="N1543">_xlfn.IFS(M1543&gt;=50,"50-60 Days", M1543&gt;=40,"40-50 Days", M1543&gt;=30, "30-40 Days", M1543&gt;=20, "20-30 Days", M1543&gt;=10, "10-20 Days", M1543&gt;=0, "0-10 Days")</f>
        <v>0-10 Days</v>
      </c>
    </row>
    <row r="1544" spans="1:14">
      <c r="A1544">
        <v>1543</v>
      </c>
      <c r="B1544" t="s">
        <v>28</v>
      </c>
      <c r="C1544" s="5">
        <v>45357</v>
      </c>
      <c r="D1544" s="8">
        <v>45357</v>
      </c>
      <c r="E1544" s="8">
        <f>IF(B1544="Inactive", EDATE(D1544,K1544), "")</f>
        <v>45571</v>
      </c>
      <c r="F1544" t="s">
        <v>10</v>
      </c>
      <c r="G1544">
        <v>12.8</v>
      </c>
      <c r="H1544" t="str" cm="1">
        <f t="array" ref="H1544">_xlfn.IFS(G1544&gt;=20,"20-25", G1544&gt;=15,"15-20", G1544&gt;=10,"10-15", G1544&gt;=5,"5-10", G1544&gt;=1,"1-5", G1544&lt;1,"Less than 1")</f>
        <v>10-15</v>
      </c>
      <c r="I1544">
        <v>5</v>
      </c>
      <c r="J1544">
        <v>3</v>
      </c>
      <c r="K1544" s="6">
        <v>7</v>
      </c>
      <c r="L1544" s="2">
        <v>6.99</v>
      </c>
      <c r="M1544" s="6">
        <v>22</v>
      </c>
      <c r="N1544" t="str" cm="1">
        <f t="array" ref="N1544">_xlfn.IFS(M1544&gt;=50,"50-60 Days", M1544&gt;=40,"40-50 Days", M1544&gt;=30, "30-40 Days", M1544&gt;=20, "20-30 Days", M1544&gt;=10, "10-20 Days", M1544&gt;=0, "0-10 Days")</f>
        <v>20-30 Days</v>
      </c>
    </row>
    <row r="1545" spans="1:14">
      <c r="A1545">
        <v>1544</v>
      </c>
      <c r="B1545" t="s">
        <v>28</v>
      </c>
      <c r="C1545" s="5">
        <v>45070</v>
      </c>
      <c r="D1545" s="8">
        <v>45070</v>
      </c>
      <c r="E1545" s="8">
        <f>IF(B1545="Inactive", EDATE(D1545,K1545), "")</f>
        <v>45375</v>
      </c>
      <c r="F1545" t="s">
        <v>14</v>
      </c>
      <c r="G1545">
        <v>1.2</v>
      </c>
      <c r="H1545" t="str" cm="1">
        <f t="array" ref="H1545">_xlfn.IFS(G1545&gt;=20,"20-25", G1545&gt;=15,"15-20", G1545&gt;=10,"10-15", G1545&gt;=5,"5-10", G1545&gt;=1,"1-5", G1545&lt;1,"Less than 1")</f>
        <v>1-5</v>
      </c>
      <c r="I1545">
        <v>8</v>
      </c>
      <c r="J1545">
        <v>0</v>
      </c>
      <c r="K1545" s="6">
        <v>10</v>
      </c>
      <c r="L1545" s="2">
        <v>3.99</v>
      </c>
      <c r="M1545" s="6">
        <v>49</v>
      </c>
      <c r="N1545" t="str" cm="1">
        <f t="array" ref="N1545">_xlfn.IFS(M1545&gt;=50,"50-60 Days", M1545&gt;=40,"40-50 Days", M1545&gt;=30, "30-40 Days", M1545&gt;=20, "20-30 Days", M1545&gt;=10, "10-20 Days", M1545&gt;=0, "0-10 Days")</f>
        <v>40-50 Days</v>
      </c>
    </row>
    <row r="1546" spans="1:14">
      <c r="A1546">
        <v>1545</v>
      </c>
      <c r="B1546" t="s">
        <v>29</v>
      </c>
      <c r="C1546" s="5">
        <v>45506</v>
      </c>
      <c r="D1546" s="8">
        <v>45506</v>
      </c>
      <c r="E1546" s="8" t="str">
        <f>IF(B1546="Inactive", EDATE(D1546,K1546), "")</f>
        <v/>
      </c>
      <c r="F1546" t="s">
        <v>10</v>
      </c>
      <c r="G1546">
        <v>19.8</v>
      </c>
      <c r="H1546" t="str" cm="1">
        <f t="array" ref="H1546">_xlfn.IFS(G1546&gt;=20,"20-25", G1546&gt;=15,"15-20", G1546&gt;=10,"10-15", G1546&gt;=5,"5-10", G1546&gt;=1,"1-5", G1546&lt;1,"Less than 1")</f>
        <v>15-20</v>
      </c>
      <c r="I1546">
        <v>8</v>
      </c>
      <c r="J1546">
        <v>2</v>
      </c>
      <c r="K1546" s="6">
        <v>7</v>
      </c>
      <c r="L1546" s="2">
        <v>6.99</v>
      </c>
      <c r="M1546" s="6">
        <v>8</v>
      </c>
      <c r="N1546" t="str" cm="1">
        <f t="array" ref="N1546">_xlfn.IFS(M1546&gt;=50,"50-60 Days", M1546&gt;=40,"40-50 Days", M1546&gt;=30, "30-40 Days", M1546&gt;=20, "20-30 Days", M1546&gt;=10, "10-20 Days", M1546&gt;=0, "0-10 Days")</f>
        <v>0-10 Days</v>
      </c>
    </row>
    <row r="1547" spans="1:14">
      <c r="A1547">
        <v>1546</v>
      </c>
      <c r="B1547" t="s">
        <v>29</v>
      </c>
      <c r="C1547" s="5">
        <v>45400</v>
      </c>
      <c r="D1547" s="8">
        <v>45400</v>
      </c>
      <c r="E1547" s="8" t="str">
        <f>IF(B1547="Inactive", EDATE(D1547,K1547), "")</f>
        <v/>
      </c>
      <c r="F1547" t="s">
        <v>14</v>
      </c>
      <c r="G1547">
        <v>19</v>
      </c>
      <c r="H1547" t="str" cm="1">
        <f t="array" ref="H1547">_xlfn.IFS(G1547&gt;=20,"20-25", G1547&gt;=15,"15-20", G1547&gt;=10,"10-15", G1547&gt;=5,"5-10", G1547&gt;=1,"1-5", G1547&lt;1,"Less than 1")</f>
        <v>15-20</v>
      </c>
      <c r="I1547">
        <v>6</v>
      </c>
      <c r="J1547">
        <v>1</v>
      </c>
      <c r="K1547" s="6">
        <v>2</v>
      </c>
      <c r="L1547" s="2">
        <v>3.99</v>
      </c>
      <c r="M1547" s="6">
        <v>25</v>
      </c>
      <c r="N1547" t="str" cm="1">
        <f t="array" ref="N1547">_xlfn.IFS(M1547&gt;=50,"50-60 Days", M1547&gt;=40,"40-50 Days", M1547&gt;=30, "30-40 Days", M1547&gt;=20, "20-30 Days", M1547&gt;=10, "10-20 Days", M1547&gt;=0, "0-10 Days")</f>
        <v>20-30 Days</v>
      </c>
    </row>
    <row r="1548" spans="1:14">
      <c r="A1548">
        <v>1547</v>
      </c>
      <c r="B1548" t="s">
        <v>29</v>
      </c>
      <c r="C1548" s="5">
        <v>45592</v>
      </c>
      <c r="D1548" s="8">
        <v>45592</v>
      </c>
      <c r="E1548" s="8" t="str">
        <f>IF(B1548="Inactive", EDATE(D1548,K1548), "")</f>
        <v/>
      </c>
      <c r="F1548" t="s">
        <v>10</v>
      </c>
      <c r="G1548">
        <v>21.1</v>
      </c>
      <c r="H1548" t="str" cm="1">
        <f t="array" ref="H1548">_xlfn.IFS(G1548&gt;=20,"20-25", G1548&gt;=15,"15-20", G1548&gt;=10,"10-15", G1548&gt;=5,"5-10", G1548&gt;=1,"1-5", G1548&lt;1,"Less than 1")</f>
        <v>20-25</v>
      </c>
      <c r="I1548">
        <v>1</v>
      </c>
      <c r="J1548">
        <v>0</v>
      </c>
      <c r="K1548" s="6">
        <v>10</v>
      </c>
      <c r="L1548" s="2">
        <v>6.99</v>
      </c>
      <c r="M1548" s="6">
        <v>17</v>
      </c>
      <c r="N1548" t="str" cm="1">
        <f t="array" ref="N1548">_xlfn.IFS(M1548&gt;=50,"50-60 Days", M1548&gt;=40,"40-50 Days", M1548&gt;=30, "30-40 Days", M1548&gt;=20, "20-30 Days", M1548&gt;=10, "10-20 Days", M1548&gt;=0, "0-10 Days")</f>
        <v>10-20 Days</v>
      </c>
    </row>
    <row r="1549" spans="1:14">
      <c r="A1549">
        <v>1548</v>
      </c>
      <c r="B1549" t="s">
        <v>28</v>
      </c>
      <c r="C1549" s="5">
        <v>44989</v>
      </c>
      <c r="D1549" s="8">
        <v>44989</v>
      </c>
      <c r="E1549" s="8">
        <f>IF(B1549="Inactive", EDATE(D1549,K1549), "")</f>
        <v>45234</v>
      </c>
      <c r="F1549" t="s">
        <v>12</v>
      </c>
      <c r="G1549">
        <v>15.1</v>
      </c>
      <c r="H1549" t="str" cm="1">
        <f t="array" ref="H1549">_xlfn.IFS(G1549&gt;=20,"20-25", G1549&gt;=15,"15-20", G1549&gt;=10,"10-15", G1549&gt;=5,"5-10", G1549&gt;=1,"1-5", G1549&lt;1,"Less than 1")</f>
        <v>15-20</v>
      </c>
      <c r="I1549">
        <v>4</v>
      </c>
      <c r="J1549">
        <v>4</v>
      </c>
      <c r="K1549" s="6">
        <v>8</v>
      </c>
      <c r="L1549" s="2">
        <v>1.99</v>
      </c>
      <c r="M1549" s="6">
        <v>30</v>
      </c>
      <c r="N1549" t="str" cm="1">
        <f t="array" ref="N1549">_xlfn.IFS(M1549&gt;=50,"50-60 Days", M1549&gt;=40,"40-50 Days", M1549&gt;=30, "30-40 Days", M1549&gt;=20, "20-30 Days", M1549&gt;=10, "10-20 Days", M1549&gt;=0, "0-10 Days")</f>
        <v>30-40 Days</v>
      </c>
    </row>
    <row r="1550" spans="1:14">
      <c r="A1550">
        <v>1549</v>
      </c>
      <c r="B1550" t="s">
        <v>29</v>
      </c>
      <c r="C1550" s="5">
        <v>45502</v>
      </c>
      <c r="D1550" s="8">
        <v>45502</v>
      </c>
      <c r="E1550" s="8" t="str">
        <f>IF(B1550="Inactive", EDATE(D1550,K1550), "")</f>
        <v/>
      </c>
      <c r="F1550" t="s">
        <v>12</v>
      </c>
      <c r="G1550">
        <v>18.600000000000001</v>
      </c>
      <c r="H1550" t="str" cm="1">
        <f t="array" ref="H1550">_xlfn.IFS(G1550&gt;=20,"20-25", G1550&gt;=15,"15-20", G1550&gt;=10,"10-15", G1550&gt;=5,"5-10", G1550&gt;=1,"1-5", G1550&lt;1,"Less than 1")</f>
        <v>15-20</v>
      </c>
      <c r="I1550">
        <v>0</v>
      </c>
      <c r="J1550">
        <v>5</v>
      </c>
      <c r="K1550" s="6">
        <v>11</v>
      </c>
      <c r="L1550" s="2">
        <v>1.99</v>
      </c>
      <c r="M1550" s="6">
        <v>13</v>
      </c>
      <c r="N1550" t="str" cm="1">
        <f t="array" ref="N1550">_xlfn.IFS(M1550&gt;=50,"50-60 Days", M1550&gt;=40,"40-50 Days", M1550&gt;=30, "30-40 Days", M1550&gt;=20, "20-30 Days", M1550&gt;=10, "10-20 Days", M1550&gt;=0, "0-10 Days")</f>
        <v>10-20 Days</v>
      </c>
    </row>
    <row r="1551" spans="1:14">
      <c r="A1551">
        <v>1550</v>
      </c>
      <c r="B1551" t="s">
        <v>28</v>
      </c>
      <c r="C1551" s="5">
        <v>44933</v>
      </c>
      <c r="D1551" s="8">
        <v>44933</v>
      </c>
      <c r="E1551" s="8">
        <f>IF(B1551="Inactive", EDATE(D1551,K1551), "")</f>
        <v>45267</v>
      </c>
      <c r="F1551" t="s">
        <v>10</v>
      </c>
      <c r="G1551">
        <v>3.8</v>
      </c>
      <c r="H1551" t="str" cm="1">
        <f t="array" ref="H1551">_xlfn.IFS(G1551&gt;=20,"20-25", G1551&gt;=15,"15-20", G1551&gt;=10,"10-15", G1551&gt;=5,"5-10", G1551&gt;=1,"1-5", G1551&lt;1,"Less than 1")</f>
        <v>1-5</v>
      </c>
      <c r="I1551">
        <v>2</v>
      </c>
      <c r="J1551">
        <v>2</v>
      </c>
      <c r="K1551" s="6">
        <v>11</v>
      </c>
      <c r="L1551" s="2">
        <v>6.99</v>
      </c>
      <c r="M1551" s="6">
        <v>40</v>
      </c>
      <c r="N1551" t="str" cm="1">
        <f t="array" ref="N1551">_xlfn.IFS(M1551&gt;=50,"50-60 Days", M1551&gt;=40,"40-50 Days", M1551&gt;=30, "30-40 Days", M1551&gt;=20, "20-30 Days", M1551&gt;=10, "10-20 Days", M1551&gt;=0, "0-10 Days")</f>
        <v>40-50 Days</v>
      </c>
    </row>
    <row r="1552" spans="1:14">
      <c r="A1552">
        <v>1551</v>
      </c>
      <c r="B1552" t="s">
        <v>29</v>
      </c>
      <c r="C1552" s="5">
        <v>45459</v>
      </c>
      <c r="D1552" s="8">
        <v>45459</v>
      </c>
      <c r="E1552" s="8" t="str">
        <f>IF(B1552="Inactive", EDATE(D1552,K1552), "")</f>
        <v/>
      </c>
      <c r="F1552" t="s">
        <v>14</v>
      </c>
      <c r="G1552">
        <v>3.3</v>
      </c>
      <c r="H1552" t="str" cm="1">
        <f t="array" ref="H1552">_xlfn.IFS(G1552&gt;=20,"20-25", G1552&gt;=15,"15-20", G1552&gt;=10,"10-15", G1552&gt;=5,"5-10", G1552&gt;=1,"1-5", G1552&lt;1,"Less than 1")</f>
        <v>1-5</v>
      </c>
      <c r="I1552">
        <v>0</v>
      </c>
      <c r="J1552">
        <v>1</v>
      </c>
      <c r="K1552" s="6">
        <v>5</v>
      </c>
      <c r="L1552" s="2">
        <v>3.99</v>
      </c>
      <c r="M1552" s="6">
        <v>38</v>
      </c>
      <c r="N1552" t="str" cm="1">
        <f t="array" ref="N1552">_xlfn.IFS(M1552&gt;=50,"50-60 Days", M1552&gt;=40,"40-50 Days", M1552&gt;=30, "30-40 Days", M1552&gt;=20, "20-30 Days", M1552&gt;=10, "10-20 Days", M1552&gt;=0, "0-10 Days")</f>
        <v>30-40 Days</v>
      </c>
    </row>
    <row r="1553" spans="1:14">
      <c r="A1553">
        <v>1552</v>
      </c>
      <c r="B1553" t="s">
        <v>29</v>
      </c>
      <c r="C1553" s="5">
        <v>45327</v>
      </c>
      <c r="D1553" s="8">
        <v>45327</v>
      </c>
      <c r="E1553" s="8" t="str">
        <f>IF(B1553="Inactive", EDATE(D1553,K1553), "")</f>
        <v/>
      </c>
      <c r="F1553" t="s">
        <v>12</v>
      </c>
      <c r="G1553">
        <v>5.5</v>
      </c>
      <c r="H1553" t="str" cm="1">
        <f t="array" ref="H1553">_xlfn.IFS(G1553&gt;=20,"20-25", G1553&gt;=15,"15-20", G1553&gt;=10,"10-15", G1553&gt;=5,"5-10", G1553&gt;=1,"1-5", G1553&lt;1,"Less than 1")</f>
        <v>5-10</v>
      </c>
      <c r="I1553">
        <v>7</v>
      </c>
      <c r="J1553">
        <v>0</v>
      </c>
      <c r="K1553" s="6">
        <v>6</v>
      </c>
      <c r="L1553" s="2">
        <v>1.99</v>
      </c>
      <c r="M1553" s="6">
        <v>53</v>
      </c>
      <c r="N1553" t="str" cm="1">
        <f t="array" ref="N1553">_xlfn.IFS(M1553&gt;=50,"50-60 Days", M1553&gt;=40,"40-50 Days", M1553&gt;=30, "30-40 Days", M1553&gt;=20, "20-30 Days", M1553&gt;=10, "10-20 Days", M1553&gt;=0, "0-10 Days")</f>
        <v>50-60 Days</v>
      </c>
    </row>
    <row r="1554" spans="1:14">
      <c r="A1554">
        <v>1553</v>
      </c>
      <c r="B1554" t="s">
        <v>28</v>
      </c>
      <c r="C1554" s="5">
        <v>45486</v>
      </c>
      <c r="D1554" s="8">
        <v>45486</v>
      </c>
      <c r="E1554" s="8">
        <f>IF(B1554="Inactive", EDATE(D1554,K1554), "")</f>
        <v>45578</v>
      </c>
      <c r="F1554" t="s">
        <v>12</v>
      </c>
      <c r="G1554">
        <v>7.8</v>
      </c>
      <c r="H1554" t="str" cm="1">
        <f t="array" ref="H1554">_xlfn.IFS(G1554&gt;=20,"20-25", G1554&gt;=15,"15-20", G1554&gt;=10,"10-15", G1554&gt;=5,"5-10", G1554&gt;=1,"1-5", G1554&lt;1,"Less than 1")</f>
        <v>5-10</v>
      </c>
      <c r="I1554">
        <v>7</v>
      </c>
      <c r="J1554">
        <v>1</v>
      </c>
      <c r="K1554" s="6">
        <v>3</v>
      </c>
      <c r="L1554" s="2">
        <v>1.99</v>
      </c>
      <c r="M1554" s="6">
        <v>52</v>
      </c>
      <c r="N1554" t="str" cm="1">
        <f t="array" ref="N1554">_xlfn.IFS(M1554&gt;=50,"50-60 Days", M1554&gt;=40,"40-50 Days", M1554&gt;=30, "30-40 Days", M1554&gt;=20, "20-30 Days", M1554&gt;=10, "10-20 Days", M1554&gt;=0, "0-10 Days")</f>
        <v>50-60 Days</v>
      </c>
    </row>
    <row r="1555" spans="1:14">
      <c r="A1555">
        <v>1554</v>
      </c>
      <c r="B1555" t="s">
        <v>29</v>
      </c>
      <c r="C1555" s="5">
        <v>45116</v>
      </c>
      <c r="D1555" s="8">
        <v>45116</v>
      </c>
      <c r="E1555" s="8" t="str">
        <f>IF(B1555="Inactive", EDATE(D1555,K1555), "")</f>
        <v/>
      </c>
      <c r="F1555" t="s">
        <v>14</v>
      </c>
      <c r="G1555">
        <v>21.6</v>
      </c>
      <c r="H1555" t="str" cm="1">
        <f t="array" ref="H1555">_xlfn.IFS(G1555&gt;=20,"20-25", G1555&gt;=15,"15-20", G1555&gt;=10,"10-15", G1555&gt;=5,"5-10", G1555&gt;=1,"1-5", G1555&lt;1,"Less than 1")</f>
        <v>20-25</v>
      </c>
      <c r="I1555">
        <v>1</v>
      </c>
      <c r="J1555">
        <v>3</v>
      </c>
      <c r="K1555" s="6">
        <v>10</v>
      </c>
      <c r="L1555" s="2">
        <v>3.99</v>
      </c>
      <c r="M1555" s="6">
        <v>9</v>
      </c>
      <c r="N1555" t="str" cm="1">
        <f t="array" ref="N1555">_xlfn.IFS(M1555&gt;=50,"50-60 Days", M1555&gt;=40,"40-50 Days", M1555&gt;=30, "30-40 Days", M1555&gt;=20, "20-30 Days", M1555&gt;=10, "10-20 Days", M1555&gt;=0, "0-10 Days")</f>
        <v>0-10 Days</v>
      </c>
    </row>
    <row r="1556" spans="1:14">
      <c r="A1556">
        <v>1555</v>
      </c>
      <c r="B1556" t="s">
        <v>28</v>
      </c>
      <c r="C1556" s="5">
        <v>45223</v>
      </c>
      <c r="D1556" s="8">
        <v>45223</v>
      </c>
      <c r="E1556" s="8">
        <f>IF(B1556="Inactive", EDATE(D1556,K1556), "")</f>
        <v>45406</v>
      </c>
      <c r="F1556" t="s">
        <v>12</v>
      </c>
      <c r="G1556">
        <v>4.7</v>
      </c>
      <c r="H1556" t="str" cm="1">
        <f t="array" ref="H1556">_xlfn.IFS(G1556&gt;=20,"20-25", G1556&gt;=15,"15-20", G1556&gt;=10,"10-15", G1556&gt;=5,"5-10", G1556&gt;=1,"1-5", G1556&lt;1,"Less than 1")</f>
        <v>1-5</v>
      </c>
      <c r="I1556">
        <v>8</v>
      </c>
      <c r="J1556">
        <v>1</v>
      </c>
      <c r="K1556" s="6">
        <v>6</v>
      </c>
      <c r="L1556" s="2">
        <v>1.99</v>
      </c>
      <c r="M1556" s="6">
        <v>30</v>
      </c>
      <c r="N1556" t="str" cm="1">
        <f t="array" ref="N1556">_xlfn.IFS(M1556&gt;=50,"50-60 Days", M1556&gt;=40,"40-50 Days", M1556&gt;=30, "30-40 Days", M1556&gt;=20, "20-30 Days", M1556&gt;=10, "10-20 Days", M1556&gt;=0, "0-10 Days")</f>
        <v>30-40 Days</v>
      </c>
    </row>
    <row r="1557" spans="1:14">
      <c r="A1557">
        <v>1556</v>
      </c>
      <c r="B1557" t="s">
        <v>28</v>
      </c>
      <c r="C1557" s="5">
        <v>45322</v>
      </c>
      <c r="D1557" s="8">
        <v>45322</v>
      </c>
      <c r="E1557" s="8">
        <f>IF(B1557="Inactive", EDATE(D1557,K1557), "")</f>
        <v>45412</v>
      </c>
      <c r="F1557" t="s">
        <v>10</v>
      </c>
      <c r="G1557">
        <v>24</v>
      </c>
      <c r="H1557" t="str" cm="1">
        <f t="array" ref="H1557">_xlfn.IFS(G1557&gt;=20,"20-25", G1557&gt;=15,"15-20", G1557&gt;=10,"10-15", G1557&gt;=5,"5-10", G1557&gt;=1,"1-5", G1557&lt;1,"Less than 1")</f>
        <v>20-25</v>
      </c>
      <c r="I1557">
        <v>7</v>
      </c>
      <c r="J1557">
        <v>2</v>
      </c>
      <c r="K1557" s="6">
        <v>3</v>
      </c>
      <c r="L1557" s="2">
        <v>6.99</v>
      </c>
      <c r="M1557" s="6">
        <v>42</v>
      </c>
      <c r="N1557" t="str" cm="1">
        <f t="array" ref="N1557">_xlfn.IFS(M1557&gt;=50,"50-60 Days", M1557&gt;=40,"40-50 Days", M1557&gt;=30, "30-40 Days", M1557&gt;=20, "20-30 Days", M1557&gt;=10, "10-20 Days", M1557&gt;=0, "0-10 Days")</f>
        <v>40-50 Days</v>
      </c>
    </row>
    <row r="1558" spans="1:14">
      <c r="A1558">
        <v>1557</v>
      </c>
      <c r="B1558" t="s">
        <v>29</v>
      </c>
      <c r="C1558" s="5">
        <v>45050</v>
      </c>
      <c r="D1558" s="8">
        <v>45050</v>
      </c>
      <c r="E1558" s="8" t="str">
        <f>IF(B1558="Inactive", EDATE(D1558,K1558), "")</f>
        <v/>
      </c>
      <c r="F1558" t="s">
        <v>10</v>
      </c>
      <c r="G1558">
        <v>11.9</v>
      </c>
      <c r="H1558" t="str" cm="1">
        <f t="array" ref="H1558">_xlfn.IFS(G1558&gt;=20,"20-25", G1558&gt;=15,"15-20", G1558&gt;=10,"10-15", G1558&gt;=5,"5-10", G1558&gt;=1,"1-5", G1558&lt;1,"Less than 1")</f>
        <v>10-15</v>
      </c>
      <c r="I1558">
        <v>6</v>
      </c>
      <c r="J1558">
        <v>1</v>
      </c>
      <c r="K1558" s="6">
        <v>3</v>
      </c>
      <c r="L1558" s="2">
        <v>6.99</v>
      </c>
      <c r="M1558" s="6">
        <v>1</v>
      </c>
      <c r="N1558" t="str" cm="1">
        <f t="array" ref="N1558">_xlfn.IFS(M1558&gt;=50,"50-60 Days", M1558&gt;=40,"40-50 Days", M1558&gt;=30, "30-40 Days", M1558&gt;=20, "20-30 Days", M1558&gt;=10, "10-20 Days", M1558&gt;=0, "0-10 Days")</f>
        <v>0-10 Days</v>
      </c>
    </row>
    <row r="1559" spans="1:14">
      <c r="A1559">
        <v>1558</v>
      </c>
      <c r="B1559" t="s">
        <v>28</v>
      </c>
      <c r="C1559" s="5">
        <v>45599</v>
      </c>
      <c r="D1559" s="8">
        <v>45599</v>
      </c>
      <c r="E1559" s="8">
        <f>IF(B1559="Inactive", EDATE(D1559,K1559), "")</f>
        <v>45872</v>
      </c>
      <c r="F1559" t="s">
        <v>10</v>
      </c>
      <c r="G1559">
        <v>0.8</v>
      </c>
      <c r="H1559" t="str" cm="1">
        <f t="array" ref="H1559">_xlfn.IFS(G1559&gt;=20,"20-25", G1559&gt;=15,"15-20", G1559&gt;=10,"10-15", G1559&gt;=5,"5-10", G1559&gt;=1,"1-5", G1559&lt;1,"Less than 1")</f>
        <v>Less than 1</v>
      </c>
      <c r="I1559">
        <v>4</v>
      </c>
      <c r="J1559">
        <v>0</v>
      </c>
      <c r="K1559" s="6">
        <v>9</v>
      </c>
      <c r="L1559" s="2">
        <v>6.99</v>
      </c>
      <c r="M1559" s="6">
        <v>41</v>
      </c>
      <c r="N1559" t="str" cm="1">
        <f t="array" ref="N1559">_xlfn.IFS(M1559&gt;=50,"50-60 Days", M1559&gt;=40,"40-50 Days", M1559&gt;=30, "30-40 Days", M1559&gt;=20, "20-30 Days", M1559&gt;=10, "10-20 Days", M1559&gt;=0, "0-10 Days")</f>
        <v>40-50 Days</v>
      </c>
    </row>
    <row r="1560" spans="1:14">
      <c r="A1560">
        <v>1559</v>
      </c>
      <c r="B1560" t="s">
        <v>29</v>
      </c>
      <c r="C1560" s="5">
        <v>45396</v>
      </c>
      <c r="D1560" s="8">
        <v>45396</v>
      </c>
      <c r="E1560" s="8" t="str">
        <f>IF(B1560="Inactive", EDATE(D1560,K1560), "")</f>
        <v/>
      </c>
      <c r="F1560" t="s">
        <v>10</v>
      </c>
      <c r="G1560">
        <v>1.5</v>
      </c>
      <c r="H1560" t="str" cm="1">
        <f t="array" ref="H1560">_xlfn.IFS(G1560&gt;=20,"20-25", G1560&gt;=15,"15-20", G1560&gt;=10,"10-15", G1560&gt;=5,"5-10", G1560&gt;=1,"1-5", G1560&lt;1,"Less than 1")</f>
        <v>1-5</v>
      </c>
      <c r="I1560">
        <v>5</v>
      </c>
      <c r="J1560">
        <v>1</v>
      </c>
      <c r="K1560" s="6">
        <v>10</v>
      </c>
      <c r="L1560" s="2">
        <v>6.99</v>
      </c>
      <c r="M1560" s="6">
        <v>29</v>
      </c>
      <c r="N1560" t="str" cm="1">
        <f t="array" ref="N1560">_xlfn.IFS(M1560&gt;=50,"50-60 Days", M1560&gt;=40,"40-50 Days", M1560&gt;=30, "30-40 Days", M1560&gt;=20, "20-30 Days", M1560&gt;=10, "10-20 Days", M1560&gt;=0, "0-10 Days")</f>
        <v>20-30 Days</v>
      </c>
    </row>
    <row r="1561" spans="1:14">
      <c r="A1561">
        <v>1560</v>
      </c>
      <c r="B1561" t="s">
        <v>29</v>
      </c>
      <c r="C1561" s="5">
        <v>45142</v>
      </c>
      <c r="D1561" s="8">
        <v>45142</v>
      </c>
      <c r="E1561" s="8" t="str">
        <f>IF(B1561="Inactive", EDATE(D1561,K1561), "")</f>
        <v/>
      </c>
      <c r="F1561" t="s">
        <v>14</v>
      </c>
      <c r="G1561">
        <v>24.6</v>
      </c>
      <c r="H1561" t="str" cm="1">
        <f t="array" ref="H1561">_xlfn.IFS(G1561&gt;=20,"20-25", G1561&gt;=15,"15-20", G1561&gt;=10,"10-15", G1561&gt;=5,"5-10", G1561&gt;=1,"1-5", G1561&lt;1,"Less than 1")</f>
        <v>20-25</v>
      </c>
      <c r="I1561">
        <v>5</v>
      </c>
      <c r="J1561">
        <v>4</v>
      </c>
      <c r="K1561" s="6">
        <v>1</v>
      </c>
      <c r="L1561" s="2">
        <v>3.99</v>
      </c>
      <c r="M1561" s="6">
        <v>54</v>
      </c>
      <c r="N1561" t="str" cm="1">
        <f t="array" ref="N1561">_xlfn.IFS(M1561&gt;=50,"50-60 Days", M1561&gt;=40,"40-50 Days", M1561&gt;=30, "30-40 Days", M1561&gt;=20, "20-30 Days", M1561&gt;=10, "10-20 Days", M1561&gt;=0, "0-10 Days")</f>
        <v>50-60 Days</v>
      </c>
    </row>
    <row r="1562" spans="1:14">
      <c r="A1562">
        <v>1561</v>
      </c>
      <c r="B1562" t="s">
        <v>28</v>
      </c>
      <c r="C1562" s="5">
        <v>45598</v>
      </c>
      <c r="D1562" s="8">
        <v>45598</v>
      </c>
      <c r="E1562" s="8">
        <f>IF(B1562="Inactive", EDATE(D1562,K1562), "")</f>
        <v>45963</v>
      </c>
      <c r="F1562" t="s">
        <v>14</v>
      </c>
      <c r="G1562">
        <v>10.1</v>
      </c>
      <c r="H1562" t="str" cm="1">
        <f t="array" ref="H1562">_xlfn.IFS(G1562&gt;=20,"20-25", G1562&gt;=15,"15-20", G1562&gt;=10,"10-15", G1562&gt;=5,"5-10", G1562&gt;=1,"1-5", G1562&lt;1,"Less than 1")</f>
        <v>10-15</v>
      </c>
      <c r="I1562">
        <v>1</v>
      </c>
      <c r="J1562">
        <v>1</v>
      </c>
      <c r="K1562" s="6">
        <v>12</v>
      </c>
      <c r="L1562" s="2">
        <v>3.99</v>
      </c>
      <c r="M1562" s="6">
        <v>41</v>
      </c>
      <c r="N1562" t="str" cm="1">
        <f t="array" ref="N1562">_xlfn.IFS(M1562&gt;=50,"50-60 Days", M1562&gt;=40,"40-50 Days", M1562&gt;=30, "30-40 Days", M1562&gt;=20, "20-30 Days", M1562&gt;=10, "10-20 Days", M1562&gt;=0, "0-10 Days")</f>
        <v>40-50 Days</v>
      </c>
    </row>
    <row r="1563" spans="1:14">
      <c r="A1563">
        <v>1562</v>
      </c>
      <c r="B1563" t="s">
        <v>29</v>
      </c>
      <c r="C1563" s="5">
        <v>45237</v>
      </c>
      <c r="D1563" s="8">
        <v>45237</v>
      </c>
      <c r="E1563" s="8" t="str">
        <f>IF(B1563="Inactive", EDATE(D1563,K1563), "")</f>
        <v/>
      </c>
      <c r="F1563" t="s">
        <v>10</v>
      </c>
      <c r="G1563">
        <v>11.8</v>
      </c>
      <c r="H1563" t="str" cm="1">
        <f t="array" ref="H1563">_xlfn.IFS(G1563&gt;=20,"20-25", G1563&gt;=15,"15-20", G1563&gt;=10,"10-15", G1563&gt;=5,"5-10", G1563&gt;=1,"1-5", G1563&lt;1,"Less than 1")</f>
        <v>10-15</v>
      </c>
      <c r="I1563">
        <v>2</v>
      </c>
      <c r="J1563">
        <v>2</v>
      </c>
      <c r="K1563" s="6">
        <v>8</v>
      </c>
      <c r="L1563" s="2">
        <v>6.99</v>
      </c>
      <c r="M1563" s="6">
        <v>50</v>
      </c>
      <c r="N1563" t="str" cm="1">
        <f t="array" ref="N1563">_xlfn.IFS(M1563&gt;=50,"50-60 Days", M1563&gt;=40,"40-50 Days", M1563&gt;=30, "30-40 Days", M1563&gt;=20, "20-30 Days", M1563&gt;=10, "10-20 Days", M1563&gt;=0, "0-10 Days")</f>
        <v>50-60 Days</v>
      </c>
    </row>
    <row r="1564" spans="1:14">
      <c r="A1564">
        <v>1563</v>
      </c>
      <c r="B1564" t="s">
        <v>28</v>
      </c>
      <c r="C1564" s="5">
        <v>45111</v>
      </c>
      <c r="D1564" s="8">
        <v>45111</v>
      </c>
      <c r="E1564" s="8">
        <f>IF(B1564="Inactive", EDATE(D1564,K1564), "")</f>
        <v>45173</v>
      </c>
      <c r="F1564" t="s">
        <v>14</v>
      </c>
      <c r="G1564">
        <v>22.9</v>
      </c>
      <c r="H1564" t="str" cm="1">
        <f t="array" ref="H1564">_xlfn.IFS(G1564&gt;=20,"20-25", G1564&gt;=15,"15-20", G1564&gt;=10,"10-15", G1564&gt;=5,"5-10", G1564&gt;=1,"1-5", G1564&lt;1,"Less than 1")</f>
        <v>20-25</v>
      </c>
      <c r="I1564">
        <v>7</v>
      </c>
      <c r="J1564">
        <v>3</v>
      </c>
      <c r="K1564" s="6">
        <v>2</v>
      </c>
      <c r="L1564" s="2">
        <v>3.99</v>
      </c>
      <c r="M1564" s="6">
        <v>30</v>
      </c>
      <c r="N1564" t="str" cm="1">
        <f t="array" ref="N1564">_xlfn.IFS(M1564&gt;=50,"50-60 Days", M1564&gt;=40,"40-50 Days", M1564&gt;=30, "30-40 Days", M1564&gt;=20, "20-30 Days", M1564&gt;=10, "10-20 Days", M1564&gt;=0, "0-10 Days")</f>
        <v>30-40 Days</v>
      </c>
    </row>
    <row r="1565" spans="1:14">
      <c r="A1565">
        <v>1564</v>
      </c>
      <c r="B1565" t="s">
        <v>29</v>
      </c>
      <c r="C1565" s="5">
        <v>45529</v>
      </c>
      <c r="D1565" s="8">
        <v>45529</v>
      </c>
      <c r="E1565" s="8" t="str">
        <f>IF(B1565="Inactive", EDATE(D1565,K1565), "")</f>
        <v/>
      </c>
      <c r="F1565" t="s">
        <v>10</v>
      </c>
      <c r="G1565">
        <v>19.5</v>
      </c>
      <c r="H1565" t="str" cm="1">
        <f t="array" ref="H1565">_xlfn.IFS(G1565&gt;=20,"20-25", G1565&gt;=15,"15-20", G1565&gt;=10,"10-15", G1565&gt;=5,"5-10", G1565&gt;=1,"1-5", G1565&lt;1,"Less than 1")</f>
        <v>15-20</v>
      </c>
      <c r="I1565">
        <v>8</v>
      </c>
      <c r="J1565">
        <v>2</v>
      </c>
      <c r="K1565" s="6">
        <v>11</v>
      </c>
      <c r="L1565" s="2">
        <v>6.99</v>
      </c>
      <c r="M1565" s="6">
        <v>8</v>
      </c>
      <c r="N1565" t="str" cm="1">
        <f t="array" ref="N1565">_xlfn.IFS(M1565&gt;=50,"50-60 Days", M1565&gt;=40,"40-50 Days", M1565&gt;=30, "30-40 Days", M1565&gt;=20, "20-30 Days", M1565&gt;=10, "10-20 Days", M1565&gt;=0, "0-10 Days")</f>
        <v>0-10 Days</v>
      </c>
    </row>
    <row r="1566" spans="1:14">
      <c r="A1566">
        <v>1565</v>
      </c>
      <c r="B1566" t="s">
        <v>28</v>
      </c>
      <c r="C1566" s="5">
        <v>45089</v>
      </c>
      <c r="D1566" s="8">
        <v>45089</v>
      </c>
      <c r="E1566" s="8">
        <f>IF(B1566="Inactive", EDATE(D1566,K1566), "")</f>
        <v>45334</v>
      </c>
      <c r="F1566" t="s">
        <v>10</v>
      </c>
      <c r="G1566">
        <v>14.8</v>
      </c>
      <c r="H1566" t="str" cm="1">
        <f t="array" ref="H1566">_xlfn.IFS(G1566&gt;=20,"20-25", G1566&gt;=15,"15-20", G1566&gt;=10,"10-15", G1566&gt;=5,"5-10", G1566&gt;=1,"1-5", G1566&lt;1,"Less than 1")</f>
        <v>10-15</v>
      </c>
      <c r="I1566">
        <v>6</v>
      </c>
      <c r="J1566">
        <v>0</v>
      </c>
      <c r="K1566" s="6">
        <v>8</v>
      </c>
      <c r="L1566" s="2">
        <v>6.99</v>
      </c>
      <c r="M1566" s="6">
        <v>2</v>
      </c>
      <c r="N1566" t="str" cm="1">
        <f t="array" ref="N1566">_xlfn.IFS(M1566&gt;=50,"50-60 Days", M1566&gt;=40,"40-50 Days", M1566&gt;=30, "30-40 Days", M1566&gt;=20, "20-30 Days", M1566&gt;=10, "10-20 Days", M1566&gt;=0, "0-10 Days")</f>
        <v>0-10 Days</v>
      </c>
    </row>
    <row r="1567" spans="1:14">
      <c r="A1567">
        <v>1566</v>
      </c>
      <c r="B1567" t="s">
        <v>28</v>
      </c>
      <c r="C1567" s="5">
        <v>45164</v>
      </c>
      <c r="D1567" s="8">
        <v>45164</v>
      </c>
      <c r="E1567" s="8">
        <f>IF(B1567="Inactive", EDATE(D1567,K1567), "")</f>
        <v>45256</v>
      </c>
      <c r="F1567" t="s">
        <v>12</v>
      </c>
      <c r="G1567">
        <v>16.8</v>
      </c>
      <c r="H1567" t="str" cm="1">
        <f t="array" ref="H1567">_xlfn.IFS(G1567&gt;=20,"20-25", G1567&gt;=15,"15-20", G1567&gt;=10,"10-15", G1567&gt;=5,"5-10", G1567&gt;=1,"1-5", G1567&lt;1,"Less than 1")</f>
        <v>15-20</v>
      </c>
      <c r="I1567">
        <v>7</v>
      </c>
      <c r="J1567">
        <v>5</v>
      </c>
      <c r="K1567" s="6">
        <v>3</v>
      </c>
      <c r="L1567" s="2">
        <v>1.99</v>
      </c>
      <c r="M1567" s="6">
        <v>30</v>
      </c>
      <c r="N1567" t="str" cm="1">
        <f t="array" ref="N1567">_xlfn.IFS(M1567&gt;=50,"50-60 Days", M1567&gt;=40,"40-50 Days", M1567&gt;=30, "30-40 Days", M1567&gt;=20, "20-30 Days", M1567&gt;=10, "10-20 Days", M1567&gt;=0, "0-10 Days")</f>
        <v>30-40 Days</v>
      </c>
    </row>
    <row r="1568" spans="1:14">
      <c r="A1568">
        <v>1567</v>
      </c>
      <c r="B1568" t="s">
        <v>28</v>
      </c>
      <c r="C1568" s="5">
        <v>45357</v>
      </c>
      <c r="D1568" s="8">
        <v>45357</v>
      </c>
      <c r="E1568" s="8">
        <f>IF(B1568="Inactive", EDATE(D1568,K1568), "")</f>
        <v>45541</v>
      </c>
      <c r="F1568" t="s">
        <v>10</v>
      </c>
      <c r="G1568">
        <v>3.1</v>
      </c>
      <c r="H1568" t="str" cm="1">
        <f t="array" ref="H1568">_xlfn.IFS(G1568&gt;=20,"20-25", G1568&gt;=15,"15-20", G1568&gt;=10,"10-15", G1568&gt;=5,"5-10", G1568&gt;=1,"1-5", G1568&lt;1,"Less than 1")</f>
        <v>1-5</v>
      </c>
      <c r="I1568">
        <v>2</v>
      </c>
      <c r="J1568">
        <v>5</v>
      </c>
      <c r="K1568" s="6">
        <v>6</v>
      </c>
      <c r="L1568" s="2">
        <v>6.99</v>
      </c>
      <c r="M1568" s="6">
        <v>57</v>
      </c>
      <c r="N1568" t="str" cm="1">
        <f t="array" ref="N1568">_xlfn.IFS(M1568&gt;=50,"50-60 Days", M1568&gt;=40,"40-50 Days", M1568&gt;=30, "30-40 Days", M1568&gt;=20, "20-30 Days", M1568&gt;=10, "10-20 Days", M1568&gt;=0, "0-10 Days")</f>
        <v>50-60 Days</v>
      </c>
    </row>
    <row r="1569" spans="1:14">
      <c r="A1569">
        <v>1568</v>
      </c>
      <c r="B1569" t="s">
        <v>29</v>
      </c>
      <c r="C1569" s="5">
        <v>45379</v>
      </c>
      <c r="D1569" s="8">
        <v>45379</v>
      </c>
      <c r="E1569" s="8" t="str">
        <f>IF(B1569="Inactive", EDATE(D1569,K1569), "")</f>
        <v/>
      </c>
      <c r="F1569" t="s">
        <v>12</v>
      </c>
      <c r="G1569">
        <v>15.5</v>
      </c>
      <c r="H1569" t="str" cm="1">
        <f t="array" ref="H1569">_xlfn.IFS(G1569&gt;=20,"20-25", G1569&gt;=15,"15-20", G1569&gt;=10,"10-15", G1569&gt;=5,"5-10", G1569&gt;=1,"1-5", G1569&lt;1,"Less than 1")</f>
        <v>15-20</v>
      </c>
      <c r="I1569">
        <v>1</v>
      </c>
      <c r="J1569">
        <v>0</v>
      </c>
      <c r="K1569" s="6">
        <v>2</v>
      </c>
      <c r="L1569" s="2">
        <v>1.99</v>
      </c>
      <c r="M1569" s="6">
        <v>54</v>
      </c>
      <c r="N1569" t="str" cm="1">
        <f t="array" ref="N1569">_xlfn.IFS(M1569&gt;=50,"50-60 Days", M1569&gt;=40,"40-50 Days", M1569&gt;=30, "30-40 Days", M1569&gt;=20, "20-30 Days", M1569&gt;=10, "10-20 Days", M1569&gt;=0, "0-10 Days")</f>
        <v>50-60 Days</v>
      </c>
    </row>
    <row r="1570" spans="1:14">
      <c r="A1570">
        <v>1569</v>
      </c>
      <c r="B1570" t="s">
        <v>28</v>
      </c>
      <c r="C1570" s="5">
        <v>45063</v>
      </c>
      <c r="D1570" s="8">
        <v>45063</v>
      </c>
      <c r="E1570" s="8">
        <f>IF(B1570="Inactive", EDATE(D1570,K1570), "")</f>
        <v>45094</v>
      </c>
      <c r="F1570" t="s">
        <v>14</v>
      </c>
      <c r="G1570">
        <v>23.1</v>
      </c>
      <c r="H1570" t="str" cm="1">
        <f t="array" ref="H1570">_xlfn.IFS(G1570&gt;=20,"20-25", G1570&gt;=15,"15-20", G1570&gt;=10,"10-15", G1570&gt;=5,"5-10", G1570&gt;=1,"1-5", G1570&lt;1,"Less than 1")</f>
        <v>20-25</v>
      </c>
      <c r="I1570">
        <v>5</v>
      </c>
      <c r="J1570">
        <v>0</v>
      </c>
      <c r="K1570" s="6">
        <v>1</v>
      </c>
      <c r="L1570" s="2">
        <v>3.99</v>
      </c>
      <c r="M1570" s="6">
        <v>44</v>
      </c>
      <c r="N1570" t="str" cm="1">
        <f t="array" ref="N1570">_xlfn.IFS(M1570&gt;=50,"50-60 Days", M1570&gt;=40,"40-50 Days", M1570&gt;=30, "30-40 Days", M1570&gt;=20, "20-30 Days", M1570&gt;=10, "10-20 Days", M1570&gt;=0, "0-10 Days")</f>
        <v>40-50 Days</v>
      </c>
    </row>
    <row r="1571" spans="1:14">
      <c r="A1571">
        <v>1570</v>
      </c>
      <c r="B1571" t="s">
        <v>28</v>
      </c>
      <c r="C1571" s="5">
        <v>45157</v>
      </c>
      <c r="D1571" s="8">
        <v>45157</v>
      </c>
      <c r="E1571" s="8">
        <f>IF(B1571="Inactive", EDATE(D1571,K1571), "")</f>
        <v>45523</v>
      </c>
      <c r="F1571" t="s">
        <v>10</v>
      </c>
      <c r="G1571">
        <v>5.4</v>
      </c>
      <c r="H1571" t="str" cm="1">
        <f t="array" ref="H1571">_xlfn.IFS(G1571&gt;=20,"20-25", G1571&gt;=15,"15-20", G1571&gt;=10,"10-15", G1571&gt;=5,"5-10", G1571&gt;=1,"1-5", G1571&lt;1,"Less than 1")</f>
        <v>5-10</v>
      </c>
      <c r="I1571">
        <v>4</v>
      </c>
      <c r="J1571">
        <v>3</v>
      </c>
      <c r="K1571" s="6">
        <v>12</v>
      </c>
      <c r="L1571" s="2">
        <v>6.99</v>
      </c>
      <c r="M1571" s="6">
        <v>28</v>
      </c>
      <c r="N1571" t="str" cm="1">
        <f t="array" ref="N1571">_xlfn.IFS(M1571&gt;=50,"50-60 Days", M1571&gt;=40,"40-50 Days", M1571&gt;=30, "30-40 Days", M1571&gt;=20, "20-30 Days", M1571&gt;=10, "10-20 Days", M1571&gt;=0, "0-10 Days")</f>
        <v>20-30 Days</v>
      </c>
    </row>
    <row r="1572" spans="1:14">
      <c r="A1572">
        <v>1571</v>
      </c>
      <c r="B1572" t="s">
        <v>29</v>
      </c>
      <c r="C1572" s="5">
        <v>45571</v>
      </c>
      <c r="D1572" s="8">
        <v>45571</v>
      </c>
      <c r="E1572" s="8" t="str">
        <f>IF(B1572="Inactive", EDATE(D1572,K1572), "")</f>
        <v/>
      </c>
      <c r="F1572" t="s">
        <v>12</v>
      </c>
      <c r="G1572">
        <v>11.1</v>
      </c>
      <c r="H1572" t="str" cm="1">
        <f t="array" ref="H1572">_xlfn.IFS(G1572&gt;=20,"20-25", G1572&gt;=15,"15-20", G1572&gt;=10,"10-15", G1572&gt;=5,"5-10", G1572&gt;=1,"1-5", G1572&lt;1,"Less than 1")</f>
        <v>10-15</v>
      </c>
      <c r="I1572">
        <v>8</v>
      </c>
      <c r="J1572">
        <v>1</v>
      </c>
      <c r="K1572" s="6">
        <v>4</v>
      </c>
      <c r="L1572" s="2">
        <v>1.99</v>
      </c>
      <c r="M1572" s="6">
        <v>5</v>
      </c>
      <c r="N1572" t="str" cm="1">
        <f t="array" ref="N1572">_xlfn.IFS(M1572&gt;=50,"50-60 Days", M1572&gt;=40,"40-50 Days", M1572&gt;=30, "30-40 Days", M1572&gt;=20, "20-30 Days", M1572&gt;=10, "10-20 Days", M1572&gt;=0, "0-10 Days")</f>
        <v>0-10 Days</v>
      </c>
    </row>
    <row r="1573" spans="1:14">
      <c r="A1573">
        <v>1572</v>
      </c>
      <c r="B1573" t="s">
        <v>29</v>
      </c>
      <c r="C1573" s="5">
        <v>45508</v>
      </c>
      <c r="D1573" s="8">
        <v>45508</v>
      </c>
      <c r="E1573" s="8" t="str">
        <f>IF(B1573="Inactive", EDATE(D1573,K1573), "")</f>
        <v/>
      </c>
      <c r="F1573" t="s">
        <v>10</v>
      </c>
      <c r="G1573">
        <v>5.5</v>
      </c>
      <c r="H1573" t="str" cm="1">
        <f t="array" ref="H1573">_xlfn.IFS(G1573&gt;=20,"20-25", G1573&gt;=15,"15-20", G1573&gt;=10,"10-15", G1573&gt;=5,"5-10", G1573&gt;=1,"1-5", G1573&lt;1,"Less than 1")</f>
        <v>5-10</v>
      </c>
      <c r="I1573">
        <v>2</v>
      </c>
      <c r="J1573">
        <v>0</v>
      </c>
      <c r="K1573" s="6">
        <v>3</v>
      </c>
      <c r="L1573" s="2">
        <v>6.99</v>
      </c>
      <c r="M1573" s="6">
        <v>23</v>
      </c>
      <c r="N1573" t="str" cm="1">
        <f t="array" ref="N1573">_xlfn.IFS(M1573&gt;=50,"50-60 Days", M1573&gt;=40,"40-50 Days", M1573&gt;=30, "30-40 Days", M1573&gt;=20, "20-30 Days", M1573&gt;=10, "10-20 Days", M1573&gt;=0, "0-10 Days")</f>
        <v>20-30 Days</v>
      </c>
    </row>
    <row r="1574" spans="1:14">
      <c r="A1574">
        <v>1573</v>
      </c>
      <c r="B1574" t="s">
        <v>29</v>
      </c>
      <c r="C1574" s="5">
        <v>45511</v>
      </c>
      <c r="D1574" s="8">
        <v>45511</v>
      </c>
      <c r="E1574" s="8" t="str">
        <f>IF(B1574="Inactive", EDATE(D1574,K1574), "")</f>
        <v/>
      </c>
      <c r="F1574" t="s">
        <v>10</v>
      </c>
      <c r="G1574">
        <v>8.8000000000000007</v>
      </c>
      <c r="H1574" t="str" cm="1">
        <f t="array" ref="H1574">_xlfn.IFS(G1574&gt;=20,"20-25", G1574&gt;=15,"15-20", G1574&gt;=10,"10-15", G1574&gt;=5,"5-10", G1574&gt;=1,"1-5", G1574&lt;1,"Less than 1")</f>
        <v>5-10</v>
      </c>
      <c r="I1574">
        <v>8</v>
      </c>
      <c r="J1574">
        <v>3</v>
      </c>
      <c r="K1574" s="6">
        <v>2</v>
      </c>
      <c r="L1574" s="2">
        <v>6.99</v>
      </c>
      <c r="M1574" s="6">
        <v>12</v>
      </c>
      <c r="N1574" t="str" cm="1">
        <f t="array" ref="N1574">_xlfn.IFS(M1574&gt;=50,"50-60 Days", M1574&gt;=40,"40-50 Days", M1574&gt;=30, "30-40 Days", M1574&gt;=20, "20-30 Days", M1574&gt;=10, "10-20 Days", M1574&gt;=0, "0-10 Days")</f>
        <v>10-20 Days</v>
      </c>
    </row>
    <row r="1575" spans="1:14">
      <c r="A1575">
        <v>1574</v>
      </c>
      <c r="B1575" t="s">
        <v>28</v>
      </c>
      <c r="C1575" s="5">
        <v>45364</v>
      </c>
      <c r="D1575" s="8">
        <v>45364</v>
      </c>
      <c r="E1575" s="8">
        <f>IF(B1575="Inactive", EDATE(D1575,K1575), "")</f>
        <v>45701</v>
      </c>
      <c r="F1575" t="s">
        <v>14</v>
      </c>
      <c r="G1575">
        <v>9.1</v>
      </c>
      <c r="H1575" t="str" cm="1">
        <f t="array" ref="H1575">_xlfn.IFS(G1575&gt;=20,"20-25", G1575&gt;=15,"15-20", G1575&gt;=10,"10-15", G1575&gt;=5,"5-10", G1575&gt;=1,"1-5", G1575&lt;1,"Less than 1")</f>
        <v>5-10</v>
      </c>
      <c r="I1575">
        <v>8</v>
      </c>
      <c r="J1575">
        <v>1</v>
      </c>
      <c r="K1575" s="6">
        <v>11</v>
      </c>
      <c r="L1575" s="2">
        <v>3.99</v>
      </c>
      <c r="M1575" s="6">
        <v>51</v>
      </c>
      <c r="N1575" t="str" cm="1">
        <f t="array" ref="N1575">_xlfn.IFS(M1575&gt;=50,"50-60 Days", M1575&gt;=40,"40-50 Days", M1575&gt;=30, "30-40 Days", M1575&gt;=20, "20-30 Days", M1575&gt;=10, "10-20 Days", M1575&gt;=0, "0-10 Days")</f>
        <v>50-60 Days</v>
      </c>
    </row>
    <row r="1576" spans="1:14">
      <c r="A1576">
        <v>1575</v>
      </c>
      <c r="B1576" t="s">
        <v>29</v>
      </c>
      <c r="C1576" s="5">
        <v>45030</v>
      </c>
      <c r="D1576" s="8">
        <v>45030</v>
      </c>
      <c r="E1576" s="8" t="str">
        <f>IF(B1576="Inactive", EDATE(D1576,K1576), "")</f>
        <v/>
      </c>
      <c r="F1576" t="s">
        <v>10</v>
      </c>
      <c r="G1576">
        <v>21.9</v>
      </c>
      <c r="H1576" t="str" cm="1">
        <f t="array" ref="H1576">_xlfn.IFS(G1576&gt;=20,"20-25", G1576&gt;=15,"15-20", G1576&gt;=10,"10-15", G1576&gt;=5,"5-10", G1576&gt;=1,"1-5", G1576&lt;1,"Less than 1")</f>
        <v>20-25</v>
      </c>
      <c r="I1576">
        <v>1</v>
      </c>
      <c r="J1576">
        <v>1</v>
      </c>
      <c r="K1576" s="6">
        <v>9</v>
      </c>
      <c r="L1576" s="2">
        <v>6.99</v>
      </c>
      <c r="M1576" s="6">
        <v>50</v>
      </c>
      <c r="N1576" t="str" cm="1">
        <f t="array" ref="N1576">_xlfn.IFS(M1576&gt;=50,"50-60 Days", M1576&gt;=40,"40-50 Days", M1576&gt;=30, "30-40 Days", M1576&gt;=20, "20-30 Days", M1576&gt;=10, "10-20 Days", M1576&gt;=0, "0-10 Days")</f>
        <v>50-60 Days</v>
      </c>
    </row>
    <row r="1577" spans="1:14">
      <c r="A1577">
        <v>1576</v>
      </c>
      <c r="B1577" t="s">
        <v>28</v>
      </c>
      <c r="C1577" s="5">
        <v>45223</v>
      </c>
      <c r="D1577" s="8">
        <v>45223</v>
      </c>
      <c r="E1577" s="8">
        <f>IF(B1577="Inactive", EDATE(D1577,K1577), "")</f>
        <v>45559</v>
      </c>
      <c r="F1577" t="s">
        <v>12</v>
      </c>
      <c r="G1577">
        <v>6.1</v>
      </c>
      <c r="H1577" t="str" cm="1">
        <f t="array" ref="H1577">_xlfn.IFS(G1577&gt;=20,"20-25", G1577&gt;=15,"15-20", G1577&gt;=10,"10-15", G1577&gt;=5,"5-10", G1577&gt;=1,"1-5", G1577&lt;1,"Less than 1")</f>
        <v>5-10</v>
      </c>
      <c r="I1577">
        <v>8</v>
      </c>
      <c r="J1577">
        <v>2</v>
      </c>
      <c r="K1577" s="6">
        <v>11</v>
      </c>
      <c r="L1577" s="2">
        <v>1.99</v>
      </c>
      <c r="M1577" s="6">
        <v>1</v>
      </c>
      <c r="N1577" t="str" cm="1">
        <f t="array" ref="N1577">_xlfn.IFS(M1577&gt;=50,"50-60 Days", M1577&gt;=40,"40-50 Days", M1577&gt;=30, "30-40 Days", M1577&gt;=20, "20-30 Days", M1577&gt;=10, "10-20 Days", M1577&gt;=0, "0-10 Days")</f>
        <v>0-10 Days</v>
      </c>
    </row>
    <row r="1578" spans="1:14">
      <c r="A1578">
        <v>1577</v>
      </c>
      <c r="B1578" t="s">
        <v>28</v>
      </c>
      <c r="C1578" s="5">
        <v>45516</v>
      </c>
      <c r="D1578" s="8">
        <v>45516</v>
      </c>
      <c r="E1578" s="8">
        <f>IF(B1578="Inactive", EDATE(D1578,K1578), "")</f>
        <v>45789</v>
      </c>
      <c r="F1578" t="s">
        <v>14</v>
      </c>
      <c r="G1578">
        <v>17.7</v>
      </c>
      <c r="H1578" t="str" cm="1">
        <f t="array" ref="H1578">_xlfn.IFS(G1578&gt;=20,"20-25", G1578&gt;=15,"15-20", G1578&gt;=10,"10-15", G1578&gt;=5,"5-10", G1578&gt;=1,"1-5", G1578&lt;1,"Less than 1")</f>
        <v>15-20</v>
      </c>
      <c r="I1578">
        <v>1</v>
      </c>
      <c r="J1578">
        <v>1</v>
      </c>
      <c r="K1578" s="6">
        <v>9</v>
      </c>
      <c r="L1578" s="2">
        <v>3.99</v>
      </c>
      <c r="M1578" s="6">
        <v>18</v>
      </c>
      <c r="N1578" t="str" cm="1">
        <f t="array" ref="N1578">_xlfn.IFS(M1578&gt;=50,"50-60 Days", M1578&gt;=40,"40-50 Days", M1578&gt;=30, "30-40 Days", M1578&gt;=20, "20-30 Days", M1578&gt;=10, "10-20 Days", M1578&gt;=0, "0-10 Days")</f>
        <v>10-20 Days</v>
      </c>
    </row>
    <row r="1579" spans="1:14">
      <c r="A1579">
        <v>1578</v>
      </c>
      <c r="B1579" t="s">
        <v>28</v>
      </c>
      <c r="C1579" s="5">
        <v>45486</v>
      </c>
      <c r="D1579" s="8">
        <v>45486</v>
      </c>
      <c r="E1579" s="8">
        <f>IF(B1579="Inactive", EDATE(D1579,K1579), "")</f>
        <v>45851</v>
      </c>
      <c r="F1579" t="s">
        <v>12</v>
      </c>
      <c r="G1579">
        <v>23.3</v>
      </c>
      <c r="H1579" t="str" cm="1">
        <f t="array" ref="H1579">_xlfn.IFS(G1579&gt;=20,"20-25", G1579&gt;=15,"15-20", G1579&gt;=10,"10-15", G1579&gt;=5,"5-10", G1579&gt;=1,"1-5", G1579&lt;1,"Less than 1")</f>
        <v>20-25</v>
      </c>
      <c r="I1579">
        <v>8</v>
      </c>
      <c r="J1579">
        <v>2</v>
      </c>
      <c r="K1579" s="6">
        <v>12</v>
      </c>
      <c r="L1579" s="2">
        <v>1.99</v>
      </c>
      <c r="M1579" s="6">
        <v>25</v>
      </c>
      <c r="N1579" t="str" cm="1">
        <f t="array" ref="N1579">_xlfn.IFS(M1579&gt;=50,"50-60 Days", M1579&gt;=40,"40-50 Days", M1579&gt;=30, "30-40 Days", M1579&gt;=20, "20-30 Days", M1579&gt;=10, "10-20 Days", M1579&gt;=0, "0-10 Days")</f>
        <v>20-30 Days</v>
      </c>
    </row>
    <row r="1580" spans="1:14">
      <c r="A1580">
        <v>1579</v>
      </c>
      <c r="B1580" t="s">
        <v>28</v>
      </c>
      <c r="C1580" s="5">
        <v>45358</v>
      </c>
      <c r="D1580" s="8">
        <v>45358</v>
      </c>
      <c r="E1580" s="8">
        <f>IF(B1580="Inactive", EDATE(D1580,K1580), "")</f>
        <v>45450</v>
      </c>
      <c r="F1580" t="s">
        <v>10</v>
      </c>
      <c r="G1580">
        <v>14.8</v>
      </c>
      <c r="H1580" t="str" cm="1">
        <f t="array" ref="H1580">_xlfn.IFS(G1580&gt;=20,"20-25", G1580&gt;=15,"15-20", G1580&gt;=10,"10-15", G1580&gt;=5,"5-10", G1580&gt;=1,"1-5", G1580&lt;1,"Less than 1")</f>
        <v>10-15</v>
      </c>
      <c r="I1580">
        <v>4</v>
      </c>
      <c r="J1580">
        <v>5</v>
      </c>
      <c r="K1580" s="6">
        <v>3</v>
      </c>
      <c r="L1580" s="2">
        <v>6.99</v>
      </c>
      <c r="M1580" s="6">
        <v>1</v>
      </c>
      <c r="N1580" t="str" cm="1">
        <f t="array" ref="N1580">_xlfn.IFS(M1580&gt;=50,"50-60 Days", M1580&gt;=40,"40-50 Days", M1580&gt;=30, "30-40 Days", M1580&gt;=20, "20-30 Days", M1580&gt;=10, "10-20 Days", M1580&gt;=0, "0-10 Days")</f>
        <v>0-10 Days</v>
      </c>
    </row>
    <row r="1581" spans="1:14">
      <c r="A1581">
        <v>1580</v>
      </c>
      <c r="B1581" t="s">
        <v>29</v>
      </c>
      <c r="C1581" s="5">
        <v>45264</v>
      </c>
      <c r="D1581" s="8">
        <v>45264</v>
      </c>
      <c r="E1581" s="8" t="str">
        <f>IF(B1581="Inactive", EDATE(D1581,K1581), "")</f>
        <v/>
      </c>
      <c r="F1581" t="s">
        <v>14</v>
      </c>
      <c r="G1581">
        <v>8.6999999999999993</v>
      </c>
      <c r="H1581" t="str" cm="1">
        <f t="array" ref="H1581">_xlfn.IFS(G1581&gt;=20,"20-25", G1581&gt;=15,"15-20", G1581&gt;=10,"10-15", G1581&gt;=5,"5-10", G1581&gt;=1,"1-5", G1581&lt;1,"Less than 1")</f>
        <v>5-10</v>
      </c>
      <c r="I1581">
        <v>0</v>
      </c>
      <c r="J1581">
        <v>1</v>
      </c>
      <c r="K1581" s="6">
        <v>5</v>
      </c>
      <c r="L1581" s="2">
        <v>3.99</v>
      </c>
      <c r="M1581" s="6">
        <v>13</v>
      </c>
      <c r="N1581" t="str" cm="1">
        <f t="array" ref="N1581">_xlfn.IFS(M1581&gt;=50,"50-60 Days", M1581&gt;=40,"40-50 Days", M1581&gt;=30, "30-40 Days", M1581&gt;=20, "20-30 Days", M1581&gt;=10, "10-20 Days", M1581&gt;=0, "0-10 Days")</f>
        <v>10-20 Days</v>
      </c>
    </row>
    <row r="1582" spans="1:14">
      <c r="A1582">
        <v>1581</v>
      </c>
      <c r="B1582" t="s">
        <v>29</v>
      </c>
      <c r="C1582" s="5">
        <v>44963</v>
      </c>
      <c r="D1582" s="8">
        <v>44963</v>
      </c>
      <c r="E1582" s="8" t="str">
        <f>IF(B1582="Inactive", EDATE(D1582,K1582), "")</f>
        <v/>
      </c>
      <c r="F1582" t="s">
        <v>10</v>
      </c>
      <c r="G1582">
        <v>6.3</v>
      </c>
      <c r="H1582" t="str" cm="1">
        <f t="array" ref="H1582">_xlfn.IFS(G1582&gt;=20,"20-25", G1582&gt;=15,"15-20", G1582&gt;=10,"10-15", G1582&gt;=5,"5-10", G1582&gt;=1,"1-5", G1582&lt;1,"Less than 1")</f>
        <v>5-10</v>
      </c>
      <c r="I1582">
        <v>1</v>
      </c>
      <c r="J1582">
        <v>4</v>
      </c>
      <c r="K1582" s="6">
        <v>2</v>
      </c>
      <c r="L1582" s="2">
        <v>6.99</v>
      </c>
      <c r="M1582" s="6">
        <v>57</v>
      </c>
      <c r="N1582" t="str" cm="1">
        <f t="array" ref="N1582">_xlfn.IFS(M1582&gt;=50,"50-60 Days", M1582&gt;=40,"40-50 Days", M1582&gt;=30, "30-40 Days", M1582&gt;=20, "20-30 Days", M1582&gt;=10, "10-20 Days", M1582&gt;=0, "0-10 Days")</f>
        <v>50-60 Days</v>
      </c>
    </row>
    <row r="1583" spans="1:14">
      <c r="A1583">
        <v>1582</v>
      </c>
      <c r="B1583" t="s">
        <v>29</v>
      </c>
      <c r="C1583" s="5">
        <v>45204</v>
      </c>
      <c r="D1583" s="8">
        <v>45204</v>
      </c>
      <c r="E1583" s="8" t="str">
        <f>IF(B1583="Inactive", EDATE(D1583,K1583), "")</f>
        <v/>
      </c>
      <c r="F1583" t="s">
        <v>14</v>
      </c>
      <c r="G1583">
        <v>23.8</v>
      </c>
      <c r="H1583" t="str" cm="1">
        <f t="array" ref="H1583">_xlfn.IFS(G1583&gt;=20,"20-25", G1583&gt;=15,"15-20", G1583&gt;=10,"10-15", G1583&gt;=5,"5-10", G1583&gt;=1,"1-5", G1583&lt;1,"Less than 1")</f>
        <v>20-25</v>
      </c>
      <c r="I1583">
        <v>1</v>
      </c>
      <c r="J1583">
        <v>4</v>
      </c>
      <c r="K1583" s="6">
        <v>2</v>
      </c>
      <c r="L1583" s="2">
        <v>3.99</v>
      </c>
      <c r="M1583" s="6">
        <v>30</v>
      </c>
      <c r="N1583" t="str" cm="1">
        <f t="array" ref="N1583">_xlfn.IFS(M1583&gt;=50,"50-60 Days", M1583&gt;=40,"40-50 Days", M1583&gt;=30, "30-40 Days", M1583&gt;=20, "20-30 Days", M1583&gt;=10, "10-20 Days", M1583&gt;=0, "0-10 Days")</f>
        <v>30-40 Days</v>
      </c>
    </row>
    <row r="1584" spans="1:14">
      <c r="A1584">
        <v>1583</v>
      </c>
      <c r="B1584" t="s">
        <v>28</v>
      </c>
      <c r="C1584" s="5">
        <v>45368</v>
      </c>
      <c r="D1584" s="8">
        <v>45368</v>
      </c>
      <c r="E1584" s="8">
        <f>IF(B1584="Inactive", EDATE(D1584,K1584), "")</f>
        <v>45399</v>
      </c>
      <c r="F1584" t="s">
        <v>10</v>
      </c>
      <c r="G1584">
        <v>3</v>
      </c>
      <c r="H1584" t="str" cm="1">
        <f t="array" ref="H1584">_xlfn.IFS(G1584&gt;=20,"20-25", G1584&gt;=15,"15-20", G1584&gt;=10,"10-15", G1584&gt;=5,"5-10", G1584&gt;=1,"1-5", G1584&lt;1,"Less than 1")</f>
        <v>1-5</v>
      </c>
      <c r="I1584">
        <v>7</v>
      </c>
      <c r="J1584">
        <v>4</v>
      </c>
      <c r="K1584" s="6">
        <v>1</v>
      </c>
      <c r="L1584" s="2">
        <v>6.99</v>
      </c>
      <c r="M1584" s="6">
        <v>14</v>
      </c>
      <c r="N1584" t="str" cm="1">
        <f t="array" ref="N1584">_xlfn.IFS(M1584&gt;=50,"50-60 Days", M1584&gt;=40,"40-50 Days", M1584&gt;=30, "30-40 Days", M1584&gt;=20, "20-30 Days", M1584&gt;=10, "10-20 Days", M1584&gt;=0, "0-10 Days")</f>
        <v>10-20 Days</v>
      </c>
    </row>
    <row r="1585" spans="1:14">
      <c r="A1585">
        <v>1584</v>
      </c>
      <c r="B1585" t="s">
        <v>28</v>
      </c>
      <c r="C1585" s="5">
        <v>45127</v>
      </c>
      <c r="D1585" s="8">
        <v>45127</v>
      </c>
      <c r="E1585" s="8">
        <f>IF(B1585="Inactive", EDATE(D1585,K1585), "")</f>
        <v>45342</v>
      </c>
      <c r="F1585" t="s">
        <v>14</v>
      </c>
      <c r="G1585">
        <v>19.600000000000001</v>
      </c>
      <c r="H1585" t="str" cm="1">
        <f t="array" ref="H1585">_xlfn.IFS(G1585&gt;=20,"20-25", G1585&gt;=15,"15-20", G1585&gt;=10,"10-15", G1585&gt;=5,"5-10", G1585&gt;=1,"1-5", G1585&lt;1,"Less than 1")</f>
        <v>15-20</v>
      </c>
      <c r="I1585">
        <v>3</v>
      </c>
      <c r="J1585">
        <v>0</v>
      </c>
      <c r="K1585" s="6">
        <v>7</v>
      </c>
      <c r="L1585" s="2">
        <v>3.99</v>
      </c>
      <c r="M1585" s="6">
        <v>59</v>
      </c>
      <c r="N1585" t="str" cm="1">
        <f t="array" ref="N1585">_xlfn.IFS(M1585&gt;=50,"50-60 Days", M1585&gt;=40,"40-50 Days", M1585&gt;=30, "30-40 Days", M1585&gt;=20, "20-30 Days", M1585&gt;=10, "10-20 Days", M1585&gt;=0, "0-10 Days")</f>
        <v>50-60 Days</v>
      </c>
    </row>
    <row r="1586" spans="1:14">
      <c r="A1586">
        <v>1585</v>
      </c>
      <c r="B1586" t="s">
        <v>28</v>
      </c>
      <c r="C1586" s="5">
        <v>45313</v>
      </c>
      <c r="D1586" s="8">
        <v>45313</v>
      </c>
      <c r="E1586" s="8">
        <f>IF(B1586="Inactive", EDATE(D1586,K1586), "")</f>
        <v>45587</v>
      </c>
      <c r="F1586" t="s">
        <v>10</v>
      </c>
      <c r="G1586">
        <v>17.2</v>
      </c>
      <c r="H1586" t="str" cm="1">
        <f t="array" ref="H1586">_xlfn.IFS(G1586&gt;=20,"20-25", G1586&gt;=15,"15-20", G1586&gt;=10,"10-15", G1586&gt;=5,"5-10", G1586&gt;=1,"1-5", G1586&lt;1,"Less than 1")</f>
        <v>15-20</v>
      </c>
      <c r="I1586">
        <v>0</v>
      </c>
      <c r="J1586">
        <v>4</v>
      </c>
      <c r="K1586" s="6">
        <v>9</v>
      </c>
      <c r="L1586" s="2">
        <v>6.99</v>
      </c>
      <c r="M1586" s="6">
        <v>30</v>
      </c>
      <c r="N1586" t="str" cm="1">
        <f t="array" ref="N1586">_xlfn.IFS(M1586&gt;=50,"50-60 Days", M1586&gt;=40,"40-50 Days", M1586&gt;=30, "30-40 Days", M1586&gt;=20, "20-30 Days", M1586&gt;=10, "10-20 Days", M1586&gt;=0, "0-10 Days")</f>
        <v>30-40 Days</v>
      </c>
    </row>
    <row r="1587" spans="1:14">
      <c r="A1587">
        <v>1586</v>
      </c>
      <c r="B1587" t="s">
        <v>28</v>
      </c>
      <c r="C1587" s="5">
        <v>45047</v>
      </c>
      <c r="D1587" s="8">
        <v>45047</v>
      </c>
      <c r="E1587" s="8">
        <f>IF(B1587="Inactive", EDATE(D1587,K1587), "")</f>
        <v>45139</v>
      </c>
      <c r="F1587" t="s">
        <v>10</v>
      </c>
      <c r="G1587">
        <v>11</v>
      </c>
      <c r="H1587" t="str" cm="1">
        <f t="array" ref="H1587">_xlfn.IFS(G1587&gt;=20,"20-25", G1587&gt;=15,"15-20", G1587&gt;=10,"10-15", G1587&gt;=5,"5-10", G1587&gt;=1,"1-5", G1587&lt;1,"Less than 1")</f>
        <v>10-15</v>
      </c>
      <c r="I1587">
        <v>6</v>
      </c>
      <c r="J1587">
        <v>4</v>
      </c>
      <c r="K1587" s="6">
        <v>3</v>
      </c>
      <c r="L1587" s="2">
        <v>6.99</v>
      </c>
      <c r="M1587" s="6">
        <v>8</v>
      </c>
      <c r="N1587" t="str" cm="1">
        <f t="array" ref="N1587">_xlfn.IFS(M1587&gt;=50,"50-60 Days", M1587&gt;=40,"40-50 Days", M1587&gt;=30, "30-40 Days", M1587&gt;=20, "20-30 Days", M1587&gt;=10, "10-20 Days", M1587&gt;=0, "0-10 Days")</f>
        <v>0-10 Days</v>
      </c>
    </row>
    <row r="1588" spans="1:14">
      <c r="A1588">
        <v>1587</v>
      </c>
      <c r="B1588" t="s">
        <v>28</v>
      </c>
      <c r="C1588" s="5">
        <v>45164</v>
      </c>
      <c r="D1588" s="8">
        <v>45164</v>
      </c>
      <c r="E1588" s="8">
        <f>IF(B1588="Inactive", EDATE(D1588,K1588), "")</f>
        <v>45408</v>
      </c>
      <c r="F1588" t="s">
        <v>10</v>
      </c>
      <c r="G1588">
        <v>9.1</v>
      </c>
      <c r="H1588" t="str" cm="1">
        <f t="array" ref="H1588">_xlfn.IFS(G1588&gt;=20,"20-25", G1588&gt;=15,"15-20", G1588&gt;=10,"10-15", G1588&gt;=5,"5-10", G1588&gt;=1,"1-5", G1588&lt;1,"Less than 1")</f>
        <v>5-10</v>
      </c>
      <c r="I1588">
        <v>5</v>
      </c>
      <c r="J1588">
        <v>3</v>
      </c>
      <c r="K1588" s="6">
        <v>8</v>
      </c>
      <c r="L1588" s="2">
        <v>6.99</v>
      </c>
      <c r="M1588" s="6">
        <v>58</v>
      </c>
      <c r="N1588" t="str" cm="1">
        <f t="array" ref="N1588">_xlfn.IFS(M1588&gt;=50,"50-60 Days", M1588&gt;=40,"40-50 Days", M1588&gt;=30, "30-40 Days", M1588&gt;=20, "20-30 Days", M1588&gt;=10, "10-20 Days", M1588&gt;=0, "0-10 Days")</f>
        <v>50-60 Days</v>
      </c>
    </row>
    <row r="1589" spans="1:14">
      <c r="A1589">
        <v>1588</v>
      </c>
      <c r="B1589" t="s">
        <v>29</v>
      </c>
      <c r="C1589" s="5">
        <v>44942</v>
      </c>
      <c r="D1589" s="8">
        <v>44942</v>
      </c>
      <c r="E1589" s="8" t="str">
        <f>IF(B1589="Inactive", EDATE(D1589,K1589), "")</f>
        <v/>
      </c>
      <c r="F1589" t="s">
        <v>12</v>
      </c>
      <c r="G1589">
        <v>6.1</v>
      </c>
      <c r="H1589" t="str" cm="1">
        <f t="array" ref="H1589">_xlfn.IFS(G1589&gt;=20,"20-25", G1589&gt;=15,"15-20", G1589&gt;=10,"10-15", G1589&gt;=5,"5-10", G1589&gt;=1,"1-5", G1589&lt;1,"Less than 1")</f>
        <v>5-10</v>
      </c>
      <c r="I1589">
        <v>8</v>
      </c>
      <c r="J1589">
        <v>4</v>
      </c>
      <c r="K1589" s="6">
        <v>1</v>
      </c>
      <c r="L1589" s="2">
        <v>1.99</v>
      </c>
      <c r="M1589" s="6">
        <v>2</v>
      </c>
      <c r="N1589" t="str" cm="1">
        <f t="array" ref="N1589">_xlfn.IFS(M1589&gt;=50,"50-60 Days", M1589&gt;=40,"40-50 Days", M1589&gt;=30, "30-40 Days", M1589&gt;=20, "20-30 Days", M1589&gt;=10, "10-20 Days", M1589&gt;=0, "0-10 Days")</f>
        <v>0-10 Days</v>
      </c>
    </row>
    <row r="1590" spans="1:14">
      <c r="A1590">
        <v>1589</v>
      </c>
      <c r="B1590" t="s">
        <v>29</v>
      </c>
      <c r="C1590" s="5">
        <v>45216</v>
      </c>
      <c r="D1590" s="8">
        <v>45216</v>
      </c>
      <c r="E1590" s="8" t="str">
        <f>IF(B1590="Inactive", EDATE(D1590,K1590), "")</f>
        <v/>
      </c>
      <c r="F1590" t="s">
        <v>10</v>
      </c>
      <c r="G1590">
        <v>20.399999999999999</v>
      </c>
      <c r="H1590" t="str" cm="1">
        <f t="array" ref="H1590">_xlfn.IFS(G1590&gt;=20,"20-25", G1590&gt;=15,"15-20", G1590&gt;=10,"10-15", G1590&gt;=5,"5-10", G1590&gt;=1,"1-5", G1590&lt;1,"Less than 1")</f>
        <v>20-25</v>
      </c>
      <c r="I1590">
        <v>1</v>
      </c>
      <c r="J1590">
        <v>0</v>
      </c>
      <c r="K1590" s="6">
        <v>6</v>
      </c>
      <c r="L1590" s="2">
        <v>6.99</v>
      </c>
      <c r="M1590" s="6">
        <v>8</v>
      </c>
      <c r="N1590" t="str" cm="1">
        <f t="array" ref="N1590">_xlfn.IFS(M1590&gt;=50,"50-60 Days", M1590&gt;=40,"40-50 Days", M1590&gt;=30, "30-40 Days", M1590&gt;=20, "20-30 Days", M1590&gt;=10, "10-20 Days", M1590&gt;=0, "0-10 Days")</f>
        <v>0-10 Days</v>
      </c>
    </row>
    <row r="1591" spans="1:14">
      <c r="A1591">
        <v>1590</v>
      </c>
      <c r="B1591" t="s">
        <v>29</v>
      </c>
      <c r="C1591" s="5">
        <v>45417</v>
      </c>
      <c r="D1591" s="8">
        <v>45417</v>
      </c>
      <c r="E1591" s="8" t="str">
        <f>IF(B1591="Inactive", EDATE(D1591,K1591), "")</f>
        <v/>
      </c>
      <c r="F1591" t="s">
        <v>12</v>
      </c>
      <c r="G1591">
        <v>9.1</v>
      </c>
      <c r="H1591" t="str" cm="1">
        <f t="array" ref="H1591">_xlfn.IFS(G1591&gt;=20,"20-25", G1591&gt;=15,"15-20", G1591&gt;=10,"10-15", G1591&gt;=5,"5-10", G1591&gt;=1,"1-5", G1591&lt;1,"Less than 1")</f>
        <v>5-10</v>
      </c>
      <c r="I1591">
        <v>3</v>
      </c>
      <c r="J1591">
        <v>2</v>
      </c>
      <c r="K1591" s="6">
        <v>7</v>
      </c>
      <c r="L1591" s="2">
        <v>1.99</v>
      </c>
      <c r="M1591" s="6">
        <v>8</v>
      </c>
      <c r="N1591" t="str" cm="1">
        <f t="array" ref="N1591">_xlfn.IFS(M1591&gt;=50,"50-60 Days", M1591&gt;=40,"40-50 Days", M1591&gt;=30, "30-40 Days", M1591&gt;=20, "20-30 Days", M1591&gt;=10, "10-20 Days", M1591&gt;=0, "0-10 Days")</f>
        <v>0-10 Days</v>
      </c>
    </row>
    <row r="1592" spans="1:14">
      <c r="A1592">
        <v>1591</v>
      </c>
      <c r="B1592" t="s">
        <v>28</v>
      </c>
      <c r="C1592" s="5">
        <v>45433</v>
      </c>
      <c r="D1592" s="8">
        <v>45433</v>
      </c>
      <c r="E1592" s="8">
        <f>IF(B1592="Inactive", EDATE(D1592,K1592), "")</f>
        <v>45525</v>
      </c>
      <c r="F1592" t="s">
        <v>10</v>
      </c>
      <c r="G1592">
        <v>16.600000000000001</v>
      </c>
      <c r="H1592" t="str" cm="1">
        <f t="array" ref="H1592">_xlfn.IFS(G1592&gt;=20,"20-25", G1592&gt;=15,"15-20", G1592&gt;=10,"10-15", G1592&gt;=5,"5-10", G1592&gt;=1,"1-5", G1592&lt;1,"Less than 1")</f>
        <v>15-20</v>
      </c>
      <c r="I1592">
        <v>1</v>
      </c>
      <c r="J1592">
        <v>2</v>
      </c>
      <c r="K1592" s="6">
        <v>3</v>
      </c>
      <c r="L1592" s="2">
        <v>6.99</v>
      </c>
      <c r="M1592" s="6">
        <v>60</v>
      </c>
      <c r="N1592" t="str" cm="1">
        <f t="array" ref="N1592">_xlfn.IFS(M1592&gt;=50,"50-60 Days", M1592&gt;=40,"40-50 Days", M1592&gt;=30, "30-40 Days", M1592&gt;=20, "20-30 Days", M1592&gt;=10, "10-20 Days", M1592&gt;=0, "0-10 Days")</f>
        <v>50-60 Days</v>
      </c>
    </row>
    <row r="1593" spans="1:14">
      <c r="A1593">
        <v>1592</v>
      </c>
      <c r="B1593" t="s">
        <v>28</v>
      </c>
      <c r="C1593" s="5">
        <v>45302</v>
      </c>
      <c r="D1593" s="8">
        <v>45302</v>
      </c>
      <c r="E1593" s="8">
        <f>IF(B1593="Inactive", EDATE(D1593,K1593), "")</f>
        <v>45546</v>
      </c>
      <c r="F1593" t="s">
        <v>10</v>
      </c>
      <c r="G1593">
        <v>22.5</v>
      </c>
      <c r="H1593" t="str" cm="1">
        <f t="array" ref="H1593">_xlfn.IFS(G1593&gt;=20,"20-25", G1593&gt;=15,"15-20", G1593&gt;=10,"10-15", G1593&gt;=5,"5-10", G1593&gt;=1,"1-5", G1593&lt;1,"Less than 1")</f>
        <v>20-25</v>
      </c>
      <c r="I1593">
        <v>3</v>
      </c>
      <c r="J1593">
        <v>3</v>
      </c>
      <c r="K1593" s="6">
        <v>8</v>
      </c>
      <c r="L1593" s="2">
        <v>6.99</v>
      </c>
      <c r="M1593" s="6">
        <v>45</v>
      </c>
      <c r="N1593" t="str" cm="1">
        <f t="array" ref="N1593">_xlfn.IFS(M1593&gt;=50,"50-60 Days", M1593&gt;=40,"40-50 Days", M1593&gt;=30, "30-40 Days", M1593&gt;=20, "20-30 Days", M1593&gt;=10, "10-20 Days", M1593&gt;=0, "0-10 Days")</f>
        <v>40-50 Days</v>
      </c>
    </row>
    <row r="1594" spans="1:14">
      <c r="A1594">
        <v>1593</v>
      </c>
      <c r="B1594" t="s">
        <v>28</v>
      </c>
      <c r="C1594" s="5">
        <v>45641</v>
      </c>
      <c r="D1594" s="8">
        <v>45641</v>
      </c>
      <c r="E1594" s="8">
        <f>IF(B1594="Inactive", EDATE(D1594,K1594), "")</f>
        <v>45853</v>
      </c>
      <c r="F1594" t="s">
        <v>10</v>
      </c>
      <c r="G1594">
        <v>21.8</v>
      </c>
      <c r="H1594" t="str" cm="1">
        <f t="array" ref="H1594">_xlfn.IFS(G1594&gt;=20,"20-25", G1594&gt;=15,"15-20", G1594&gt;=10,"10-15", G1594&gt;=5,"5-10", G1594&gt;=1,"1-5", G1594&lt;1,"Less than 1")</f>
        <v>20-25</v>
      </c>
      <c r="I1594">
        <v>3</v>
      </c>
      <c r="J1594">
        <v>4</v>
      </c>
      <c r="K1594" s="6">
        <v>7</v>
      </c>
      <c r="L1594" s="2">
        <v>6.99</v>
      </c>
      <c r="M1594" s="6">
        <v>57</v>
      </c>
      <c r="N1594" t="str" cm="1">
        <f t="array" ref="N1594">_xlfn.IFS(M1594&gt;=50,"50-60 Days", M1594&gt;=40,"40-50 Days", M1594&gt;=30, "30-40 Days", M1594&gt;=20, "20-30 Days", M1594&gt;=10, "10-20 Days", M1594&gt;=0, "0-10 Days")</f>
        <v>50-60 Days</v>
      </c>
    </row>
    <row r="1595" spans="1:14">
      <c r="A1595">
        <v>1594</v>
      </c>
      <c r="B1595" t="s">
        <v>28</v>
      </c>
      <c r="C1595" s="5">
        <v>45424</v>
      </c>
      <c r="D1595" s="8">
        <v>45424</v>
      </c>
      <c r="E1595" s="8">
        <f>IF(B1595="Inactive", EDATE(D1595,K1595), "")</f>
        <v>45759</v>
      </c>
      <c r="F1595" t="s">
        <v>10</v>
      </c>
      <c r="G1595">
        <v>3.1</v>
      </c>
      <c r="H1595" t="str" cm="1">
        <f t="array" ref="H1595">_xlfn.IFS(G1595&gt;=20,"20-25", G1595&gt;=15,"15-20", G1595&gt;=10,"10-15", G1595&gt;=5,"5-10", G1595&gt;=1,"1-5", G1595&lt;1,"Less than 1")</f>
        <v>1-5</v>
      </c>
      <c r="I1595">
        <v>5</v>
      </c>
      <c r="J1595">
        <v>3</v>
      </c>
      <c r="K1595" s="6">
        <v>11</v>
      </c>
      <c r="L1595" s="2">
        <v>6.99</v>
      </c>
      <c r="M1595" s="6">
        <v>45</v>
      </c>
      <c r="N1595" t="str" cm="1">
        <f t="array" ref="N1595">_xlfn.IFS(M1595&gt;=50,"50-60 Days", M1595&gt;=40,"40-50 Days", M1595&gt;=30, "30-40 Days", M1595&gt;=20, "20-30 Days", M1595&gt;=10, "10-20 Days", M1595&gt;=0, "0-10 Days")</f>
        <v>40-50 Days</v>
      </c>
    </row>
    <row r="1596" spans="1:14">
      <c r="A1596">
        <v>1595</v>
      </c>
      <c r="B1596" t="s">
        <v>28</v>
      </c>
      <c r="C1596" s="5">
        <v>45493</v>
      </c>
      <c r="D1596" s="8">
        <v>45493</v>
      </c>
      <c r="E1596" s="8">
        <f>IF(B1596="Inactive", EDATE(D1596,K1596), "")</f>
        <v>45555</v>
      </c>
      <c r="F1596" t="s">
        <v>14</v>
      </c>
      <c r="G1596">
        <v>5.5</v>
      </c>
      <c r="H1596" t="str" cm="1">
        <f t="array" ref="H1596">_xlfn.IFS(G1596&gt;=20,"20-25", G1596&gt;=15,"15-20", G1596&gt;=10,"10-15", G1596&gt;=5,"5-10", G1596&gt;=1,"1-5", G1596&lt;1,"Less than 1")</f>
        <v>5-10</v>
      </c>
      <c r="I1596">
        <v>2</v>
      </c>
      <c r="J1596">
        <v>4</v>
      </c>
      <c r="K1596" s="6">
        <v>2</v>
      </c>
      <c r="L1596" s="2">
        <v>3.99</v>
      </c>
      <c r="M1596" s="6">
        <v>14</v>
      </c>
      <c r="N1596" t="str" cm="1">
        <f t="array" ref="N1596">_xlfn.IFS(M1596&gt;=50,"50-60 Days", M1596&gt;=40,"40-50 Days", M1596&gt;=30, "30-40 Days", M1596&gt;=20, "20-30 Days", M1596&gt;=10, "10-20 Days", M1596&gt;=0, "0-10 Days")</f>
        <v>10-20 Days</v>
      </c>
    </row>
    <row r="1597" spans="1:14">
      <c r="A1597">
        <v>1596</v>
      </c>
      <c r="B1597" t="s">
        <v>29</v>
      </c>
      <c r="C1597" s="5">
        <v>45592</v>
      </c>
      <c r="D1597" s="8">
        <v>45592</v>
      </c>
      <c r="E1597" s="8" t="str">
        <f>IF(B1597="Inactive", EDATE(D1597,K1597), "")</f>
        <v/>
      </c>
      <c r="F1597" t="s">
        <v>12</v>
      </c>
      <c r="G1597">
        <v>9.6</v>
      </c>
      <c r="H1597" t="str" cm="1">
        <f t="array" ref="H1597">_xlfn.IFS(G1597&gt;=20,"20-25", G1597&gt;=15,"15-20", G1597&gt;=10,"10-15", G1597&gt;=5,"5-10", G1597&gt;=1,"1-5", G1597&lt;1,"Less than 1")</f>
        <v>5-10</v>
      </c>
      <c r="I1597">
        <v>2</v>
      </c>
      <c r="J1597">
        <v>0</v>
      </c>
      <c r="K1597" s="6">
        <v>3</v>
      </c>
      <c r="L1597" s="2">
        <v>1.99</v>
      </c>
      <c r="M1597" s="6">
        <v>15</v>
      </c>
      <c r="N1597" t="str" cm="1">
        <f t="array" ref="N1597">_xlfn.IFS(M1597&gt;=50,"50-60 Days", M1597&gt;=40,"40-50 Days", M1597&gt;=30, "30-40 Days", M1597&gt;=20, "20-30 Days", M1597&gt;=10, "10-20 Days", M1597&gt;=0, "0-10 Days")</f>
        <v>10-20 Days</v>
      </c>
    </row>
    <row r="1598" spans="1:14">
      <c r="A1598">
        <v>1597</v>
      </c>
      <c r="B1598" t="s">
        <v>28</v>
      </c>
      <c r="C1598" s="5">
        <v>45234</v>
      </c>
      <c r="D1598" s="8">
        <v>45234</v>
      </c>
      <c r="E1598" s="8">
        <f>IF(B1598="Inactive", EDATE(D1598,K1598), "")</f>
        <v>45326</v>
      </c>
      <c r="F1598" t="s">
        <v>14</v>
      </c>
      <c r="G1598">
        <v>1</v>
      </c>
      <c r="H1598" t="str" cm="1">
        <f t="array" ref="H1598">_xlfn.IFS(G1598&gt;=20,"20-25", G1598&gt;=15,"15-20", G1598&gt;=10,"10-15", G1598&gt;=5,"5-10", G1598&gt;=1,"1-5", G1598&lt;1,"Less than 1")</f>
        <v>1-5</v>
      </c>
      <c r="I1598">
        <v>0</v>
      </c>
      <c r="J1598">
        <v>2</v>
      </c>
      <c r="K1598" s="6">
        <v>3</v>
      </c>
      <c r="L1598" s="2">
        <v>3.99</v>
      </c>
      <c r="M1598" s="6">
        <v>17</v>
      </c>
      <c r="N1598" t="str" cm="1">
        <f t="array" ref="N1598">_xlfn.IFS(M1598&gt;=50,"50-60 Days", M1598&gt;=40,"40-50 Days", M1598&gt;=30, "30-40 Days", M1598&gt;=20, "20-30 Days", M1598&gt;=10, "10-20 Days", M1598&gt;=0, "0-10 Days")</f>
        <v>10-20 Days</v>
      </c>
    </row>
    <row r="1599" spans="1:14">
      <c r="A1599">
        <v>1598</v>
      </c>
      <c r="B1599" t="s">
        <v>29</v>
      </c>
      <c r="C1599" s="5">
        <v>45320</v>
      </c>
      <c r="D1599" s="8">
        <v>45320</v>
      </c>
      <c r="E1599" s="8" t="str">
        <f>IF(B1599="Inactive", EDATE(D1599,K1599), "")</f>
        <v/>
      </c>
      <c r="F1599" t="s">
        <v>12</v>
      </c>
      <c r="G1599">
        <v>7.3</v>
      </c>
      <c r="H1599" t="str" cm="1">
        <f t="array" ref="H1599">_xlfn.IFS(G1599&gt;=20,"20-25", G1599&gt;=15,"15-20", G1599&gt;=10,"10-15", G1599&gt;=5,"5-10", G1599&gt;=1,"1-5", G1599&lt;1,"Less than 1")</f>
        <v>5-10</v>
      </c>
      <c r="I1599">
        <v>6</v>
      </c>
      <c r="J1599">
        <v>3</v>
      </c>
      <c r="K1599" s="6">
        <v>2</v>
      </c>
      <c r="L1599" s="2">
        <v>1.99</v>
      </c>
      <c r="M1599" s="6">
        <v>1</v>
      </c>
      <c r="N1599" t="str" cm="1">
        <f t="array" ref="N1599">_xlfn.IFS(M1599&gt;=50,"50-60 Days", M1599&gt;=40,"40-50 Days", M1599&gt;=30, "30-40 Days", M1599&gt;=20, "20-30 Days", M1599&gt;=10, "10-20 Days", M1599&gt;=0, "0-10 Days")</f>
        <v>0-10 Days</v>
      </c>
    </row>
    <row r="1600" spans="1:14">
      <c r="A1600">
        <v>1599</v>
      </c>
      <c r="B1600" t="s">
        <v>28</v>
      </c>
      <c r="C1600" s="5">
        <v>44980</v>
      </c>
      <c r="D1600" s="8">
        <v>44980</v>
      </c>
      <c r="E1600" s="8">
        <f>IF(B1600="Inactive", EDATE(D1600,K1600), "")</f>
        <v>45008</v>
      </c>
      <c r="F1600" t="s">
        <v>14</v>
      </c>
      <c r="G1600">
        <v>6</v>
      </c>
      <c r="H1600" t="str" cm="1">
        <f t="array" ref="H1600">_xlfn.IFS(G1600&gt;=20,"20-25", G1600&gt;=15,"15-20", G1600&gt;=10,"10-15", G1600&gt;=5,"5-10", G1600&gt;=1,"1-5", G1600&lt;1,"Less than 1")</f>
        <v>5-10</v>
      </c>
      <c r="I1600">
        <v>6</v>
      </c>
      <c r="J1600">
        <v>1</v>
      </c>
      <c r="K1600" s="6">
        <v>1</v>
      </c>
      <c r="L1600" s="2">
        <v>3.99</v>
      </c>
      <c r="M1600" s="6">
        <v>42</v>
      </c>
      <c r="N1600" t="str" cm="1">
        <f t="array" ref="N1600">_xlfn.IFS(M1600&gt;=50,"50-60 Days", M1600&gt;=40,"40-50 Days", M1600&gt;=30, "30-40 Days", M1600&gt;=20, "20-30 Days", M1600&gt;=10, "10-20 Days", M1600&gt;=0, "0-10 Days")</f>
        <v>40-50 Days</v>
      </c>
    </row>
    <row r="1601" spans="1:14">
      <c r="A1601">
        <v>1600</v>
      </c>
      <c r="B1601" t="s">
        <v>28</v>
      </c>
      <c r="C1601" s="5">
        <v>45271</v>
      </c>
      <c r="D1601" s="8">
        <v>45271</v>
      </c>
      <c r="E1601" s="8">
        <f>IF(B1601="Inactive", EDATE(D1601,K1601), "")</f>
        <v>45484</v>
      </c>
      <c r="F1601" t="s">
        <v>10</v>
      </c>
      <c r="G1601">
        <v>1.3</v>
      </c>
      <c r="H1601" t="str" cm="1">
        <f t="array" ref="H1601">_xlfn.IFS(G1601&gt;=20,"20-25", G1601&gt;=15,"15-20", G1601&gt;=10,"10-15", G1601&gt;=5,"5-10", G1601&gt;=1,"1-5", G1601&lt;1,"Less than 1")</f>
        <v>1-5</v>
      </c>
      <c r="I1601">
        <v>5</v>
      </c>
      <c r="J1601">
        <v>0</v>
      </c>
      <c r="K1601" s="6">
        <v>7</v>
      </c>
      <c r="L1601" s="2">
        <v>6.99</v>
      </c>
      <c r="M1601" s="6">
        <v>58</v>
      </c>
      <c r="N1601" t="str" cm="1">
        <f t="array" ref="N1601">_xlfn.IFS(M1601&gt;=50,"50-60 Days", M1601&gt;=40,"40-50 Days", M1601&gt;=30, "30-40 Days", M1601&gt;=20, "20-30 Days", M1601&gt;=10, "10-20 Days", M1601&gt;=0, "0-10 Days")</f>
        <v>50-60 Days</v>
      </c>
    </row>
    <row r="1602" spans="1:14">
      <c r="A1602">
        <v>1601</v>
      </c>
      <c r="B1602" t="s">
        <v>28</v>
      </c>
      <c r="C1602" s="5">
        <v>45364</v>
      </c>
      <c r="D1602" s="8">
        <v>45364</v>
      </c>
      <c r="E1602" s="8">
        <f>IF(B1602="Inactive", EDATE(D1602,K1602), "")</f>
        <v>45517</v>
      </c>
      <c r="F1602" t="s">
        <v>14</v>
      </c>
      <c r="G1602">
        <v>19.100000000000001</v>
      </c>
      <c r="H1602" t="str" cm="1">
        <f t="array" ref="H1602">_xlfn.IFS(G1602&gt;=20,"20-25", G1602&gt;=15,"15-20", G1602&gt;=10,"10-15", G1602&gt;=5,"5-10", G1602&gt;=1,"1-5", G1602&lt;1,"Less than 1")</f>
        <v>15-20</v>
      </c>
      <c r="I1602">
        <v>5</v>
      </c>
      <c r="J1602">
        <v>5</v>
      </c>
      <c r="K1602" s="6">
        <v>5</v>
      </c>
      <c r="L1602" s="2">
        <v>3.99</v>
      </c>
      <c r="M1602" s="6">
        <v>53</v>
      </c>
      <c r="N1602" t="str" cm="1">
        <f t="array" ref="N1602">_xlfn.IFS(M1602&gt;=50,"50-60 Days", M1602&gt;=40,"40-50 Days", M1602&gt;=30, "30-40 Days", M1602&gt;=20, "20-30 Days", M1602&gt;=10, "10-20 Days", M1602&gt;=0, "0-10 Days")</f>
        <v>50-60 Days</v>
      </c>
    </row>
    <row r="1603" spans="1:14">
      <c r="A1603">
        <v>1602</v>
      </c>
      <c r="B1603" t="s">
        <v>28</v>
      </c>
      <c r="C1603" s="5">
        <v>45621</v>
      </c>
      <c r="D1603" s="8">
        <v>45621</v>
      </c>
      <c r="E1603" s="8">
        <f>IF(B1603="Inactive", EDATE(D1603,K1603), "")</f>
        <v>45682</v>
      </c>
      <c r="F1603" t="s">
        <v>10</v>
      </c>
      <c r="G1603">
        <v>20.3</v>
      </c>
      <c r="H1603" t="str" cm="1">
        <f t="array" ref="H1603">_xlfn.IFS(G1603&gt;=20,"20-25", G1603&gt;=15,"15-20", G1603&gt;=10,"10-15", G1603&gt;=5,"5-10", G1603&gt;=1,"1-5", G1603&lt;1,"Less than 1")</f>
        <v>20-25</v>
      </c>
      <c r="I1603">
        <v>8</v>
      </c>
      <c r="J1603">
        <v>3</v>
      </c>
      <c r="K1603" s="6">
        <v>2</v>
      </c>
      <c r="L1603" s="2">
        <v>6.99</v>
      </c>
      <c r="M1603" s="6">
        <v>60</v>
      </c>
      <c r="N1603" t="str" cm="1">
        <f t="array" ref="N1603">_xlfn.IFS(M1603&gt;=50,"50-60 Days", M1603&gt;=40,"40-50 Days", M1603&gt;=30, "30-40 Days", M1603&gt;=20, "20-30 Days", M1603&gt;=10, "10-20 Days", M1603&gt;=0, "0-10 Days")</f>
        <v>50-60 Days</v>
      </c>
    </row>
    <row r="1604" spans="1:14">
      <c r="A1604">
        <v>1603</v>
      </c>
      <c r="B1604" t="s">
        <v>29</v>
      </c>
      <c r="C1604" s="5">
        <v>45405</v>
      </c>
      <c r="D1604" s="8">
        <v>45405</v>
      </c>
      <c r="E1604" s="8" t="str">
        <f>IF(B1604="Inactive", EDATE(D1604,K1604), "")</f>
        <v/>
      </c>
      <c r="F1604" t="s">
        <v>14</v>
      </c>
      <c r="G1604">
        <v>11.9</v>
      </c>
      <c r="H1604" t="str" cm="1">
        <f t="array" ref="H1604">_xlfn.IFS(G1604&gt;=20,"20-25", G1604&gt;=15,"15-20", G1604&gt;=10,"10-15", G1604&gt;=5,"5-10", G1604&gt;=1,"1-5", G1604&lt;1,"Less than 1")</f>
        <v>10-15</v>
      </c>
      <c r="I1604">
        <v>8</v>
      </c>
      <c r="J1604">
        <v>2</v>
      </c>
      <c r="K1604" s="6">
        <v>12</v>
      </c>
      <c r="L1604" s="2">
        <v>3.99</v>
      </c>
      <c r="M1604" s="6">
        <v>10</v>
      </c>
      <c r="N1604" t="str" cm="1">
        <f t="array" ref="N1604">_xlfn.IFS(M1604&gt;=50,"50-60 Days", M1604&gt;=40,"40-50 Days", M1604&gt;=30, "30-40 Days", M1604&gt;=20, "20-30 Days", M1604&gt;=10, "10-20 Days", M1604&gt;=0, "0-10 Days")</f>
        <v>10-20 Days</v>
      </c>
    </row>
    <row r="1605" spans="1:14">
      <c r="A1605">
        <v>1604</v>
      </c>
      <c r="B1605" t="s">
        <v>28</v>
      </c>
      <c r="C1605" s="5">
        <v>45207</v>
      </c>
      <c r="D1605" s="8">
        <v>45207</v>
      </c>
      <c r="E1605" s="8">
        <f>IF(B1605="Inactive", EDATE(D1605,K1605), "")</f>
        <v>45390</v>
      </c>
      <c r="F1605" t="s">
        <v>10</v>
      </c>
      <c r="G1605">
        <v>3.7</v>
      </c>
      <c r="H1605" t="str" cm="1">
        <f t="array" ref="H1605">_xlfn.IFS(G1605&gt;=20,"20-25", G1605&gt;=15,"15-20", G1605&gt;=10,"10-15", G1605&gt;=5,"5-10", G1605&gt;=1,"1-5", G1605&lt;1,"Less than 1")</f>
        <v>1-5</v>
      </c>
      <c r="I1605">
        <v>0</v>
      </c>
      <c r="J1605">
        <v>2</v>
      </c>
      <c r="K1605" s="6">
        <v>6</v>
      </c>
      <c r="L1605" s="2">
        <v>6.99</v>
      </c>
      <c r="M1605" s="6">
        <v>51</v>
      </c>
      <c r="N1605" t="str" cm="1">
        <f t="array" ref="N1605">_xlfn.IFS(M1605&gt;=50,"50-60 Days", M1605&gt;=40,"40-50 Days", M1605&gt;=30, "30-40 Days", M1605&gt;=20, "20-30 Days", M1605&gt;=10, "10-20 Days", M1605&gt;=0, "0-10 Days")</f>
        <v>50-60 Days</v>
      </c>
    </row>
    <row r="1606" spans="1:14">
      <c r="A1606">
        <v>1605</v>
      </c>
      <c r="B1606" t="s">
        <v>28</v>
      </c>
      <c r="C1606" s="5">
        <v>45557</v>
      </c>
      <c r="D1606" s="8">
        <v>45557</v>
      </c>
      <c r="E1606" s="8">
        <f>IF(B1606="Inactive", EDATE(D1606,K1606), "")</f>
        <v>45738</v>
      </c>
      <c r="F1606" t="s">
        <v>12</v>
      </c>
      <c r="G1606">
        <v>19.399999999999999</v>
      </c>
      <c r="H1606" t="str" cm="1">
        <f t="array" ref="H1606">_xlfn.IFS(G1606&gt;=20,"20-25", G1606&gt;=15,"15-20", G1606&gt;=10,"10-15", G1606&gt;=5,"5-10", G1606&gt;=1,"1-5", G1606&lt;1,"Less than 1")</f>
        <v>15-20</v>
      </c>
      <c r="I1606">
        <v>4</v>
      </c>
      <c r="J1606">
        <v>2</v>
      </c>
      <c r="K1606" s="6">
        <v>6</v>
      </c>
      <c r="L1606" s="2">
        <v>1.99</v>
      </c>
      <c r="M1606" s="6">
        <v>36</v>
      </c>
      <c r="N1606" t="str" cm="1">
        <f t="array" ref="N1606">_xlfn.IFS(M1606&gt;=50,"50-60 Days", M1606&gt;=40,"40-50 Days", M1606&gt;=30, "30-40 Days", M1606&gt;=20, "20-30 Days", M1606&gt;=10, "10-20 Days", M1606&gt;=0, "0-10 Days")</f>
        <v>30-40 Days</v>
      </c>
    </row>
    <row r="1607" spans="1:14">
      <c r="A1607">
        <v>1606</v>
      </c>
      <c r="B1607" t="s">
        <v>29</v>
      </c>
      <c r="C1607" s="5">
        <v>44939</v>
      </c>
      <c r="D1607" s="8">
        <v>44939</v>
      </c>
      <c r="E1607" s="8" t="str">
        <f>IF(B1607="Inactive", EDATE(D1607,K1607), "")</f>
        <v/>
      </c>
      <c r="F1607" t="s">
        <v>14</v>
      </c>
      <c r="G1607">
        <v>7.1</v>
      </c>
      <c r="H1607" t="str" cm="1">
        <f t="array" ref="H1607">_xlfn.IFS(G1607&gt;=20,"20-25", G1607&gt;=15,"15-20", G1607&gt;=10,"10-15", G1607&gt;=5,"5-10", G1607&gt;=1,"1-5", G1607&lt;1,"Less than 1")</f>
        <v>5-10</v>
      </c>
      <c r="I1607">
        <v>4</v>
      </c>
      <c r="J1607">
        <v>5</v>
      </c>
      <c r="K1607" s="6">
        <v>8</v>
      </c>
      <c r="L1607" s="2">
        <v>3.99</v>
      </c>
      <c r="M1607" s="6">
        <v>51</v>
      </c>
      <c r="N1607" t="str" cm="1">
        <f t="array" ref="N1607">_xlfn.IFS(M1607&gt;=50,"50-60 Days", M1607&gt;=40,"40-50 Days", M1607&gt;=30, "30-40 Days", M1607&gt;=20, "20-30 Days", M1607&gt;=10, "10-20 Days", M1607&gt;=0, "0-10 Days")</f>
        <v>50-60 Days</v>
      </c>
    </row>
    <row r="1608" spans="1:14">
      <c r="A1608">
        <v>1607</v>
      </c>
      <c r="B1608" t="s">
        <v>28</v>
      </c>
      <c r="C1608" s="5">
        <v>45400</v>
      </c>
      <c r="D1608" s="8">
        <v>45400</v>
      </c>
      <c r="E1608" s="8">
        <f>IF(B1608="Inactive", EDATE(D1608,K1608), "")</f>
        <v>45614</v>
      </c>
      <c r="F1608" t="s">
        <v>12</v>
      </c>
      <c r="G1608">
        <v>14.4</v>
      </c>
      <c r="H1608" t="str" cm="1">
        <f t="array" ref="H1608">_xlfn.IFS(G1608&gt;=20,"20-25", G1608&gt;=15,"15-20", G1608&gt;=10,"10-15", G1608&gt;=5,"5-10", G1608&gt;=1,"1-5", G1608&lt;1,"Less than 1")</f>
        <v>10-15</v>
      </c>
      <c r="I1608">
        <v>5</v>
      </c>
      <c r="J1608">
        <v>2</v>
      </c>
      <c r="K1608" s="6">
        <v>7</v>
      </c>
      <c r="L1608" s="2">
        <v>1.99</v>
      </c>
      <c r="M1608" s="6">
        <v>54</v>
      </c>
      <c r="N1608" t="str" cm="1">
        <f t="array" ref="N1608">_xlfn.IFS(M1608&gt;=50,"50-60 Days", M1608&gt;=40,"40-50 Days", M1608&gt;=30, "30-40 Days", M1608&gt;=20, "20-30 Days", M1608&gt;=10, "10-20 Days", M1608&gt;=0, "0-10 Days")</f>
        <v>50-60 Days</v>
      </c>
    </row>
    <row r="1609" spans="1:14">
      <c r="A1609">
        <v>1608</v>
      </c>
      <c r="B1609" t="s">
        <v>28</v>
      </c>
      <c r="C1609" s="5">
        <v>45496</v>
      </c>
      <c r="D1609" s="8">
        <v>45496</v>
      </c>
      <c r="E1609" s="8">
        <f>IF(B1609="Inactive", EDATE(D1609,K1609), "")</f>
        <v>45800</v>
      </c>
      <c r="F1609" t="s">
        <v>12</v>
      </c>
      <c r="G1609">
        <v>0.7</v>
      </c>
      <c r="H1609" t="str" cm="1">
        <f t="array" ref="H1609">_xlfn.IFS(G1609&gt;=20,"20-25", G1609&gt;=15,"15-20", G1609&gt;=10,"10-15", G1609&gt;=5,"5-10", G1609&gt;=1,"1-5", G1609&lt;1,"Less than 1")</f>
        <v>Less than 1</v>
      </c>
      <c r="I1609">
        <v>0</v>
      </c>
      <c r="J1609">
        <v>2</v>
      </c>
      <c r="K1609" s="6">
        <v>10</v>
      </c>
      <c r="L1609" s="2">
        <v>1.99</v>
      </c>
      <c r="M1609" s="6">
        <v>30</v>
      </c>
      <c r="N1609" t="str" cm="1">
        <f t="array" ref="N1609">_xlfn.IFS(M1609&gt;=50,"50-60 Days", M1609&gt;=40,"40-50 Days", M1609&gt;=30, "30-40 Days", M1609&gt;=20, "20-30 Days", M1609&gt;=10, "10-20 Days", M1609&gt;=0, "0-10 Days")</f>
        <v>30-40 Days</v>
      </c>
    </row>
    <row r="1610" spans="1:14">
      <c r="A1610">
        <v>1609</v>
      </c>
      <c r="B1610" t="s">
        <v>28</v>
      </c>
      <c r="C1610" s="5">
        <v>45248</v>
      </c>
      <c r="D1610" s="8">
        <v>45248</v>
      </c>
      <c r="E1610" s="8">
        <f>IF(B1610="Inactive", EDATE(D1610,K1610), "")</f>
        <v>45522</v>
      </c>
      <c r="F1610" t="s">
        <v>12</v>
      </c>
      <c r="G1610">
        <v>1.9</v>
      </c>
      <c r="H1610" t="str" cm="1">
        <f t="array" ref="H1610">_xlfn.IFS(G1610&gt;=20,"20-25", G1610&gt;=15,"15-20", G1610&gt;=10,"10-15", G1610&gt;=5,"5-10", G1610&gt;=1,"1-5", G1610&lt;1,"Less than 1")</f>
        <v>1-5</v>
      </c>
      <c r="I1610">
        <v>1</v>
      </c>
      <c r="J1610">
        <v>2</v>
      </c>
      <c r="K1610" s="6">
        <v>9</v>
      </c>
      <c r="L1610" s="2">
        <v>1.99</v>
      </c>
      <c r="M1610" s="6">
        <v>57</v>
      </c>
      <c r="N1610" t="str" cm="1">
        <f t="array" ref="N1610">_xlfn.IFS(M1610&gt;=50,"50-60 Days", M1610&gt;=40,"40-50 Days", M1610&gt;=30, "30-40 Days", M1610&gt;=20, "20-30 Days", M1610&gt;=10, "10-20 Days", M1610&gt;=0, "0-10 Days")</f>
        <v>50-60 Days</v>
      </c>
    </row>
    <row r="1611" spans="1:14">
      <c r="A1611">
        <v>1610</v>
      </c>
      <c r="B1611" t="s">
        <v>28</v>
      </c>
      <c r="C1611" s="5">
        <v>45159</v>
      </c>
      <c r="D1611" s="8">
        <v>45159</v>
      </c>
      <c r="E1611" s="8">
        <f>IF(B1611="Inactive", EDATE(D1611,K1611), "")</f>
        <v>45464</v>
      </c>
      <c r="F1611" t="s">
        <v>12</v>
      </c>
      <c r="G1611">
        <v>4.9000000000000004</v>
      </c>
      <c r="H1611" t="str" cm="1">
        <f t="array" ref="H1611">_xlfn.IFS(G1611&gt;=20,"20-25", G1611&gt;=15,"15-20", G1611&gt;=10,"10-15", G1611&gt;=5,"5-10", G1611&gt;=1,"1-5", G1611&lt;1,"Less than 1")</f>
        <v>1-5</v>
      </c>
      <c r="I1611">
        <v>4</v>
      </c>
      <c r="J1611">
        <v>2</v>
      </c>
      <c r="K1611" s="6">
        <v>10</v>
      </c>
      <c r="L1611" s="2">
        <v>1.99</v>
      </c>
      <c r="M1611" s="6">
        <v>55</v>
      </c>
      <c r="N1611" t="str" cm="1">
        <f t="array" ref="N1611">_xlfn.IFS(M1611&gt;=50,"50-60 Days", M1611&gt;=40,"40-50 Days", M1611&gt;=30, "30-40 Days", M1611&gt;=20, "20-30 Days", M1611&gt;=10, "10-20 Days", M1611&gt;=0, "0-10 Days")</f>
        <v>50-60 Days</v>
      </c>
    </row>
    <row r="1612" spans="1:14">
      <c r="A1612">
        <v>1611</v>
      </c>
      <c r="B1612" t="s">
        <v>29</v>
      </c>
      <c r="C1612" s="5">
        <v>45115</v>
      </c>
      <c r="D1612" s="8">
        <v>45115</v>
      </c>
      <c r="E1612" s="8" t="str">
        <f>IF(B1612="Inactive", EDATE(D1612,K1612), "")</f>
        <v/>
      </c>
      <c r="F1612" t="s">
        <v>10</v>
      </c>
      <c r="G1612">
        <v>4.0999999999999996</v>
      </c>
      <c r="H1612" t="str" cm="1">
        <f t="array" ref="H1612">_xlfn.IFS(G1612&gt;=20,"20-25", G1612&gt;=15,"15-20", G1612&gt;=10,"10-15", G1612&gt;=5,"5-10", G1612&gt;=1,"1-5", G1612&lt;1,"Less than 1")</f>
        <v>1-5</v>
      </c>
      <c r="I1612">
        <v>0</v>
      </c>
      <c r="J1612">
        <v>1</v>
      </c>
      <c r="K1612" s="6">
        <v>4</v>
      </c>
      <c r="L1612" s="2">
        <v>6.99</v>
      </c>
      <c r="M1612" s="6">
        <v>7</v>
      </c>
      <c r="N1612" t="str" cm="1">
        <f t="array" ref="N1612">_xlfn.IFS(M1612&gt;=50,"50-60 Days", M1612&gt;=40,"40-50 Days", M1612&gt;=30, "30-40 Days", M1612&gt;=20, "20-30 Days", M1612&gt;=10, "10-20 Days", M1612&gt;=0, "0-10 Days")</f>
        <v>0-10 Days</v>
      </c>
    </row>
    <row r="1613" spans="1:14">
      <c r="A1613">
        <v>1612</v>
      </c>
      <c r="B1613" t="s">
        <v>29</v>
      </c>
      <c r="C1613" s="5">
        <v>44989</v>
      </c>
      <c r="D1613" s="8">
        <v>44989</v>
      </c>
      <c r="E1613" s="8" t="str">
        <f>IF(B1613="Inactive", EDATE(D1613,K1613), "")</f>
        <v/>
      </c>
      <c r="F1613" t="s">
        <v>10</v>
      </c>
      <c r="G1613">
        <v>21.6</v>
      </c>
      <c r="H1613" t="str" cm="1">
        <f t="array" ref="H1613">_xlfn.IFS(G1613&gt;=20,"20-25", G1613&gt;=15,"15-20", G1613&gt;=10,"10-15", G1613&gt;=5,"5-10", G1613&gt;=1,"1-5", G1613&lt;1,"Less than 1")</f>
        <v>20-25</v>
      </c>
      <c r="I1613">
        <v>5</v>
      </c>
      <c r="J1613">
        <v>0</v>
      </c>
      <c r="K1613" s="6">
        <v>11</v>
      </c>
      <c r="L1613" s="2">
        <v>6.99</v>
      </c>
      <c r="M1613" s="6">
        <v>35</v>
      </c>
      <c r="N1613" t="str" cm="1">
        <f t="array" ref="N1613">_xlfn.IFS(M1613&gt;=50,"50-60 Days", M1613&gt;=40,"40-50 Days", M1613&gt;=30, "30-40 Days", M1613&gt;=20, "20-30 Days", M1613&gt;=10, "10-20 Days", M1613&gt;=0, "0-10 Days")</f>
        <v>30-40 Days</v>
      </c>
    </row>
    <row r="1614" spans="1:14">
      <c r="A1614">
        <v>1613</v>
      </c>
      <c r="B1614" t="s">
        <v>29</v>
      </c>
      <c r="C1614" s="5">
        <v>45288</v>
      </c>
      <c r="D1614" s="8">
        <v>45288</v>
      </c>
      <c r="E1614" s="8" t="str">
        <f>IF(B1614="Inactive", EDATE(D1614,K1614), "")</f>
        <v/>
      </c>
      <c r="F1614" t="s">
        <v>10</v>
      </c>
      <c r="G1614">
        <v>24.4</v>
      </c>
      <c r="H1614" t="str" cm="1">
        <f t="array" ref="H1614">_xlfn.IFS(G1614&gt;=20,"20-25", G1614&gt;=15,"15-20", G1614&gt;=10,"10-15", G1614&gt;=5,"5-10", G1614&gt;=1,"1-5", G1614&lt;1,"Less than 1")</f>
        <v>20-25</v>
      </c>
      <c r="I1614">
        <v>0</v>
      </c>
      <c r="J1614">
        <v>5</v>
      </c>
      <c r="K1614" s="6">
        <v>6</v>
      </c>
      <c r="L1614" s="2">
        <v>6.99</v>
      </c>
      <c r="M1614" s="6">
        <v>54</v>
      </c>
      <c r="N1614" t="str" cm="1">
        <f t="array" ref="N1614">_xlfn.IFS(M1614&gt;=50,"50-60 Days", M1614&gt;=40,"40-50 Days", M1614&gt;=30, "30-40 Days", M1614&gt;=20, "20-30 Days", M1614&gt;=10, "10-20 Days", M1614&gt;=0, "0-10 Days")</f>
        <v>50-60 Days</v>
      </c>
    </row>
    <row r="1615" spans="1:14">
      <c r="A1615">
        <v>1614</v>
      </c>
      <c r="B1615" t="s">
        <v>29</v>
      </c>
      <c r="C1615" s="5">
        <v>45042</v>
      </c>
      <c r="D1615" s="8">
        <v>45042</v>
      </c>
      <c r="E1615" s="8" t="str">
        <f>IF(B1615="Inactive", EDATE(D1615,K1615), "")</f>
        <v/>
      </c>
      <c r="F1615" t="s">
        <v>10</v>
      </c>
      <c r="G1615">
        <v>15.2</v>
      </c>
      <c r="H1615" t="str" cm="1">
        <f t="array" ref="H1615">_xlfn.IFS(G1615&gt;=20,"20-25", G1615&gt;=15,"15-20", G1615&gt;=10,"10-15", G1615&gt;=5,"5-10", G1615&gt;=1,"1-5", G1615&lt;1,"Less than 1")</f>
        <v>15-20</v>
      </c>
      <c r="I1615">
        <v>5</v>
      </c>
      <c r="J1615">
        <v>0</v>
      </c>
      <c r="K1615" s="6">
        <v>1</v>
      </c>
      <c r="L1615" s="2">
        <v>6.99</v>
      </c>
      <c r="M1615" s="6">
        <v>4</v>
      </c>
      <c r="N1615" t="str" cm="1">
        <f t="array" ref="N1615">_xlfn.IFS(M1615&gt;=50,"50-60 Days", M1615&gt;=40,"40-50 Days", M1615&gt;=30, "30-40 Days", M1615&gt;=20, "20-30 Days", M1615&gt;=10, "10-20 Days", M1615&gt;=0, "0-10 Days")</f>
        <v>0-10 Days</v>
      </c>
    </row>
    <row r="1616" spans="1:14">
      <c r="A1616">
        <v>1615</v>
      </c>
      <c r="B1616" t="s">
        <v>29</v>
      </c>
      <c r="C1616" s="5">
        <v>45624</v>
      </c>
      <c r="D1616" s="8">
        <v>45624</v>
      </c>
      <c r="E1616" s="8" t="str">
        <f>IF(B1616="Inactive", EDATE(D1616,K1616), "")</f>
        <v/>
      </c>
      <c r="F1616" t="s">
        <v>10</v>
      </c>
      <c r="G1616">
        <v>6.3</v>
      </c>
      <c r="H1616" t="str" cm="1">
        <f t="array" ref="H1616">_xlfn.IFS(G1616&gt;=20,"20-25", G1616&gt;=15,"15-20", G1616&gt;=10,"10-15", G1616&gt;=5,"5-10", G1616&gt;=1,"1-5", G1616&lt;1,"Less than 1")</f>
        <v>5-10</v>
      </c>
      <c r="I1616">
        <v>5</v>
      </c>
      <c r="J1616">
        <v>4</v>
      </c>
      <c r="K1616" s="6">
        <v>2</v>
      </c>
      <c r="L1616" s="2">
        <v>6.99</v>
      </c>
      <c r="M1616" s="6">
        <v>23</v>
      </c>
      <c r="N1616" t="str" cm="1">
        <f t="array" ref="N1616">_xlfn.IFS(M1616&gt;=50,"50-60 Days", M1616&gt;=40,"40-50 Days", M1616&gt;=30, "30-40 Days", M1616&gt;=20, "20-30 Days", M1616&gt;=10, "10-20 Days", M1616&gt;=0, "0-10 Days")</f>
        <v>20-30 Days</v>
      </c>
    </row>
    <row r="1617" spans="1:14">
      <c r="A1617">
        <v>1616</v>
      </c>
      <c r="B1617" t="s">
        <v>29</v>
      </c>
      <c r="C1617" s="5">
        <v>45295</v>
      </c>
      <c r="D1617" s="8">
        <v>45295</v>
      </c>
      <c r="E1617" s="8" t="str">
        <f>IF(B1617="Inactive", EDATE(D1617,K1617), "")</f>
        <v/>
      </c>
      <c r="F1617" t="s">
        <v>14</v>
      </c>
      <c r="G1617">
        <v>16.2</v>
      </c>
      <c r="H1617" t="str" cm="1">
        <f t="array" ref="H1617">_xlfn.IFS(G1617&gt;=20,"20-25", G1617&gt;=15,"15-20", G1617&gt;=10,"10-15", G1617&gt;=5,"5-10", G1617&gt;=1,"1-5", G1617&lt;1,"Less than 1")</f>
        <v>15-20</v>
      </c>
      <c r="I1617">
        <v>4</v>
      </c>
      <c r="J1617">
        <v>1</v>
      </c>
      <c r="K1617" s="6">
        <v>2</v>
      </c>
      <c r="L1617" s="2">
        <v>3.99</v>
      </c>
      <c r="M1617" s="6">
        <v>1</v>
      </c>
      <c r="N1617" t="str" cm="1">
        <f t="array" ref="N1617">_xlfn.IFS(M1617&gt;=50,"50-60 Days", M1617&gt;=40,"40-50 Days", M1617&gt;=30, "30-40 Days", M1617&gt;=20, "20-30 Days", M1617&gt;=10, "10-20 Days", M1617&gt;=0, "0-10 Days")</f>
        <v>0-10 Days</v>
      </c>
    </row>
    <row r="1618" spans="1:14">
      <c r="A1618">
        <v>1617</v>
      </c>
      <c r="B1618" t="s">
        <v>29</v>
      </c>
      <c r="C1618" s="5">
        <v>45563</v>
      </c>
      <c r="D1618" s="8">
        <v>45563</v>
      </c>
      <c r="E1618" s="8" t="str">
        <f>IF(B1618="Inactive", EDATE(D1618,K1618), "")</f>
        <v/>
      </c>
      <c r="F1618" t="s">
        <v>14</v>
      </c>
      <c r="G1618">
        <v>22.5</v>
      </c>
      <c r="H1618" t="str" cm="1">
        <f t="array" ref="H1618">_xlfn.IFS(G1618&gt;=20,"20-25", G1618&gt;=15,"15-20", G1618&gt;=10,"10-15", G1618&gt;=5,"5-10", G1618&gt;=1,"1-5", G1618&lt;1,"Less than 1")</f>
        <v>20-25</v>
      </c>
      <c r="I1618">
        <v>5</v>
      </c>
      <c r="J1618">
        <v>3</v>
      </c>
      <c r="K1618" s="6">
        <v>9</v>
      </c>
      <c r="L1618" s="2">
        <v>3.99</v>
      </c>
      <c r="M1618" s="6">
        <v>60</v>
      </c>
      <c r="N1618" t="str" cm="1">
        <f t="array" ref="N1618">_xlfn.IFS(M1618&gt;=50,"50-60 Days", M1618&gt;=40,"40-50 Days", M1618&gt;=30, "30-40 Days", M1618&gt;=20, "20-30 Days", M1618&gt;=10, "10-20 Days", M1618&gt;=0, "0-10 Days")</f>
        <v>50-60 Days</v>
      </c>
    </row>
    <row r="1619" spans="1:14">
      <c r="A1619">
        <v>1618</v>
      </c>
      <c r="B1619" t="s">
        <v>29</v>
      </c>
      <c r="C1619" s="5">
        <v>45035</v>
      </c>
      <c r="D1619" s="8">
        <v>45035</v>
      </c>
      <c r="E1619" s="8" t="str">
        <f>IF(B1619="Inactive", EDATE(D1619,K1619), "")</f>
        <v/>
      </c>
      <c r="F1619" t="s">
        <v>12</v>
      </c>
      <c r="G1619">
        <v>9.5</v>
      </c>
      <c r="H1619" t="str" cm="1">
        <f t="array" ref="H1619">_xlfn.IFS(G1619&gt;=20,"20-25", G1619&gt;=15,"15-20", G1619&gt;=10,"10-15", G1619&gt;=5,"5-10", G1619&gt;=1,"1-5", G1619&lt;1,"Less than 1")</f>
        <v>5-10</v>
      </c>
      <c r="I1619">
        <v>4</v>
      </c>
      <c r="J1619">
        <v>1</v>
      </c>
      <c r="K1619" s="6">
        <v>4</v>
      </c>
      <c r="L1619" s="2">
        <v>1.99</v>
      </c>
      <c r="M1619" s="6">
        <v>58</v>
      </c>
      <c r="N1619" t="str" cm="1">
        <f t="array" ref="N1619">_xlfn.IFS(M1619&gt;=50,"50-60 Days", M1619&gt;=40,"40-50 Days", M1619&gt;=30, "30-40 Days", M1619&gt;=20, "20-30 Days", M1619&gt;=10, "10-20 Days", M1619&gt;=0, "0-10 Days")</f>
        <v>50-60 Days</v>
      </c>
    </row>
    <row r="1620" spans="1:14">
      <c r="A1620">
        <v>1619</v>
      </c>
      <c r="B1620" t="s">
        <v>28</v>
      </c>
      <c r="C1620" s="5">
        <v>45522</v>
      </c>
      <c r="D1620" s="8">
        <v>45522</v>
      </c>
      <c r="E1620" s="8">
        <f>IF(B1620="Inactive", EDATE(D1620,K1620), "")</f>
        <v>45675</v>
      </c>
      <c r="F1620" t="s">
        <v>10</v>
      </c>
      <c r="G1620">
        <v>20.3</v>
      </c>
      <c r="H1620" t="str" cm="1">
        <f t="array" ref="H1620">_xlfn.IFS(G1620&gt;=20,"20-25", G1620&gt;=15,"15-20", G1620&gt;=10,"10-15", G1620&gt;=5,"5-10", G1620&gt;=1,"1-5", G1620&lt;1,"Less than 1")</f>
        <v>20-25</v>
      </c>
      <c r="I1620">
        <v>8</v>
      </c>
      <c r="J1620">
        <v>5</v>
      </c>
      <c r="K1620" s="6">
        <v>5</v>
      </c>
      <c r="L1620" s="2">
        <v>6.99</v>
      </c>
      <c r="M1620" s="6">
        <v>49</v>
      </c>
      <c r="N1620" t="str" cm="1">
        <f t="array" ref="N1620">_xlfn.IFS(M1620&gt;=50,"50-60 Days", M1620&gt;=40,"40-50 Days", M1620&gt;=30, "30-40 Days", M1620&gt;=20, "20-30 Days", M1620&gt;=10, "10-20 Days", M1620&gt;=0, "0-10 Days")</f>
        <v>40-50 Days</v>
      </c>
    </row>
    <row r="1621" spans="1:14">
      <c r="A1621">
        <v>1620</v>
      </c>
      <c r="B1621" t="s">
        <v>29</v>
      </c>
      <c r="C1621" s="5">
        <v>45080</v>
      </c>
      <c r="D1621" s="8">
        <v>45080</v>
      </c>
      <c r="E1621" s="8" t="str">
        <f>IF(B1621="Inactive", EDATE(D1621,K1621), "")</f>
        <v/>
      </c>
      <c r="F1621" t="s">
        <v>10</v>
      </c>
      <c r="G1621">
        <v>23.5</v>
      </c>
      <c r="H1621" t="str" cm="1">
        <f t="array" ref="H1621">_xlfn.IFS(G1621&gt;=20,"20-25", G1621&gt;=15,"15-20", G1621&gt;=10,"10-15", G1621&gt;=5,"5-10", G1621&gt;=1,"1-5", G1621&lt;1,"Less than 1")</f>
        <v>20-25</v>
      </c>
      <c r="I1621">
        <v>6</v>
      </c>
      <c r="J1621">
        <v>4</v>
      </c>
      <c r="K1621" s="6">
        <v>8</v>
      </c>
      <c r="L1621" s="2">
        <v>6.99</v>
      </c>
      <c r="M1621" s="6">
        <v>2</v>
      </c>
      <c r="N1621" t="str" cm="1">
        <f t="array" ref="N1621">_xlfn.IFS(M1621&gt;=50,"50-60 Days", M1621&gt;=40,"40-50 Days", M1621&gt;=30, "30-40 Days", M1621&gt;=20, "20-30 Days", M1621&gt;=10, "10-20 Days", M1621&gt;=0, "0-10 Days")</f>
        <v>0-10 Days</v>
      </c>
    </row>
    <row r="1622" spans="1:14">
      <c r="A1622">
        <v>1621</v>
      </c>
      <c r="B1622" t="s">
        <v>29</v>
      </c>
      <c r="C1622" s="5">
        <v>45572</v>
      </c>
      <c r="D1622" s="8">
        <v>45572</v>
      </c>
      <c r="E1622" s="8" t="str">
        <f>IF(B1622="Inactive", EDATE(D1622,K1622), "")</f>
        <v/>
      </c>
      <c r="F1622" t="s">
        <v>14</v>
      </c>
      <c r="G1622">
        <v>23.9</v>
      </c>
      <c r="H1622" t="str" cm="1">
        <f t="array" ref="H1622">_xlfn.IFS(G1622&gt;=20,"20-25", G1622&gt;=15,"15-20", G1622&gt;=10,"10-15", G1622&gt;=5,"5-10", G1622&gt;=1,"1-5", G1622&lt;1,"Less than 1")</f>
        <v>20-25</v>
      </c>
      <c r="I1622">
        <v>3</v>
      </c>
      <c r="J1622">
        <v>4</v>
      </c>
      <c r="K1622" s="6">
        <v>2</v>
      </c>
      <c r="L1622" s="2">
        <v>3.99</v>
      </c>
      <c r="M1622" s="6">
        <v>32</v>
      </c>
      <c r="N1622" t="str" cm="1">
        <f t="array" ref="N1622">_xlfn.IFS(M1622&gt;=50,"50-60 Days", M1622&gt;=40,"40-50 Days", M1622&gt;=30, "30-40 Days", M1622&gt;=20, "20-30 Days", M1622&gt;=10, "10-20 Days", M1622&gt;=0, "0-10 Days")</f>
        <v>30-40 Days</v>
      </c>
    </row>
    <row r="1623" spans="1:14">
      <c r="A1623">
        <v>1622</v>
      </c>
      <c r="B1623" t="s">
        <v>28</v>
      </c>
      <c r="C1623" s="5">
        <v>45410</v>
      </c>
      <c r="D1623" s="8">
        <v>45410</v>
      </c>
      <c r="E1623" s="8">
        <f>IF(B1623="Inactive", EDATE(D1623,K1623), "")</f>
        <v>45685</v>
      </c>
      <c r="F1623" t="s">
        <v>10</v>
      </c>
      <c r="G1623">
        <v>13.7</v>
      </c>
      <c r="H1623" t="str" cm="1">
        <f t="array" ref="H1623">_xlfn.IFS(G1623&gt;=20,"20-25", G1623&gt;=15,"15-20", G1623&gt;=10,"10-15", G1623&gt;=5,"5-10", G1623&gt;=1,"1-5", G1623&lt;1,"Less than 1")</f>
        <v>10-15</v>
      </c>
      <c r="I1623">
        <v>1</v>
      </c>
      <c r="J1623">
        <v>4</v>
      </c>
      <c r="K1623" s="6">
        <v>9</v>
      </c>
      <c r="L1623" s="2">
        <v>6.99</v>
      </c>
      <c r="M1623" s="6">
        <v>51</v>
      </c>
      <c r="N1623" t="str" cm="1">
        <f t="array" ref="N1623">_xlfn.IFS(M1623&gt;=50,"50-60 Days", M1623&gt;=40,"40-50 Days", M1623&gt;=30, "30-40 Days", M1623&gt;=20, "20-30 Days", M1623&gt;=10, "10-20 Days", M1623&gt;=0, "0-10 Days")</f>
        <v>50-60 Days</v>
      </c>
    </row>
    <row r="1624" spans="1:14">
      <c r="A1624">
        <v>1623</v>
      </c>
      <c r="B1624" t="s">
        <v>29</v>
      </c>
      <c r="C1624" s="5">
        <v>45227</v>
      </c>
      <c r="D1624" s="8">
        <v>45227</v>
      </c>
      <c r="E1624" s="8" t="str">
        <f>IF(B1624="Inactive", EDATE(D1624,K1624), "")</f>
        <v/>
      </c>
      <c r="F1624" t="s">
        <v>10</v>
      </c>
      <c r="G1624">
        <v>13.2</v>
      </c>
      <c r="H1624" t="str" cm="1">
        <f t="array" ref="H1624">_xlfn.IFS(G1624&gt;=20,"20-25", G1624&gt;=15,"15-20", G1624&gt;=10,"10-15", G1624&gt;=5,"5-10", G1624&gt;=1,"1-5", G1624&lt;1,"Less than 1")</f>
        <v>10-15</v>
      </c>
      <c r="I1624">
        <v>5</v>
      </c>
      <c r="J1624">
        <v>2</v>
      </c>
      <c r="K1624" s="6">
        <v>12</v>
      </c>
      <c r="L1624" s="2">
        <v>6.99</v>
      </c>
      <c r="M1624" s="6">
        <v>12</v>
      </c>
      <c r="N1624" t="str" cm="1">
        <f t="array" ref="N1624">_xlfn.IFS(M1624&gt;=50,"50-60 Days", M1624&gt;=40,"40-50 Days", M1624&gt;=30, "30-40 Days", M1624&gt;=20, "20-30 Days", M1624&gt;=10, "10-20 Days", M1624&gt;=0, "0-10 Days")</f>
        <v>10-20 Days</v>
      </c>
    </row>
    <row r="1625" spans="1:14">
      <c r="A1625">
        <v>1624</v>
      </c>
      <c r="B1625" t="s">
        <v>28</v>
      </c>
      <c r="C1625" s="5">
        <v>45045</v>
      </c>
      <c r="D1625" s="8">
        <v>45045</v>
      </c>
      <c r="E1625" s="8">
        <f>IF(B1625="Inactive", EDATE(D1625,K1625), "")</f>
        <v>45289</v>
      </c>
      <c r="F1625" t="s">
        <v>12</v>
      </c>
      <c r="G1625">
        <v>6.5</v>
      </c>
      <c r="H1625" t="str" cm="1">
        <f t="array" ref="H1625">_xlfn.IFS(G1625&gt;=20,"20-25", G1625&gt;=15,"15-20", G1625&gt;=10,"10-15", G1625&gt;=5,"5-10", G1625&gt;=1,"1-5", G1625&lt;1,"Less than 1")</f>
        <v>5-10</v>
      </c>
      <c r="I1625">
        <v>5</v>
      </c>
      <c r="J1625">
        <v>1</v>
      </c>
      <c r="K1625" s="6">
        <v>8</v>
      </c>
      <c r="L1625" s="2">
        <v>1.99</v>
      </c>
      <c r="M1625" s="6">
        <v>29</v>
      </c>
      <c r="N1625" t="str" cm="1">
        <f t="array" ref="N1625">_xlfn.IFS(M1625&gt;=50,"50-60 Days", M1625&gt;=40,"40-50 Days", M1625&gt;=30, "30-40 Days", M1625&gt;=20, "20-30 Days", M1625&gt;=10, "10-20 Days", M1625&gt;=0, "0-10 Days")</f>
        <v>20-30 Days</v>
      </c>
    </row>
    <row r="1626" spans="1:14">
      <c r="A1626">
        <v>1625</v>
      </c>
      <c r="B1626" t="s">
        <v>28</v>
      </c>
      <c r="C1626" s="5">
        <v>45444</v>
      </c>
      <c r="D1626" s="8">
        <v>45444</v>
      </c>
      <c r="E1626" s="8">
        <f>IF(B1626="Inactive", EDATE(D1626,K1626), "")</f>
        <v>45627</v>
      </c>
      <c r="F1626" t="s">
        <v>10</v>
      </c>
      <c r="G1626">
        <v>11.4</v>
      </c>
      <c r="H1626" t="str" cm="1">
        <f t="array" ref="H1626">_xlfn.IFS(G1626&gt;=20,"20-25", G1626&gt;=15,"15-20", G1626&gt;=10,"10-15", G1626&gt;=5,"5-10", G1626&gt;=1,"1-5", G1626&lt;1,"Less than 1")</f>
        <v>10-15</v>
      </c>
      <c r="I1626">
        <v>6</v>
      </c>
      <c r="J1626">
        <v>2</v>
      </c>
      <c r="K1626" s="6">
        <v>6</v>
      </c>
      <c r="L1626" s="2">
        <v>6.99</v>
      </c>
      <c r="M1626" s="6">
        <v>5</v>
      </c>
      <c r="N1626" t="str" cm="1">
        <f t="array" ref="N1626">_xlfn.IFS(M1626&gt;=50,"50-60 Days", M1626&gt;=40,"40-50 Days", M1626&gt;=30, "30-40 Days", M1626&gt;=20, "20-30 Days", M1626&gt;=10, "10-20 Days", M1626&gt;=0, "0-10 Days")</f>
        <v>0-10 Days</v>
      </c>
    </row>
    <row r="1627" spans="1:14">
      <c r="A1627">
        <v>1626</v>
      </c>
      <c r="B1627" t="s">
        <v>28</v>
      </c>
      <c r="C1627" s="5">
        <v>45510</v>
      </c>
      <c r="D1627" s="8">
        <v>45510</v>
      </c>
      <c r="E1627" s="8">
        <f>IF(B1627="Inactive", EDATE(D1627,K1627), "")</f>
        <v>45753</v>
      </c>
      <c r="F1627" t="s">
        <v>12</v>
      </c>
      <c r="G1627">
        <v>16.5</v>
      </c>
      <c r="H1627" t="str" cm="1">
        <f t="array" ref="H1627">_xlfn.IFS(G1627&gt;=20,"20-25", G1627&gt;=15,"15-20", G1627&gt;=10,"10-15", G1627&gt;=5,"5-10", G1627&gt;=1,"1-5", G1627&lt;1,"Less than 1")</f>
        <v>15-20</v>
      </c>
      <c r="I1627">
        <v>3</v>
      </c>
      <c r="J1627">
        <v>3</v>
      </c>
      <c r="K1627" s="6">
        <v>8</v>
      </c>
      <c r="L1627" s="2">
        <v>1.99</v>
      </c>
      <c r="M1627" s="6">
        <v>50</v>
      </c>
      <c r="N1627" t="str" cm="1">
        <f t="array" ref="N1627">_xlfn.IFS(M1627&gt;=50,"50-60 Days", M1627&gt;=40,"40-50 Days", M1627&gt;=30, "30-40 Days", M1627&gt;=20, "20-30 Days", M1627&gt;=10, "10-20 Days", M1627&gt;=0, "0-10 Days")</f>
        <v>50-60 Days</v>
      </c>
    </row>
    <row r="1628" spans="1:14">
      <c r="A1628">
        <v>1627</v>
      </c>
      <c r="B1628" t="s">
        <v>28</v>
      </c>
      <c r="C1628" s="5">
        <v>45547</v>
      </c>
      <c r="D1628" s="8">
        <v>45547</v>
      </c>
      <c r="E1628" s="8">
        <f>IF(B1628="Inactive", EDATE(D1628,K1628), "")</f>
        <v>45912</v>
      </c>
      <c r="F1628" t="s">
        <v>12</v>
      </c>
      <c r="G1628">
        <v>6.5</v>
      </c>
      <c r="H1628" t="str" cm="1">
        <f t="array" ref="H1628">_xlfn.IFS(G1628&gt;=20,"20-25", G1628&gt;=15,"15-20", G1628&gt;=10,"10-15", G1628&gt;=5,"5-10", G1628&gt;=1,"1-5", G1628&lt;1,"Less than 1")</f>
        <v>5-10</v>
      </c>
      <c r="I1628">
        <v>6</v>
      </c>
      <c r="J1628">
        <v>5</v>
      </c>
      <c r="K1628" s="6">
        <v>12</v>
      </c>
      <c r="L1628" s="2">
        <v>1.99</v>
      </c>
      <c r="M1628" s="6">
        <v>37</v>
      </c>
      <c r="N1628" t="str" cm="1">
        <f t="array" ref="N1628">_xlfn.IFS(M1628&gt;=50,"50-60 Days", M1628&gt;=40,"40-50 Days", M1628&gt;=30, "30-40 Days", M1628&gt;=20, "20-30 Days", M1628&gt;=10, "10-20 Days", M1628&gt;=0, "0-10 Days")</f>
        <v>30-40 Days</v>
      </c>
    </row>
    <row r="1629" spans="1:14">
      <c r="A1629">
        <v>1628</v>
      </c>
      <c r="B1629" t="s">
        <v>29</v>
      </c>
      <c r="C1629" s="5">
        <v>45078</v>
      </c>
      <c r="D1629" s="8">
        <v>45078</v>
      </c>
      <c r="E1629" s="8" t="str">
        <f>IF(B1629="Inactive", EDATE(D1629,K1629), "")</f>
        <v/>
      </c>
      <c r="F1629" t="s">
        <v>14</v>
      </c>
      <c r="G1629">
        <v>8.9</v>
      </c>
      <c r="H1629" t="str" cm="1">
        <f t="array" ref="H1629">_xlfn.IFS(G1629&gt;=20,"20-25", G1629&gt;=15,"15-20", G1629&gt;=10,"10-15", G1629&gt;=5,"5-10", G1629&gt;=1,"1-5", G1629&lt;1,"Less than 1")</f>
        <v>5-10</v>
      </c>
      <c r="I1629">
        <v>1</v>
      </c>
      <c r="J1629">
        <v>0</v>
      </c>
      <c r="K1629" s="6">
        <v>7</v>
      </c>
      <c r="L1629" s="2">
        <v>3.99</v>
      </c>
      <c r="M1629" s="6">
        <v>26</v>
      </c>
      <c r="N1629" t="str" cm="1">
        <f t="array" ref="N1629">_xlfn.IFS(M1629&gt;=50,"50-60 Days", M1629&gt;=40,"40-50 Days", M1629&gt;=30, "30-40 Days", M1629&gt;=20, "20-30 Days", M1629&gt;=10, "10-20 Days", M1629&gt;=0, "0-10 Days")</f>
        <v>20-30 Days</v>
      </c>
    </row>
    <row r="1630" spans="1:14">
      <c r="A1630">
        <v>1629</v>
      </c>
      <c r="B1630" t="s">
        <v>29</v>
      </c>
      <c r="C1630" s="5">
        <v>45097</v>
      </c>
      <c r="D1630" s="8">
        <v>45097</v>
      </c>
      <c r="E1630" s="8" t="str">
        <f>IF(B1630="Inactive", EDATE(D1630,K1630), "")</f>
        <v/>
      </c>
      <c r="F1630" t="s">
        <v>10</v>
      </c>
      <c r="G1630">
        <v>16</v>
      </c>
      <c r="H1630" t="str" cm="1">
        <f t="array" ref="H1630">_xlfn.IFS(G1630&gt;=20,"20-25", G1630&gt;=15,"15-20", G1630&gt;=10,"10-15", G1630&gt;=5,"5-10", G1630&gt;=1,"1-5", G1630&lt;1,"Less than 1")</f>
        <v>15-20</v>
      </c>
      <c r="I1630">
        <v>3</v>
      </c>
      <c r="J1630">
        <v>1</v>
      </c>
      <c r="K1630" s="6">
        <v>11</v>
      </c>
      <c r="L1630" s="2">
        <v>6.99</v>
      </c>
      <c r="M1630" s="6">
        <v>56</v>
      </c>
      <c r="N1630" t="str" cm="1">
        <f t="array" ref="N1630">_xlfn.IFS(M1630&gt;=50,"50-60 Days", M1630&gt;=40,"40-50 Days", M1630&gt;=30, "30-40 Days", M1630&gt;=20, "20-30 Days", M1630&gt;=10, "10-20 Days", M1630&gt;=0, "0-10 Days")</f>
        <v>50-60 Days</v>
      </c>
    </row>
    <row r="1631" spans="1:14">
      <c r="A1631">
        <v>1630</v>
      </c>
      <c r="B1631" t="s">
        <v>28</v>
      </c>
      <c r="C1631" s="5">
        <v>45030</v>
      </c>
      <c r="D1631" s="8">
        <v>45030</v>
      </c>
      <c r="E1631" s="8">
        <f>IF(B1631="Inactive", EDATE(D1631,K1631), "")</f>
        <v>45305</v>
      </c>
      <c r="F1631" t="s">
        <v>12</v>
      </c>
      <c r="G1631">
        <v>7</v>
      </c>
      <c r="H1631" t="str" cm="1">
        <f t="array" ref="H1631">_xlfn.IFS(G1631&gt;=20,"20-25", G1631&gt;=15,"15-20", G1631&gt;=10,"10-15", G1631&gt;=5,"5-10", G1631&gt;=1,"1-5", G1631&lt;1,"Less than 1")</f>
        <v>5-10</v>
      </c>
      <c r="I1631">
        <v>8</v>
      </c>
      <c r="J1631">
        <v>5</v>
      </c>
      <c r="K1631" s="6">
        <v>9</v>
      </c>
      <c r="L1631" s="2">
        <v>1.99</v>
      </c>
      <c r="M1631" s="6">
        <v>59</v>
      </c>
      <c r="N1631" t="str" cm="1">
        <f t="array" ref="N1631">_xlfn.IFS(M1631&gt;=50,"50-60 Days", M1631&gt;=40,"40-50 Days", M1631&gt;=30, "30-40 Days", M1631&gt;=20, "20-30 Days", M1631&gt;=10, "10-20 Days", M1631&gt;=0, "0-10 Days")</f>
        <v>50-60 Days</v>
      </c>
    </row>
    <row r="1632" spans="1:14">
      <c r="A1632">
        <v>1631</v>
      </c>
      <c r="B1632" t="s">
        <v>29</v>
      </c>
      <c r="C1632" s="5">
        <v>45062</v>
      </c>
      <c r="D1632" s="8">
        <v>45062</v>
      </c>
      <c r="E1632" s="8" t="str">
        <f>IF(B1632="Inactive", EDATE(D1632,K1632), "")</f>
        <v/>
      </c>
      <c r="F1632" t="s">
        <v>12</v>
      </c>
      <c r="G1632">
        <v>20.9</v>
      </c>
      <c r="H1632" t="str" cm="1">
        <f t="array" ref="H1632">_xlfn.IFS(G1632&gt;=20,"20-25", G1632&gt;=15,"15-20", G1632&gt;=10,"10-15", G1632&gt;=5,"5-10", G1632&gt;=1,"1-5", G1632&lt;1,"Less than 1")</f>
        <v>20-25</v>
      </c>
      <c r="I1632">
        <v>0</v>
      </c>
      <c r="J1632">
        <v>5</v>
      </c>
      <c r="K1632" s="6">
        <v>1</v>
      </c>
      <c r="L1632" s="2">
        <v>1.99</v>
      </c>
      <c r="M1632" s="6">
        <v>10</v>
      </c>
      <c r="N1632" t="str" cm="1">
        <f t="array" ref="N1632">_xlfn.IFS(M1632&gt;=50,"50-60 Days", M1632&gt;=40,"40-50 Days", M1632&gt;=30, "30-40 Days", M1632&gt;=20, "20-30 Days", M1632&gt;=10, "10-20 Days", M1632&gt;=0, "0-10 Days")</f>
        <v>10-20 Days</v>
      </c>
    </row>
    <row r="1633" spans="1:14">
      <c r="A1633">
        <v>1632</v>
      </c>
      <c r="B1633" t="s">
        <v>28</v>
      </c>
      <c r="C1633" s="5">
        <v>45497</v>
      </c>
      <c r="D1633" s="8">
        <v>45497</v>
      </c>
      <c r="E1633" s="8">
        <f>IF(B1633="Inactive", EDATE(D1633,K1633), "")</f>
        <v>45862</v>
      </c>
      <c r="F1633" t="s">
        <v>10</v>
      </c>
      <c r="G1633">
        <v>23</v>
      </c>
      <c r="H1633" t="str" cm="1">
        <f t="array" ref="H1633">_xlfn.IFS(G1633&gt;=20,"20-25", G1633&gt;=15,"15-20", G1633&gt;=10,"10-15", G1633&gt;=5,"5-10", G1633&gt;=1,"1-5", G1633&lt;1,"Less than 1")</f>
        <v>20-25</v>
      </c>
      <c r="I1633">
        <v>6</v>
      </c>
      <c r="J1633">
        <v>2</v>
      </c>
      <c r="K1633" s="6">
        <v>12</v>
      </c>
      <c r="L1633" s="2">
        <v>6.99</v>
      </c>
      <c r="M1633" s="6">
        <v>8</v>
      </c>
      <c r="N1633" t="str" cm="1">
        <f t="array" ref="N1633">_xlfn.IFS(M1633&gt;=50,"50-60 Days", M1633&gt;=40,"40-50 Days", M1633&gt;=30, "30-40 Days", M1633&gt;=20, "20-30 Days", M1633&gt;=10, "10-20 Days", M1633&gt;=0, "0-10 Days")</f>
        <v>0-10 Days</v>
      </c>
    </row>
    <row r="1634" spans="1:14">
      <c r="A1634">
        <v>1633</v>
      </c>
      <c r="B1634" t="s">
        <v>28</v>
      </c>
      <c r="C1634" s="5">
        <v>44973</v>
      </c>
      <c r="D1634" s="8">
        <v>44973</v>
      </c>
      <c r="E1634" s="8">
        <f>IF(B1634="Inactive", EDATE(D1634,K1634), "")</f>
        <v>45185</v>
      </c>
      <c r="F1634" t="s">
        <v>12</v>
      </c>
      <c r="G1634">
        <v>3.4</v>
      </c>
      <c r="H1634" t="str" cm="1">
        <f t="array" ref="H1634">_xlfn.IFS(G1634&gt;=20,"20-25", G1634&gt;=15,"15-20", G1634&gt;=10,"10-15", G1634&gt;=5,"5-10", G1634&gt;=1,"1-5", G1634&lt;1,"Less than 1")</f>
        <v>1-5</v>
      </c>
      <c r="I1634">
        <v>5</v>
      </c>
      <c r="J1634">
        <v>4</v>
      </c>
      <c r="K1634" s="6">
        <v>7</v>
      </c>
      <c r="L1634" s="2">
        <v>1.99</v>
      </c>
      <c r="M1634" s="6">
        <v>38</v>
      </c>
      <c r="N1634" t="str" cm="1">
        <f t="array" ref="N1634">_xlfn.IFS(M1634&gt;=50,"50-60 Days", M1634&gt;=40,"40-50 Days", M1634&gt;=30, "30-40 Days", M1634&gt;=20, "20-30 Days", M1634&gt;=10, "10-20 Days", M1634&gt;=0, "0-10 Days")</f>
        <v>30-40 Days</v>
      </c>
    </row>
    <row r="1635" spans="1:14">
      <c r="A1635">
        <v>1634</v>
      </c>
      <c r="B1635" t="s">
        <v>28</v>
      </c>
      <c r="C1635" s="5">
        <v>45373</v>
      </c>
      <c r="D1635" s="8">
        <v>45373</v>
      </c>
      <c r="E1635" s="8">
        <f>IF(B1635="Inactive", EDATE(D1635,K1635), "")</f>
        <v>45618</v>
      </c>
      <c r="F1635" t="s">
        <v>12</v>
      </c>
      <c r="G1635">
        <v>23.8</v>
      </c>
      <c r="H1635" t="str" cm="1">
        <f t="array" ref="H1635">_xlfn.IFS(G1635&gt;=20,"20-25", G1635&gt;=15,"15-20", G1635&gt;=10,"10-15", G1635&gt;=5,"5-10", G1635&gt;=1,"1-5", G1635&lt;1,"Less than 1")</f>
        <v>20-25</v>
      </c>
      <c r="I1635">
        <v>6</v>
      </c>
      <c r="J1635">
        <v>5</v>
      </c>
      <c r="K1635" s="6">
        <v>8</v>
      </c>
      <c r="L1635" s="2">
        <v>1.99</v>
      </c>
      <c r="M1635" s="6">
        <v>28</v>
      </c>
      <c r="N1635" t="str" cm="1">
        <f t="array" ref="N1635">_xlfn.IFS(M1635&gt;=50,"50-60 Days", M1635&gt;=40,"40-50 Days", M1635&gt;=30, "30-40 Days", M1635&gt;=20, "20-30 Days", M1635&gt;=10, "10-20 Days", M1635&gt;=0, "0-10 Days")</f>
        <v>20-30 Days</v>
      </c>
    </row>
    <row r="1636" spans="1:14">
      <c r="A1636">
        <v>1635</v>
      </c>
      <c r="B1636" t="s">
        <v>28</v>
      </c>
      <c r="C1636" s="5">
        <v>45448</v>
      </c>
      <c r="D1636" s="8">
        <v>45448</v>
      </c>
      <c r="E1636" s="8">
        <f>IF(B1636="Inactive", EDATE(D1636,K1636), "")</f>
        <v>45782</v>
      </c>
      <c r="F1636" t="s">
        <v>14</v>
      </c>
      <c r="G1636">
        <v>17.7</v>
      </c>
      <c r="H1636" t="str" cm="1">
        <f t="array" ref="H1636">_xlfn.IFS(G1636&gt;=20,"20-25", G1636&gt;=15,"15-20", G1636&gt;=10,"10-15", G1636&gt;=5,"5-10", G1636&gt;=1,"1-5", G1636&lt;1,"Less than 1")</f>
        <v>15-20</v>
      </c>
      <c r="I1636">
        <v>2</v>
      </c>
      <c r="J1636">
        <v>5</v>
      </c>
      <c r="K1636" s="6">
        <v>11</v>
      </c>
      <c r="L1636" s="2">
        <v>3.99</v>
      </c>
      <c r="M1636" s="6">
        <v>49</v>
      </c>
      <c r="N1636" t="str" cm="1">
        <f t="array" ref="N1636">_xlfn.IFS(M1636&gt;=50,"50-60 Days", M1636&gt;=40,"40-50 Days", M1636&gt;=30, "30-40 Days", M1636&gt;=20, "20-30 Days", M1636&gt;=10, "10-20 Days", M1636&gt;=0, "0-10 Days")</f>
        <v>40-50 Days</v>
      </c>
    </row>
    <row r="1637" spans="1:14">
      <c r="A1637">
        <v>1636</v>
      </c>
      <c r="B1637" t="s">
        <v>28</v>
      </c>
      <c r="C1637" s="5">
        <v>45255</v>
      </c>
      <c r="D1637" s="8">
        <v>45255</v>
      </c>
      <c r="E1637" s="8">
        <f>IF(B1637="Inactive", EDATE(D1637,K1637), "")</f>
        <v>45376</v>
      </c>
      <c r="F1637" t="s">
        <v>12</v>
      </c>
      <c r="G1637">
        <v>22.4</v>
      </c>
      <c r="H1637" t="str" cm="1">
        <f t="array" ref="H1637">_xlfn.IFS(G1637&gt;=20,"20-25", G1637&gt;=15,"15-20", G1637&gt;=10,"10-15", G1637&gt;=5,"5-10", G1637&gt;=1,"1-5", G1637&lt;1,"Less than 1")</f>
        <v>20-25</v>
      </c>
      <c r="I1637">
        <v>5</v>
      </c>
      <c r="J1637">
        <v>5</v>
      </c>
      <c r="K1637" s="6">
        <v>4</v>
      </c>
      <c r="L1637" s="2">
        <v>1.99</v>
      </c>
      <c r="M1637" s="6">
        <v>41</v>
      </c>
      <c r="N1637" t="str" cm="1">
        <f t="array" ref="N1637">_xlfn.IFS(M1637&gt;=50,"50-60 Days", M1637&gt;=40,"40-50 Days", M1637&gt;=30, "30-40 Days", M1637&gt;=20, "20-30 Days", M1637&gt;=10, "10-20 Days", M1637&gt;=0, "0-10 Days")</f>
        <v>40-50 Days</v>
      </c>
    </row>
    <row r="1638" spans="1:14">
      <c r="A1638">
        <v>1637</v>
      </c>
      <c r="B1638" t="s">
        <v>29</v>
      </c>
      <c r="C1638" s="5">
        <v>45276</v>
      </c>
      <c r="D1638" s="8">
        <v>45276</v>
      </c>
      <c r="E1638" s="8" t="str">
        <f>IF(B1638="Inactive", EDATE(D1638,K1638), "")</f>
        <v/>
      </c>
      <c r="F1638" t="s">
        <v>14</v>
      </c>
      <c r="G1638">
        <v>13</v>
      </c>
      <c r="H1638" t="str" cm="1">
        <f t="array" ref="H1638">_xlfn.IFS(G1638&gt;=20,"20-25", G1638&gt;=15,"15-20", G1638&gt;=10,"10-15", G1638&gt;=5,"5-10", G1638&gt;=1,"1-5", G1638&lt;1,"Less than 1")</f>
        <v>10-15</v>
      </c>
      <c r="I1638">
        <v>4</v>
      </c>
      <c r="J1638">
        <v>0</v>
      </c>
      <c r="K1638" s="6">
        <v>4</v>
      </c>
      <c r="L1638" s="2">
        <v>3.99</v>
      </c>
      <c r="M1638" s="6">
        <v>14</v>
      </c>
      <c r="N1638" t="str" cm="1">
        <f t="array" ref="N1638">_xlfn.IFS(M1638&gt;=50,"50-60 Days", M1638&gt;=40,"40-50 Days", M1638&gt;=30, "30-40 Days", M1638&gt;=20, "20-30 Days", M1638&gt;=10, "10-20 Days", M1638&gt;=0, "0-10 Days")</f>
        <v>10-20 Days</v>
      </c>
    </row>
    <row r="1639" spans="1:14">
      <c r="A1639">
        <v>1638</v>
      </c>
      <c r="B1639" t="s">
        <v>28</v>
      </c>
      <c r="C1639" s="5">
        <v>45253</v>
      </c>
      <c r="D1639" s="8">
        <v>45253</v>
      </c>
      <c r="E1639" s="8">
        <f>IF(B1639="Inactive", EDATE(D1639,K1639), "")</f>
        <v>45619</v>
      </c>
      <c r="F1639" t="s">
        <v>12</v>
      </c>
      <c r="G1639">
        <v>22.5</v>
      </c>
      <c r="H1639" t="str" cm="1">
        <f t="array" ref="H1639">_xlfn.IFS(G1639&gt;=20,"20-25", G1639&gt;=15,"15-20", G1639&gt;=10,"10-15", G1639&gt;=5,"5-10", G1639&gt;=1,"1-5", G1639&lt;1,"Less than 1")</f>
        <v>20-25</v>
      </c>
      <c r="I1639">
        <v>8</v>
      </c>
      <c r="J1639">
        <v>3</v>
      </c>
      <c r="K1639" s="6">
        <v>12</v>
      </c>
      <c r="L1639" s="2">
        <v>1.99</v>
      </c>
      <c r="M1639" s="6">
        <v>18</v>
      </c>
      <c r="N1639" t="str" cm="1">
        <f t="array" ref="N1639">_xlfn.IFS(M1639&gt;=50,"50-60 Days", M1639&gt;=40,"40-50 Days", M1639&gt;=30, "30-40 Days", M1639&gt;=20, "20-30 Days", M1639&gt;=10, "10-20 Days", M1639&gt;=0, "0-10 Days")</f>
        <v>10-20 Days</v>
      </c>
    </row>
    <row r="1640" spans="1:14">
      <c r="A1640">
        <v>1639</v>
      </c>
      <c r="B1640" t="s">
        <v>28</v>
      </c>
      <c r="C1640" s="5">
        <v>45557</v>
      </c>
      <c r="D1640" s="8">
        <v>45557</v>
      </c>
      <c r="E1640" s="8">
        <f>IF(B1640="Inactive", EDATE(D1640,K1640), "")</f>
        <v>45679</v>
      </c>
      <c r="F1640" t="s">
        <v>12</v>
      </c>
      <c r="G1640">
        <v>1.5</v>
      </c>
      <c r="H1640" t="str" cm="1">
        <f t="array" ref="H1640">_xlfn.IFS(G1640&gt;=20,"20-25", G1640&gt;=15,"15-20", G1640&gt;=10,"10-15", G1640&gt;=5,"5-10", G1640&gt;=1,"1-5", G1640&lt;1,"Less than 1")</f>
        <v>1-5</v>
      </c>
      <c r="I1640">
        <v>3</v>
      </c>
      <c r="J1640">
        <v>3</v>
      </c>
      <c r="K1640" s="6">
        <v>4</v>
      </c>
      <c r="L1640" s="2">
        <v>1.99</v>
      </c>
      <c r="M1640" s="6">
        <v>33</v>
      </c>
      <c r="N1640" t="str" cm="1">
        <f t="array" ref="N1640">_xlfn.IFS(M1640&gt;=50,"50-60 Days", M1640&gt;=40,"40-50 Days", M1640&gt;=30, "30-40 Days", M1640&gt;=20, "20-30 Days", M1640&gt;=10, "10-20 Days", M1640&gt;=0, "0-10 Days")</f>
        <v>30-40 Days</v>
      </c>
    </row>
    <row r="1641" spans="1:14">
      <c r="A1641">
        <v>1640</v>
      </c>
      <c r="B1641" t="s">
        <v>29</v>
      </c>
      <c r="C1641" s="5">
        <v>45376</v>
      </c>
      <c r="D1641" s="8">
        <v>45376</v>
      </c>
      <c r="E1641" s="8" t="str">
        <f>IF(B1641="Inactive", EDATE(D1641,K1641), "")</f>
        <v/>
      </c>
      <c r="F1641" t="s">
        <v>14</v>
      </c>
      <c r="G1641">
        <v>9</v>
      </c>
      <c r="H1641" t="str" cm="1">
        <f t="array" ref="H1641">_xlfn.IFS(G1641&gt;=20,"20-25", G1641&gt;=15,"15-20", G1641&gt;=10,"10-15", G1641&gt;=5,"5-10", G1641&gt;=1,"1-5", G1641&lt;1,"Less than 1")</f>
        <v>5-10</v>
      </c>
      <c r="I1641">
        <v>2</v>
      </c>
      <c r="J1641">
        <v>0</v>
      </c>
      <c r="K1641" s="6">
        <v>3</v>
      </c>
      <c r="L1641" s="2">
        <v>3.99</v>
      </c>
      <c r="M1641" s="6">
        <v>18</v>
      </c>
      <c r="N1641" t="str" cm="1">
        <f t="array" ref="N1641">_xlfn.IFS(M1641&gt;=50,"50-60 Days", M1641&gt;=40,"40-50 Days", M1641&gt;=30, "30-40 Days", M1641&gt;=20, "20-30 Days", M1641&gt;=10, "10-20 Days", M1641&gt;=0, "0-10 Days")</f>
        <v>10-20 Days</v>
      </c>
    </row>
    <row r="1642" spans="1:14">
      <c r="A1642">
        <v>1641</v>
      </c>
      <c r="B1642" t="s">
        <v>28</v>
      </c>
      <c r="C1642" s="5">
        <v>45164</v>
      </c>
      <c r="D1642" s="8">
        <v>45164</v>
      </c>
      <c r="E1642" s="8">
        <f>IF(B1642="Inactive", EDATE(D1642,K1642), "")</f>
        <v>45286</v>
      </c>
      <c r="F1642" t="s">
        <v>12</v>
      </c>
      <c r="G1642">
        <v>7.6</v>
      </c>
      <c r="H1642" t="str" cm="1">
        <f t="array" ref="H1642">_xlfn.IFS(G1642&gt;=20,"20-25", G1642&gt;=15,"15-20", G1642&gt;=10,"10-15", G1642&gt;=5,"5-10", G1642&gt;=1,"1-5", G1642&lt;1,"Less than 1")</f>
        <v>5-10</v>
      </c>
      <c r="I1642">
        <v>4</v>
      </c>
      <c r="J1642">
        <v>4</v>
      </c>
      <c r="K1642" s="6">
        <v>4</v>
      </c>
      <c r="L1642" s="2">
        <v>1.99</v>
      </c>
      <c r="M1642" s="6">
        <v>48</v>
      </c>
      <c r="N1642" t="str" cm="1">
        <f t="array" ref="N1642">_xlfn.IFS(M1642&gt;=50,"50-60 Days", M1642&gt;=40,"40-50 Days", M1642&gt;=30, "30-40 Days", M1642&gt;=20, "20-30 Days", M1642&gt;=10, "10-20 Days", M1642&gt;=0, "0-10 Days")</f>
        <v>40-50 Days</v>
      </c>
    </row>
    <row r="1643" spans="1:14">
      <c r="A1643">
        <v>1642</v>
      </c>
      <c r="B1643" t="s">
        <v>28</v>
      </c>
      <c r="C1643" s="5">
        <v>45099</v>
      </c>
      <c r="D1643" s="8">
        <v>45099</v>
      </c>
      <c r="E1643" s="8">
        <f>IF(B1643="Inactive", EDATE(D1643,K1643), "")</f>
        <v>45282</v>
      </c>
      <c r="F1643" t="s">
        <v>10</v>
      </c>
      <c r="G1643">
        <v>4</v>
      </c>
      <c r="H1643" t="str" cm="1">
        <f t="array" ref="H1643">_xlfn.IFS(G1643&gt;=20,"20-25", G1643&gt;=15,"15-20", G1643&gt;=10,"10-15", G1643&gt;=5,"5-10", G1643&gt;=1,"1-5", G1643&lt;1,"Less than 1")</f>
        <v>1-5</v>
      </c>
      <c r="I1643">
        <v>3</v>
      </c>
      <c r="J1643">
        <v>4</v>
      </c>
      <c r="K1643" s="6">
        <v>6</v>
      </c>
      <c r="L1643" s="2">
        <v>6.99</v>
      </c>
      <c r="M1643" s="6">
        <v>53</v>
      </c>
      <c r="N1643" t="str" cm="1">
        <f t="array" ref="N1643">_xlfn.IFS(M1643&gt;=50,"50-60 Days", M1643&gt;=40,"40-50 Days", M1643&gt;=30, "30-40 Days", M1643&gt;=20, "20-30 Days", M1643&gt;=10, "10-20 Days", M1643&gt;=0, "0-10 Days")</f>
        <v>50-60 Days</v>
      </c>
    </row>
    <row r="1644" spans="1:14">
      <c r="A1644">
        <v>1643</v>
      </c>
      <c r="B1644" t="s">
        <v>28</v>
      </c>
      <c r="C1644" s="5">
        <v>45427</v>
      </c>
      <c r="D1644" s="8">
        <v>45427</v>
      </c>
      <c r="E1644" s="8">
        <f>IF(B1644="Inactive", EDATE(D1644,K1644), "")</f>
        <v>45458</v>
      </c>
      <c r="F1644" t="s">
        <v>12</v>
      </c>
      <c r="G1644">
        <v>24</v>
      </c>
      <c r="H1644" t="str" cm="1">
        <f t="array" ref="H1644">_xlfn.IFS(G1644&gt;=20,"20-25", G1644&gt;=15,"15-20", G1644&gt;=10,"10-15", G1644&gt;=5,"5-10", G1644&gt;=1,"1-5", G1644&lt;1,"Less than 1")</f>
        <v>20-25</v>
      </c>
      <c r="I1644">
        <v>8</v>
      </c>
      <c r="J1644">
        <v>4</v>
      </c>
      <c r="K1644" s="6">
        <v>1</v>
      </c>
      <c r="L1644" s="2">
        <v>1.99</v>
      </c>
      <c r="M1644" s="6">
        <v>51</v>
      </c>
      <c r="N1644" t="str" cm="1">
        <f t="array" ref="N1644">_xlfn.IFS(M1644&gt;=50,"50-60 Days", M1644&gt;=40,"40-50 Days", M1644&gt;=30, "30-40 Days", M1644&gt;=20, "20-30 Days", M1644&gt;=10, "10-20 Days", M1644&gt;=0, "0-10 Days")</f>
        <v>50-60 Days</v>
      </c>
    </row>
    <row r="1645" spans="1:14">
      <c r="A1645">
        <v>1644</v>
      </c>
      <c r="B1645" t="s">
        <v>28</v>
      </c>
      <c r="C1645" s="5">
        <v>45391</v>
      </c>
      <c r="D1645" s="8">
        <v>45391</v>
      </c>
      <c r="E1645" s="8">
        <f>IF(B1645="Inactive", EDATE(D1645,K1645), "")</f>
        <v>45635</v>
      </c>
      <c r="F1645" t="s">
        <v>12</v>
      </c>
      <c r="G1645">
        <v>5.5</v>
      </c>
      <c r="H1645" t="str" cm="1">
        <f t="array" ref="H1645">_xlfn.IFS(G1645&gt;=20,"20-25", G1645&gt;=15,"15-20", G1645&gt;=10,"10-15", G1645&gt;=5,"5-10", G1645&gt;=1,"1-5", G1645&lt;1,"Less than 1")</f>
        <v>5-10</v>
      </c>
      <c r="I1645">
        <v>6</v>
      </c>
      <c r="J1645">
        <v>5</v>
      </c>
      <c r="K1645" s="6">
        <v>8</v>
      </c>
      <c r="L1645" s="2">
        <v>1.99</v>
      </c>
      <c r="M1645" s="6">
        <v>28</v>
      </c>
      <c r="N1645" t="str" cm="1">
        <f t="array" ref="N1645">_xlfn.IFS(M1645&gt;=50,"50-60 Days", M1645&gt;=40,"40-50 Days", M1645&gt;=30, "30-40 Days", M1645&gt;=20, "20-30 Days", M1645&gt;=10, "10-20 Days", M1645&gt;=0, "0-10 Days")</f>
        <v>20-30 Days</v>
      </c>
    </row>
    <row r="1646" spans="1:14">
      <c r="A1646">
        <v>1645</v>
      </c>
      <c r="B1646" t="s">
        <v>28</v>
      </c>
      <c r="C1646" s="5">
        <v>45196</v>
      </c>
      <c r="D1646" s="8">
        <v>45196</v>
      </c>
      <c r="E1646" s="8">
        <f>IF(B1646="Inactive", EDATE(D1646,K1646), "")</f>
        <v>45287</v>
      </c>
      <c r="F1646" t="s">
        <v>14</v>
      </c>
      <c r="G1646">
        <v>18</v>
      </c>
      <c r="H1646" t="str" cm="1">
        <f t="array" ref="H1646">_xlfn.IFS(G1646&gt;=20,"20-25", G1646&gt;=15,"15-20", G1646&gt;=10,"10-15", G1646&gt;=5,"5-10", G1646&gt;=1,"1-5", G1646&lt;1,"Less than 1")</f>
        <v>15-20</v>
      </c>
      <c r="I1646">
        <v>1</v>
      </c>
      <c r="J1646">
        <v>3</v>
      </c>
      <c r="K1646" s="6">
        <v>3</v>
      </c>
      <c r="L1646" s="2">
        <v>3.99</v>
      </c>
      <c r="M1646" s="6">
        <v>56</v>
      </c>
      <c r="N1646" t="str" cm="1">
        <f t="array" ref="N1646">_xlfn.IFS(M1646&gt;=50,"50-60 Days", M1646&gt;=40,"40-50 Days", M1646&gt;=30, "30-40 Days", M1646&gt;=20, "20-30 Days", M1646&gt;=10, "10-20 Days", M1646&gt;=0, "0-10 Days")</f>
        <v>50-60 Days</v>
      </c>
    </row>
    <row r="1647" spans="1:14">
      <c r="A1647">
        <v>1646</v>
      </c>
      <c r="B1647" t="s">
        <v>28</v>
      </c>
      <c r="C1647" s="5">
        <v>45154</v>
      </c>
      <c r="D1647" s="8">
        <v>45154</v>
      </c>
      <c r="E1647" s="8">
        <f>IF(B1647="Inactive", EDATE(D1647,K1647), "")</f>
        <v>45246</v>
      </c>
      <c r="F1647" t="s">
        <v>12</v>
      </c>
      <c r="G1647">
        <v>24.8</v>
      </c>
      <c r="H1647" t="str" cm="1">
        <f t="array" ref="H1647">_xlfn.IFS(G1647&gt;=20,"20-25", G1647&gt;=15,"15-20", G1647&gt;=10,"10-15", G1647&gt;=5,"5-10", G1647&gt;=1,"1-5", G1647&lt;1,"Less than 1")</f>
        <v>20-25</v>
      </c>
      <c r="I1647">
        <v>1</v>
      </c>
      <c r="J1647">
        <v>2</v>
      </c>
      <c r="K1647" s="6">
        <v>3</v>
      </c>
      <c r="L1647" s="2">
        <v>1.99</v>
      </c>
      <c r="M1647" s="6">
        <v>51</v>
      </c>
      <c r="N1647" t="str" cm="1">
        <f t="array" ref="N1647">_xlfn.IFS(M1647&gt;=50,"50-60 Days", M1647&gt;=40,"40-50 Days", M1647&gt;=30, "30-40 Days", M1647&gt;=20, "20-30 Days", M1647&gt;=10, "10-20 Days", M1647&gt;=0, "0-10 Days")</f>
        <v>50-60 Days</v>
      </c>
    </row>
    <row r="1648" spans="1:14">
      <c r="A1648">
        <v>1647</v>
      </c>
      <c r="B1648" t="s">
        <v>28</v>
      </c>
      <c r="C1648" s="5">
        <v>45452</v>
      </c>
      <c r="D1648" s="8">
        <v>45452</v>
      </c>
      <c r="E1648" s="8">
        <f>IF(B1648="Inactive", EDATE(D1648,K1648), "")</f>
        <v>45513</v>
      </c>
      <c r="F1648" t="s">
        <v>10</v>
      </c>
      <c r="G1648">
        <v>8.5</v>
      </c>
      <c r="H1648" t="str" cm="1">
        <f t="array" ref="H1648">_xlfn.IFS(G1648&gt;=20,"20-25", G1648&gt;=15,"15-20", G1648&gt;=10,"10-15", G1648&gt;=5,"5-10", G1648&gt;=1,"1-5", G1648&lt;1,"Less than 1")</f>
        <v>5-10</v>
      </c>
      <c r="I1648">
        <v>8</v>
      </c>
      <c r="J1648">
        <v>2</v>
      </c>
      <c r="K1648" s="6">
        <v>2</v>
      </c>
      <c r="L1648" s="2">
        <v>6.99</v>
      </c>
      <c r="M1648" s="6">
        <v>17</v>
      </c>
      <c r="N1648" t="str" cm="1">
        <f t="array" ref="N1648">_xlfn.IFS(M1648&gt;=50,"50-60 Days", M1648&gt;=40,"40-50 Days", M1648&gt;=30, "30-40 Days", M1648&gt;=20, "20-30 Days", M1648&gt;=10, "10-20 Days", M1648&gt;=0, "0-10 Days")</f>
        <v>10-20 Days</v>
      </c>
    </row>
    <row r="1649" spans="1:14">
      <c r="A1649">
        <v>1648</v>
      </c>
      <c r="B1649" t="s">
        <v>28</v>
      </c>
      <c r="C1649" s="5">
        <v>45649</v>
      </c>
      <c r="D1649" s="8">
        <v>45649</v>
      </c>
      <c r="E1649" s="8">
        <f>IF(B1649="Inactive", EDATE(D1649,K1649), "")</f>
        <v>45711</v>
      </c>
      <c r="F1649" t="s">
        <v>10</v>
      </c>
      <c r="G1649">
        <v>17.8</v>
      </c>
      <c r="H1649" t="str" cm="1">
        <f t="array" ref="H1649">_xlfn.IFS(G1649&gt;=20,"20-25", G1649&gt;=15,"15-20", G1649&gt;=10,"10-15", G1649&gt;=5,"5-10", G1649&gt;=1,"1-5", G1649&lt;1,"Less than 1")</f>
        <v>15-20</v>
      </c>
      <c r="I1649">
        <v>5</v>
      </c>
      <c r="J1649">
        <v>0</v>
      </c>
      <c r="K1649" s="6">
        <v>2</v>
      </c>
      <c r="L1649" s="2">
        <v>6.99</v>
      </c>
      <c r="M1649" s="6">
        <v>27</v>
      </c>
      <c r="N1649" t="str" cm="1">
        <f t="array" ref="N1649">_xlfn.IFS(M1649&gt;=50,"50-60 Days", M1649&gt;=40,"40-50 Days", M1649&gt;=30, "30-40 Days", M1649&gt;=20, "20-30 Days", M1649&gt;=10, "10-20 Days", M1649&gt;=0, "0-10 Days")</f>
        <v>20-30 Days</v>
      </c>
    </row>
    <row r="1650" spans="1:14">
      <c r="A1650">
        <v>1649</v>
      </c>
      <c r="B1650" t="s">
        <v>29</v>
      </c>
      <c r="C1650" s="5">
        <v>44963</v>
      </c>
      <c r="D1650" s="8">
        <v>44963</v>
      </c>
      <c r="E1650" s="8" t="str">
        <f>IF(B1650="Inactive", EDATE(D1650,K1650), "")</f>
        <v/>
      </c>
      <c r="F1650" t="s">
        <v>10</v>
      </c>
      <c r="G1650">
        <v>5.2</v>
      </c>
      <c r="H1650" t="str" cm="1">
        <f t="array" ref="H1650">_xlfn.IFS(G1650&gt;=20,"20-25", G1650&gt;=15,"15-20", G1650&gt;=10,"10-15", G1650&gt;=5,"5-10", G1650&gt;=1,"1-5", G1650&lt;1,"Less than 1")</f>
        <v>5-10</v>
      </c>
      <c r="I1650">
        <v>8</v>
      </c>
      <c r="J1650">
        <v>5</v>
      </c>
      <c r="K1650" s="6">
        <v>7</v>
      </c>
      <c r="L1650" s="2">
        <v>6.99</v>
      </c>
      <c r="M1650" s="6">
        <v>53</v>
      </c>
      <c r="N1650" t="str" cm="1">
        <f t="array" ref="N1650">_xlfn.IFS(M1650&gt;=50,"50-60 Days", M1650&gt;=40,"40-50 Days", M1650&gt;=30, "30-40 Days", M1650&gt;=20, "20-30 Days", M1650&gt;=10, "10-20 Days", M1650&gt;=0, "0-10 Days")</f>
        <v>50-60 Days</v>
      </c>
    </row>
    <row r="1651" spans="1:14">
      <c r="A1651">
        <v>1650</v>
      </c>
      <c r="B1651" t="s">
        <v>28</v>
      </c>
      <c r="C1651" s="5">
        <v>45408</v>
      </c>
      <c r="D1651" s="8">
        <v>45408</v>
      </c>
      <c r="E1651" s="8">
        <f>IF(B1651="Inactive", EDATE(D1651,K1651), "")</f>
        <v>45438</v>
      </c>
      <c r="F1651" t="s">
        <v>10</v>
      </c>
      <c r="G1651">
        <v>6.5</v>
      </c>
      <c r="H1651" t="str" cm="1">
        <f t="array" ref="H1651">_xlfn.IFS(G1651&gt;=20,"20-25", G1651&gt;=15,"15-20", G1651&gt;=10,"10-15", G1651&gt;=5,"5-10", G1651&gt;=1,"1-5", G1651&lt;1,"Less than 1")</f>
        <v>5-10</v>
      </c>
      <c r="I1651">
        <v>6</v>
      </c>
      <c r="J1651">
        <v>1</v>
      </c>
      <c r="K1651" s="6">
        <v>1</v>
      </c>
      <c r="L1651" s="2">
        <v>6.99</v>
      </c>
      <c r="M1651" s="6">
        <v>43</v>
      </c>
      <c r="N1651" t="str" cm="1">
        <f t="array" ref="N1651">_xlfn.IFS(M1651&gt;=50,"50-60 Days", M1651&gt;=40,"40-50 Days", M1651&gt;=30, "30-40 Days", M1651&gt;=20, "20-30 Days", M1651&gt;=10, "10-20 Days", M1651&gt;=0, "0-10 Days")</f>
        <v>40-50 Days</v>
      </c>
    </row>
    <row r="1652" spans="1:14">
      <c r="A1652">
        <v>1651</v>
      </c>
      <c r="B1652" t="s">
        <v>28</v>
      </c>
      <c r="C1652" s="5">
        <v>45017</v>
      </c>
      <c r="D1652" s="8">
        <v>45017</v>
      </c>
      <c r="E1652" s="8">
        <f>IF(B1652="Inactive", EDATE(D1652,K1652), "")</f>
        <v>45352</v>
      </c>
      <c r="F1652" t="s">
        <v>12</v>
      </c>
      <c r="G1652">
        <v>20.399999999999999</v>
      </c>
      <c r="H1652" t="str" cm="1">
        <f t="array" ref="H1652">_xlfn.IFS(G1652&gt;=20,"20-25", G1652&gt;=15,"15-20", G1652&gt;=10,"10-15", G1652&gt;=5,"5-10", G1652&gt;=1,"1-5", G1652&lt;1,"Less than 1")</f>
        <v>20-25</v>
      </c>
      <c r="I1652">
        <v>7</v>
      </c>
      <c r="J1652">
        <v>2</v>
      </c>
      <c r="K1652" s="6">
        <v>11</v>
      </c>
      <c r="L1652" s="2">
        <v>1.99</v>
      </c>
      <c r="M1652" s="6">
        <v>8</v>
      </c>
      <c r="N1652" t="str" cm="1">
        <f t="array" ref="N1652">_xlfn.IFS(M1652&gt;=50,"50-60 Days", M1652&gt;=40,"40-50 Days", M1652&gt;=30, "30-40 Days", M1652&gt;=20, "20-30 Days", M1652&gt;=10, "10-20 Days", M1652&gt;=0, "0-10 Days")</f>
        <v>0-10 Days</v>
      </c>
    </row>
    <row r="1653" spans="1:14">
      <c r="A1653">
        <v>1652</v>
      </c>
      <c r="B1653" t="s">
        <v>28</v>
      </c>
      <c r="C1653" s="5">
        <v>45654</v>
      </c>
      <c r="D1653" s="8">
        <v>45654</v>
      </c>
      <c r="E1653" s="8">
        <f>IF(B1653="Inactive", EDATE(D1653,K1653), "")</f>
        <v>45805</v>
      </c>
      <c r="F1653" t="s">
        <v>10</v>
      </c>
      <c r="G1653">
        <v>0.6</v>
      </c>
      <c r="H1653" t="str" cm="1">
        <f t="array" ref="H1653">_xlfn.IFS(G1653&gt;=20,"20-25", G1653&gt;=15,"15-20", G1653&gt;=10,"10-15", G1653&gt;=5,"5-10", G1653&gt;=1,"1-5", G1653&lt;1,"Less than 1")</f>
        <v>Less than 1</v>
      </c>
      <c r="I1653">
        <v>1</v>
      </c>
      <c r="J1653">
        <v>3</v>
      </c>
      <c r="K1653" s="6">
        <v>5</v>
      </c>
      <c r="L1653" s="2">
        <v>6.99</v>
      </c>
      <c r="M1653" s="6">
        <v>35</v>
      </c>
      <c r="N1653" t="str" cm="1">
        <f t="array" ref="N1653">_xlfn.IFS(M1653&gt;=50,"50-60 Days", M1653&gt;=40,"40-50 Days", M1653&gt;=30, "30-40 Days", M1653&gt;=20, "20-30 Days", M1653&gt;=10, "10-20 Days", M1653&gt;=0, "0-10 Days")</f>
        <v>30-40 Days</v>
      </c>
    </row>
    <row r="1654" spans="1:14">
      <c r="A1654">
        <v>1653</v>
      </c>
      <c r="B1654" t="s">
        <v>28</v>
      </c>
      <c r="C1654" s="5">
        <v>45167</v>
      </c>
      <c r="D1654" s="8">
        <v>45167</v>
      </c>
      <c r="E1654" s="8">
        <f>IF(B1654="Inactive", EDATE(D1654,K1654), "")</f>
        <v>45198</v>
      </c>
      <c r="F1654" t="s">
        <v>12</v>
      </c>
      <c r="G1654">
        <v>10.7</v>
      </c>
      <c r="H1654" t="str" cm="1">
        <f t="array" ref="H1654">_xlfn.IFS(G1654&gt;=20,"20-25", G1654&gt;=15,"15-20", G1654&gt;=10,"10-15", G1654&gt;=5,"5-10", G1654&gt;=1,"1-5", G1654&lt;1,"Less than 1")</f>
        <v>10-15</v>
      </c>
      <c r="I1654">
        <v>4</v>
      </c>
      <c r="J1654">
        <v>4</v>
      </c>
      <c r="K1654" s="6">
        <v>1</v>
      </c>
      <c r="L1654" s="2">
        <v>1.99</v>
      </c>
      <c r="M1654" s="6">
        <v>24</v>
      </c>
      <c r="N1654" t="str" cm="1">
        <f t="array" ref="N1654">_xlfn.IFS(M1654&gt;=50,"50-60 Days", M1654&gt;=40,"40-50 Days", M1654&gt;=30, "30-40 Days", M1654&gt;=20, "20-30 Days", M1654&gt;=10, "10-20 Days", M1654&gt;=0, "0-10 Days")</f>
        <v>20-30 Days</v>
      </c>
    </row>
    <row r="1655" spans="1:14">
      <c r="A1655">
        <v>1654</v>
      </c>
      <c r="B1655" t="s">
        <v>28</v>
      </c>
      <c r="C1655" s="5">
        <v>45226</v>
      </c>
      <c r="D1655" s="8">
        <v>45226</v>
      </c>
      <c r="E1655" s="8">
        <f>IF(B1655="Inactive", EDATE(D1655,K1655), "")</f>
        <v>45470</v>
      </c>
      <c r="F1655" t="s">
        <v>10</v>
      </c>
      <c r="G1655">
        <v>12.4</v>
      </c>
      <c r="H1655" t="str" cm="1">
        <f t="array" ref="H1655">_xlfn.IFS(G1655&gt;=20,"20-25", G1655&gt;=15,"15-20", G1655&gt;=10,"10-15", G1655&gt;=5,"5-10", G1655&gt;=1,"1-5", G1655&lt;1,"Less than 1")</f>
        <v>10-15</v>
      </c>
      <c r="I1655">
        <v>2</v>
      </c>
      <c r="J1655">
        <v>2</v>
      </c>
      <c r="K1655" s="6">
        <v>8</v>
      </c>
      <c r="L1655" s="2">
        <v>6.99</v>
      </c>
      <c r="M1655" s="6">
        <v>53</v>
      </c>
      <c r="N1655" t="str" cm="1">
        <f t="array" ref="N1655">_xlfn.IFS(M1655&gt;=50,"50-60 Days", M1655&gt;=40,"40-50 Days", M1655&gt;=30, "30-40 Days", M1655&gt;=20, "20-30 Days", M1655&gt;=10, "10-20 Days", M1655&gt;=0, "0-10 Days")</f>
        <v>50-60 Days</v>
      </c>
    </row>
    <row r="1656" spans="1:14">
      <c r="A1656">
        <v>1655</v>
      </c>
      <c r="B1656" t="s">
        <v>28</v>
      </c>
      <c r="C1656" s="5">
        <v>45229</v>
      </c>
      <c r="D1656" s="8">
        <v>45229</v>
      </c>
      <c r="E1656" s="8">
        <f>IF(B1656="Inactive", EDATE(D1656,K1656), "")</f>
        <v>45565</v>
      </c>
      <c r="F1656" t="s">
        <v>10</v>
      </c>
      <c r="G1656">
        <v>12.5</v>
      </c>
      <c r="H1656" t="str" cm="1">
        <f t="array" ref="H1656">_xlfn.IFS(G1656&gt;=20,"20-25", G1656&gt;=15,"15-20", G1656&gt;=10,"10-15", G1656&gt;=5,"5-10", G1656&gt;=1,"1-5", G1656&lt;1,"Less than 1")</f>
        <v>10-15</v>
      </c>
      <c r="I1656">
        <v>6</v>
      </c>
      <c r="J1656">
        <v>4</v>
      </c>
      <c r="K1656" s="6">
        <v>11</v>
      </c>
      <c r="L1656" s="2">
        <v>6.99</v>
      </c>
      <c r="M1656" s="6">
        <v>22</v>
      </c>
      <c r="N1656" t="str" cm="1">
        <f t="array" ref="N1656">_xlfn.IFS(M1656&gt;=50,"50-60 Days", M1656&gt;=40,"40-50 Days", M1656&gt;=30, "30-40 Days", M1656&gt;=20, "20-30 Days", M1656&gt;=10, "10-20 Days", M1656&gt;=0, "0-10 Days")</f>
        <v>20-30 Days</v>
      </c>
    </row>
    <row r="1657" spans="1:14">
      <c r="A1657">
        <v>1656</v>
      </c>
      <c r="B1657" t="s">
        <v>28</v>
      </c>
      <c r="C1657" s="5">
        <v>45605</v>
      </c>
      <c r="D1657" s="8">
        <v>45605</v>
      </c>
      <c r="E1657" s="8">
        <f>IF(B1657="Inactive", EDATE(D1657,K1657), "")</f>
        <v>45756</v>
      </c>
      <c r="F1657" t="s">
        <v>12</v>
      </c>
      <c r="G1657">
        <v>3.3</v>
      </c>
      <c r="H1657" t="str" cm="1">
        <f t="array" ref="H1657">_xlfn.IFS(G1657&gt;=20,"20-25", G1657&gt;=15,"15-20", G1657&gt;=10,"10-15", G1657&gt;=5,"5-10", G1657&gt;=1,"1-5", G1657&lt;1,"Less than 1")</f>
        <v>1-5</v>
      </c>
      <c r="I1657">
        <v>4</v>
      </c>
      <c r="J1657">
        <v>3</v>
      </c>
      <c r="K1657" s="6">
        <v>5</v>
      </c>
      <c r="L1657" s="2">
        <v>1.99</v>
      </c>
      <c r="M1657" s="6">
        <v>28</v>
      </c>
      <c r="N1657" t="str" cm="1">
        <f t="array" ref="N1657">_xlfn.IFS(M1657&gt;=50,"50-60 Days", M1657&gt;=40,"40-50 Days", M1657&gt;=30, "30-40 Days", M1657&gt;=20, "20-30 Days", M1657&gt;=10, "10-20 Days", M1657&gt;=0, "0-10 Days")</f>
        <v>20-30 Days</v>
      </c>
    </row>
    <row r="1658" spans="1:14">
      <c r="A1658">
        <v>1657</v>
      </c>
      <c r="B1658" t="s">
        <v>28</v>
      </c>
      <c r="C1658" s="5">
        <v>45334</v>
      </c>
      <c r="D1658" s="8">
        <v>45334</v>
      </c>
      <c r="E1658" s="8">
        <f>IF(B1658="Inactive", EDATE(D1658,K1658), "")</f>
        <v>45424</v>
      </c>
      <c r="F1658" t="s">
        <v>14</v>
      </c>
      <c r="G1658">
        <v>4.8</v>
      </c>
      <c r="H1658" t="str" cm="1">
        <f t="array" ref="H1658">_xlfn.IFS(G1658&gt;=20,"20-25", G1658&gt;=15,"15-20", G1658&gt;=10,"10-15", G1658&gt;=5,"5-10", G1658&gt;=1,"1-5", G1658&lt;1,"Less than 1")</f>
        <v>1-5</v>
      </c>
      <c r="I1658">
        <v>5</v>
      </c>
      <c r="J1658">
        <v>5</v>
      </c>
      <c r="K1658" s="6">
        <v>3</v>
      </c>
      <c r="L1658" s="2">
        <v>3.99</v>
      </c>
      <c r="M1658" s="6">
        <v>7</v>
      </c>
      <c r="N1658" t="str" cm="1">
        <f t="array" ref="N1658">_xlfn.IFS(M1658&gt;=50,"50-60 Days", M1658&gt;=40,"40-50 Days", M1658&gt;=30, "30-40 Days", M1658&gt;=20, "20-30 Days", M1658&gt;=10, "10-20 Days", M1658&gt;=0, "0-10 Days")</f>
        <v>0-10 Days</v>
      </c>
    </row>
    <row r="1659" spans="1:14">
      <c r="A1659">
        <v>1658</v>
      </c>
      <c r="B1659" t="s">
        <v>28</v>
      </c>
      <c r="C1659" s="5">
        <v>45167</v>
      </c>
      <c r="D1659" s="8">
        <v>45167</v>
      </c>
      <c r="E1659" s="8">
        <f>IF(B1659="Inactive", EDATE(D1659,K1659), "")</f>
        <v>45259</v>
      </c>
      <c r="F1659" t="s">
        <v>10</v>
      </c>
      <c r="G1659">
        <v>19.5</v>
      </c>
      <c r="H1659" t="str" cm="1">
        <f t="array" ref="H1659">_xlfn.IFS(G1659&gt;=20,"20-25", G1659&gt;=15,"15-20", G1659&gt;=10,"10-15", G1659&gt;=5,"5-10", G1659&gt;=1,"1-5", G1659&lt;1,"Less than 1")</f>
        <v>15-20</v>
      </c>
      <c r="I1659">
        <v>7</v>
      </c>
      <c r="J1659">
        <v>3</v>
      </c>
      <c r="K1659" s="6">
        <v>3</v>
      </c>
      <c r="L1659" s="2">
        <v>6.99</v>
      </c>
      <c r="M1659" s="6">
        <v>38</v>
      </c>
      <c r="N1659" t="str" cm="1">
        <f t="array" ref="N1659">_xlfn.IFS(M1659&gt;=50,"50-60 Days", M1659&gt;=40,"40-50 Days", M1659&gt;=30, "30-40 Days", M1659&gt;=20, "20-30 Days", M1659&gt;=10, "10-20 Days", M1659&gt;=0, "0-10 Days")</f>
        <v>30-40 Days</v>
      </c>
    </row>
    <row r="1660" spans="1:14">
      <c r="A1660">
        <v>1659</v>
      </c>
      <c r="B1660" t="s">
        <v>29</v>
      </c>
      <c r="C1660" s="5">
        <v>45257</v>
      </c>
      <c r="D1660" s="8">
        <v>45257</v>
      </c>
      <c r="E1660" s="8" t="str">
        <f>IF(B1660="Inactive", EDATE(D1660,K1660), "")</f>
        <v/>
      </c>
      <c r="F1660" t="s">
        <v>12</v>
      </c>
      <c r="G1660">
        <v>7.1</v>
      </c>
      <c r="H1660" t="str" cm="1">
        <f t="array" ref="H1660">_xlfn.IFS(G1660&gt;=20,"20-25", G1660&gt;=15,"15-20", G1660&gt;=10,"10-15", G1660&gt;=5,"5-10", G1660&gt;=1,"1-5", G1660&lt;1,"Less than 1")</f>
        <v>5-10</v>
      </c>
      <c r="I1660">
        <v>3</v>
      </c>
      <c r="J1660">
        <v>3</v>
      </c>
      <c r="K1660" s="6">
        <v>7</v>
      </c>
      <c r="L1660" s="2">
        <v>1.99</v>
      </c>
      <c r="M1660" s="6">
        <v>3</v>
      </c>
      <c r="N1660" t="str" cm="1">
        <f t="array" ref="N1660">_xlfn.IFS(M1660&gt;=50,"50-60 Days", M1660&gt;=40,"40-50 Days", M1660&gt;=30, "30-40 Days", M1660&gt;=20, "20-30 Days", M1660&gt;=10, "10-20 Days", M1660&gt;=0, "0-10 Days")</f>
        <v>0-10 Days</v>
      </c>
    </row>
    <row r="1661" spans="1:14">
      <c r="A1661">
        <v>1660</v>
      </c>
      <c r="B1661" t="s">
        <v>28</v>
      </c>
      <c r="C1661" s="5">
        <v>44982</v>
      </c>
      <c r="D1661" s="8">
        <v>44982</v>
      </c>
      <c r="E1661" s="8">
        <f>IF(B1661="Inactive", EDATE(D1661,K1661), "")</f>
        <v>45194</v>
      </c>
      <c r="F1661" t="s">
        <v>14</v>
      </c>
      <c r="G1661">
        <v>10.6</v>
      </c>
      <c r="H1661" t="str" cm="1">
        <f t="array" ref="H1661">_xlfn.IFS(G1661&gt;=20,"20-25", G1661&gt;=15,"15-20", G1661&gt;=10,"10-15", G1661&gt;=5,"5-10", G1661&gt;=1,"1-5", G1661&lt;1,"Less than 1")</f>
        <v>10-15</v>
      </c>
      <c r="I1661">
        <v>7</v>
      </c>
      <c r="J1661">
        <v>3</v>
      </c>
      <c r="K1661" s="6">
        <v>7</v>
      </c>
      <c r="L1661" s="2">
        <v>3.99</v>
      </c>
      <c r="M1661" s="6">
        <v>25</v>
      </c>
      <c r="N1661" t="str" cm="1">
        <f t="array" ref="N1661">_xlfn.IFS(M1661&gt;=50,"50-60 Days", M1661&gt;=40,"40-50 Days", M1661&gt;=30, "30-40 Days", M1661&gt;=20, "20-30 Days", M1661&gt;=10, "10-20 Days", M1661&gt;=0, "0-10 Days")</f>
        <v>20-30 Days</v>
      </c>
    </row>
    <row r="1662" spans="1:14">
      <c r="A1662">
        <v>1661</v>
      </c>
      <c r="B1662" t="s">
        <v>28</v>
      </c>
      <c r="C1662" s="5">
        <v>45385</v>
      </c>
      <c r="D1662" s="8">
        <v>45385</v>
      </c>
      <c r="E1662" s="8">
        <f>IF(B1662="Inactive", EDATE(D1662,K1662), "")</f>
        <v>45719</v>
      </c>
      <c r="F1662" t="s">
        <v>14</v>
      </c>
      <c r="G1662">
        <v>18.3</v>
      </c>
      <c r="H1662" t="str" cm="1">
        <f t="array" ref="H1662">_xlfn.IFS(G1662&gt;=20,"20-25", G1662&gt;=15,"15-20", G1662&gt;=10,"10-15", G1662&gt;=5,"5-10", G1662&gt;=1,"1-5", G1662&lt;1,"Less than 1")</f>
        <v>15-20</v>
      </c>
      <c r="I1662">
        <v>5</v>
      </c>
      <c r="J1662">
        <v>5</v>
      </c>
      <c r="K1662" s="6">
        <v>11</v>
      </c>
      <c r="L1662" s="2">
        <v>3.99</v>
      </c>
      <c r="M1662" s="6">
        <v>52</v>
      </c>
      <c r="N1662" t="str" cm="1">
        <f t="array" ref="N1662">_xlfn.IFS(M1662&gt;=50,"50-60 Days", M1662&gt;=40,"40-50 Days", M1662&gt;=30, "30-40 Days", M1662&gt;=20, "20-30 Days", M1662&gt;=10, "10-20 Days", M1662&gt;=0, "0-10 Days")</f>
        <v>50-60 Days</v>
      </c>
    </row>
    <row r="1663" spans="1:14">
      <c r="A1663">
        <v>1662</v>
      </c>
      <c r="B1663" t="s">
        <v>29</v>
      </c>
      <c r="C1663" s="5">
        <v>45039</v>
      </c>
      <c r="D1663" s="8">
        <v>45039</v>
      </c>
      <c r="E1663" s="8" t="str">
        <f>IF(B1663="Inactive", EDATE(D1663,K1663), "")</f>
        <v/>
      </c>
      <c r="F1663" t="s">
        <v>14</v>
      </c>
      <c r="G1663">
        <v>14.5</v>
      </c>
      <c r="H1663" t="str" cm="1">
        <f t="array" ref="H1663">_xlfn.IFS(G1663&gt;=20,"20-25", G1663&gt;=15,"15-20", G1663&gt;=10,"10-15", G1663&gt;=5,"5-10", G1663&gt;=1,"1-5", G1663&lt;1,"Less than 1")</f>
        <v>10-15</v>
      </c>
      <c r="I1663">
        <v>2</v>
      </c>
      <c r="J1663">
        <v>4</v>
      </c>
      <c r="K1663" s="6">
        <v>5</v>
      </c>
      <c r="L1663" s="2">
        <v>3.99</v>
      </c>
      <c r="M1663" s="6">
        <v>13</v>
      </c>
      <c r="N1663" t="str" cm="1">
        <f t="array" ref="N1663">_xlfn.IFS(M1663&gt;=50,"50-60 Days", M1663&gt;=40,"40-50 Days", M1663&gt;=30, "30-40 Days", M1663&gt;=20, "20-30 Days", M1663&gt;=10, "10-20 Days", M1663&gt;=0, "0-10 Days")</f>
        <v>10-20 Days</v>
      </c>
    </row>
    <row r="1664" spans="1:14">
      <c r="A1664">
        <v>1663</v>
      </c>
      <c r="B1664" t="s">
        <v>28</v>
      </c>
      <c r="C1664" s="5">
        <v>45315</v>
      </c>
      <c r="D1664" s="8">
        <v>45315</v>
      </c>
      <c r="E1664" s="8">
        <f>IF(B1664="Inactive", EDATE(D1664,K1664), "")</f>
        <v>45559</v>
      </c>
      <c r="F1664" t="s">
        <v>10</v>
      </c>
      <c r="G1664">
        <v>3.7</v>
      </c>
      <c r="H1664" t="str" cm="1">
        <f t="array" ref="H1664">_xlfn.IFS(G1664&gt;=20,"20-25", G1664&gt;=15,"15-20", G1664&gt;=10,"10-15", G1664&gt;=5,"5-10", G1664&gt;=1,"1-5", G1664&lt;1,"Less than 1")</f>
        <v>1-5</v>
      </c>
      <c r="I1664">
        <v>8</v>
      </c>
      <c r="J1664">
        <v>0</v>
      </c>
      <c r="K1664" s="6">
        <v>8</v>
      </c>
      <c r="L1664" s="2">
        <v>6.99</v>
      </c>
      <c r="M1664" s="6">
        <v>60</v>
      </c>
      <c r="N1664" t="str" cm="1">
        <f t="array" ref="N1664">_xlfn.IFS(M1664&gt;=50,"50-60 Days", M1664&gt;=40,"40-50 Days", M1664&gt;=30, "30-40 Days", M1664&gt;=20, "20-30 Days", M1664&gt;=10, "10-20 Days", M1664&gt;=0, "0-10 Days")</f>
        <v>50-60 Days</v>
      </c>
    </row>
    <row r="1665" spans="1:14">
      <c r="A1665">
        <v>1664</v>
      </c>
      <c r="B1665" t="s">
        <v>28</v>
      </c>
      <c r="C1665" s="5">
        <v>45142</v>
      </c>
      <c r="D1665" s="8">
        <v>45142</v>
      </c>
      <c r="E1665" s="8">
        <f>IF(B1665="Inactive", EDATE(D1665,K1665), "")</f>
        <v>45386</v>
      </c>
      <c r="F1665" t="s">
        <v>12</v>
      </c>
      <c r="G1665">
        <v>22.8</v>
      </c>
      <c r="H1665" t="str" cm="1">
        <f t="array" ref="H1665">_xlfn.IFS(G1665&gt;=20,"20-25", G1665&gt;=15,"15-20", G1665&gt;=10,"10-15", G1665&gt;=5,"5-10", G1665&gt;=1,"1-5", G1665&lt;1,"Less than 1")</f>
        <v>20-25</v>
      </c>
      <c r="I1665">
        <v>8</v>
      </c>
      <c r="J1665">
        <v>0</v>
      </c>
      <c r="K1665" s="6">
        <v>8</v>
      </c>
      <c r="L1665" s="2">
        <v>1.99</v>
      </c>
      <c r="M1665" s="6">
        <v>41</v>
      </c>
      <c r="N1665" t="str" cm="1">
        <f t="array" ref="N1665">_xlfn.IFS(M1665&gt;=50,"50-60 Days", M1665&gt;=40,"40-50 Days", M1665&gt;=30, "30-40 Days", M1665&gt;=20, "20-30 Days", M1665&gt;=10, "10-20 Days", M1665&gt;=0, "0-10 Days")</f>
        <v>40-50 Days</v>
      </c>
    </row>
    <row r="1666" spans="1:14">
      <c r="A1666">
        <v>1665</v>
      </c>
      <c r="B1666" t="s">
        <v>29</v>
      </c>
      <c r="C1666" s="5">
        <v>45161</v>
      </c>
      <c r="D1666" s="8">
        <v>45161</v>
      </c>
      <c r="E1666" s="8" t="str">
        <f>IF(B1666="Inactive", EDATE(D1666,K1666), "")</f>
        <v/>
      </c>
      <c r="F1666" t="s">
        <v>14</v>
      </c>
      <c r="G1666">
        <v>5.4</v>
      </c>
      <c r="H1666" t="str" cm="1">
        <f t="array" ref="H1666">_xlfn.IFS(G1666&gt;=20,"20-25", G1666&gt;=15,"15-20", G1666&gt;=10,"10-15", G1666&gt;=5,"5-10", G1666&gt;=1,"1-5", G1666&lt;1,"Less than 1")</f>
        <v>5-10</v>
      </c>
      <c r="I1666">
        <v>2</v>
      </c>
      <c r="J1666">
        <v>4</v>
      </c>
      <c r="K1666" s="6">
        <v>12</v>
      </c>
      <c r="L1666" s="2">
        <v>3.99</v>
      </c>
      <c r="M1666" s="6">
        <v>25</v>
      </c>
      <c r="N1666" t="str" cm="1">
        <f t="array" ref="N1666">_xlfn.IFS(M1666&gt;=50,"50-60 Days", M1666&gt;=40,"40-50 Days", M1666&gt;=30, "30-40 Days", M1666&gt;=20, "20-30 Days", M1666&gt;=10, "10-20 Days", M1666&gt;=0, "0-10 Days")</f>
        <v>20-30 Days</v>
      </c>
    </row>
    <row r="1667" spans="1:14">
      <c r="A1667">
        <v>1666</v>
      </c>
      <c r="B1667" t="s">
        <v>29</v>
      </c>
      <c r="C1667" s="5">
        <v>45181</v>
      </c>
      <c r="D1667" s="8">
        <v>45181</v>
      </c>
      <c r="E1667" s="8" t="str">
        <f>IF(B1667="Inactive", EDATE(D1667,K1667), "")</f>
        <v/>
      </c>
      <c r="F1667" t="s">
        <v>14</v>
      </c>
      <c r="G1667">
        <v>22.8</v>
      </c>
      <c r="H1667" t="str" cm="1">
        <f t="array" ref="H1667">_xlfn.IFS(G1667&gt;=20,"20-25", G1667&gt;=15,"15-20", G1667&gt;=10,"10-15", G1667&gt;=5,"5-10", G1667&gt;=1,"1-5", G1667&lt;1,"Less than 1")</f>
        <v>20-25</v>
      </c>
      <c r="I1667">
        <v>5</v>
      </c>
      <c r="J1667">
        <v>3</v>
      </c>
      <c r="K1667" s="6">
        <v>4</v>
      </c>
      <c r="L1667" s="2">
        <v>3.99</v>
      </c>
      <c r="M1667" s="6">
        <v>13</v>
      </c>
      <c r="N1667" t="str" cm="1">
        <f t="array" ref="N1667">_xlfn.IFS(M1667&gt;=50,"50-60 Days", M1667&gt;=40,"40-50 Days", M1667&gt;=30, "30-40 Days", M1667&gt;=20, "20-30 Days", M1667&gt;=10, "10-20 Days", M1667&gt;=0, "0-10 Days")</f>
        <v>10-20 Days</v>
      </c>
    </row>
    <row r="1668" spans="1:14">
      <c r="A1668">
        <v>1667</v>
      </c>
      <c r="B1668" t="s">
        <v>28</v>
      </c>
      <c r="C1668" s="5">
        <v>45423</v>
      </c>
      <c r="D1668" s="8">
        <v>45423</v>
      </c>
      <c r="E1668" s="8">
        <f>IF(B1668="Inactive", EDATE(D1668,K1668), "")</f>
        <v>45454</v>
      </c>
      <c r="F1668" t="s">
        <v>12</v>
      </c>
      <c r="G1668">
        <v>21.2</v>
      </c>
      <c r="H1668" t="str" cm="1">
        <f t="array" ref="H1668">_xlfn.IFS(G1668&gt;=20,"20-25", G1668&gt;=15,"15-20", G1668&gt;=10,"10-15", G1668&gt;=5,"5-10", G1668&gt;=1,"1-5", G1668&lt;1,"Less than 1")</f>
        <v>20-25</v>
      </c>
      <c r="I1668">
        <v>8</v>
      </c>
      <c r="J1668">
        <v>0</v>
      </c>
      <c r="K1668" s="6">
        <v>1</v>
      </c>
      <c r="L1668" s="2">
        <v>1.99</v>
      </c>
      <c r="M1668" s="6">
        <v>32</v>
      </c>
      <c r="N1668" t="str" cm="1">
        <f t="array" ref="N1668">_xlfn.IFS(M1668&gt;=50,"50-60 Days", M1668&gt;=40,"40-50 Days", M1668&gt;=30, "30-40 Days", M1668&gt;=20, "20-30 Days", M1668&gt;=10, "10-20 Days", M1668&gt;=0, "0-10 Days")</f>
        <v>30-40 Days</v>
      </c>
    </row>
    <row r="1669" spans="1:14">
      <c r="A1669">
        <v>1668</v>
      </c>
      <c r="B1669" t="s">
        <v>29</v>
      </c>
      <c r="C1669" s="5">
        <v>45180</v>
      </c>
      <c r="D1669" s="8">
        <v>45180</v>
      </c>
      <c r="E1669" s="8" t="str">
        <f>IF(B1669="Inactive", EDATE(D1669,K1669), "")</f>
        <v/>
      </c>
      <c r="F1669" t="s">
        <v>12</v>
      </c>
      <c r="G1669">
        <v>7.4</v>
      </c>
      <c r="H1669" t="str" cm="1">
        <f t="array" ref="H1669">_xlfn.IFS(G1669&gt;=20,"20-25", G1669&gt;=15,"15-20", G1669&gt;=10,"10-15", G1669&gt;=5,"5-10", G1669&gt;=1,"1-5", G1669&lt;1,"Less than 1")</f>
        <v>5-10</v>
      </c>
      <c r="I1669">
        <v>0</v>
      </c>
      <c r="J1669">
        <v>1</v>
      </c>
      <c r="K1669" s="6">
        <v>4</v>
      </c>
      <c r="L1669" s="2">
        <v>1.99</v>
      </c>
      <c r="M1669" s="6">
        <v>40</v>
      </c>
      <c r="N1669" t="str" cm="1">
        <f t="array" ref="N1669">_xlfn.IFS(M1669&gt;=50,"50-60 Days", M1669&gt;=40,"40-50 Days", M1669&gt;=30, "30-40 Days", M1669&gt;=20, "20-30 Days", M1669&gt;=10, "10-20 Days", M1669&gt;=0, "0-10 Days")</f>
        <v>40-50 Days</v>
      </c>
    </row>
    <row r="1670" spans="1:14">
      <c r="A1670">
        <v>1669</v>
      </c>
      <c r="B1670" t="s">
        <v>28</v>
      </c>
      <c r="C1670" s="5">
        <v>45203</v>
      </c>
      <c r="D1670" s="8">
        <v>45203</v>
      </c>
      <c r="E1670" s="8">
        <f>IF(B1670="Inactive", EDATE(D1670,K1670), "")</f>
        <v>45386</v>
      </c>
      <c r="F1670" t="s">
        <v>12</v>
      </c>
      <c r="G1670">
        <v>18.899999999999999</v>
      </c>
      <c r="H1670" t="str" cm="1">
        <f t="array" ref="H1670">_xlfn.IFS(G1670&gt;=20,"20-25", G1670&gt;=15,"15-20", G1670&gt;=10,"10-15", G1670&gt;=5,"5-10", G1670&gt;=1,"1-5", G1670&lt;1,"Less than 1")</f>
        <v>15-20</v>
      </c>
      <c r="I1670">
        <v>6</v>
      </c>
      <c r="J1670">
        <v>5</v>
      </c>
      <c r="K1670" s="6">
        <v>6</v>
      </c>
      <c r="L1670" s="2">
        <v>1.99</v>
      </c>
      <c r="M1670" s="6">
        <v>25</v>
      </c>
      <c r="N1670" t="str" cm="1">
        <f t="array" ref="N1670">_xlfn.IFS(M1670&gt;=50,"50-60 Days", M1670&gt;=40,"40-50 Days", M1670&gt;=30, "30-40 Days", M1670&gt;=20, "20-30 Days", M1670&gt;=10, "10-20 Days", M1670&gt;=0, "0-10 Days")</f>
        <v>20-30 Days</v>
      </c>
    </row>
    <row r="1671" spans="1:14">
      <c r="A1671">
        <v>1670</v>
      </c>
      <c r="B1671" t="s">
        <v>29</v>
      </c>
      <c r="C1671" s="5">
        <v>45481</v>
      </c>
      <c r="D1671" s="8">
        <v>45481</v>
      </c>
      <c r="E1671" s="8" t="str">
        <f>IF(B1671="Inactive", EDATE(D1671,K1671), "")</f>
        <v/>
      </c>
      <c r="F1671" t="s">
        <v>12</v>
      </c>
      <c r="G1671">
        <v>2.2999999999999998</v>
      </c>
      <c r="H1671" t="str" cm="1">
        <f t="array" ref="H1671">_xlfn.IFS(G1671&gt;=20,"20-25", G1671&gt;=15,"15-20", G1671&gt;=10,"10-15", G1671&gt;=5,"5-10", G1671&gt;=1,"1-5", G1671&lt;1,"Less than 1")</f>
        <v>1-5</v>
      </c>
      <c r="I1671">
        <v>6</v>
      </c>
      <c r="J1671">
        <v>0</v>
      </c>
      <c r="K1671" s="6">
        <v>2</v>
      </c>
      <c r="L1671" s="2">
        <v>1.99</v>
      </c>
      <c r="M1671" s="6">
        <v>0</v>
      </c>
      <c r="N1671" t="str" cm="1">
        <f t="array" ref="N1671">_xlfn.IFS(M1671&gt;=50,"50-60 Days", M1671&gt;=40,"40-50 Days", M1671&gt;=30, "30-40 Days", M1671&gt;=20, "20-30 Days", M1671&gt;=10, "10-20 Days", M1671&gt;=0, "0-10 Days")</f>
        <v>0-10 Days</v>
      </c>
    </row>
    <row r="1672" spans="1:14">
      <c r="A1672">
        <v>1671</v>
      </c>
      <c r="B1672" t="s">
        <v>28</v>
      </c>
      <c r="C1672" s="5">
        <v>45246</v>
      </c>
      <c r="D1672" s="8">
        <v>45246</v>
      </c>
      <c r="E1672" s="8">
        <f>IF(B1672="Inactive", EDATE(D1672,K1672), "")</f>
        <v>45367</v>
      </c>
      <c r="F1672" t="s">
        <v>10</v>
      </c>
      <c r="G1672">
        <v>2.8</v>
      </c>
      <c r="H1672" t="str" cm="1">
        <f t="array" ref="H1672">_xlfn.IFS(G1672&gt;=20,"20-25", G1672&gt;=15,"15-20", G1672&gt;=10,"10-15", G1672&gt;=5,"5-10", G1672&gt;=1,"1-5", G1672&lt;1,"Less than 1")</f>
        <v>1-5</v>
      </c>
      <c r="I1672">
        <v>6</v>
      </c>
      <c r="J1672">
        <v>1</v>
      </c>
      <c r="K1672" s="6">
        <v>4</v>
      </c>
      <c r="L1672" s="2">
        <v>6.99</v>
      </c>
      <c r="M1672" s="6">
        <v>53</v>
      </c>
      <c r="N1672" t="str" cm="1">
        <f t="array" ref="N1672">_xlfn.IFS(M1672&gt;=50,"50-60 Days", M1672&gt;=40,"40-50 Days", M1672&gt;=30, "30-40 Days", M1672&gt;=20, "20-30 Days", M1672&gt;=10, "10-20 Days", M1672&gt;=0, "0-10 Days")</f>
        <v>50-60 Days</v>
      </c>
    </row>
    <row r="1673" spans="1:14">
      <c r="A1673">
        <v>1672</v>
      </c>
      <c r="B1673" t="s">
        <v>29</v>
      </c>
      <c r="C1673" s="5">
        <v>45029</v>
      </c>
      <c r="D1673" s="8">
        <v>45029</v>
      </c>
      <c r="E1673" s="8" t="str">
        <f>IF(B1673="Inactive", EDATE(D1673,K1673), "")</f>
        <v/>
      </c>
      <c r="F1673" t="s">
        <v>14</v>
      </c>
      <c r="G1673">
        <v>13.1</v>
      </c>
      <c r="H1673" t="str" cm="1">
        <f t="array" ref="H1673">_xlfn.IFS(G1673&gt;=20,"20-25", G1673&gt;=15,"15-20", G1673&gt;=10,"10-15", G1673&gt;=5,"5-10", G1673&gt;=1,"1-5", G1673&lt;1,"Less than 1")</f>
        <v>10-15</v>
      </c>
      <c r="I1673">
        <v>0</v>
      </c>
      <c r="J1673">
        <v>2</v>
      </c>
      <c r="K1673" s="6">
        <v>10</v>
      </c>
      <c r="L1673" s="2">
        <v>3.99</v>
      </c>
      <c r="M1673" s="6">
        <v>17</v>
      </c>
      <c r="N1673" t="str" cm="1">
        <f t="array" ref="N1673">_xlfn.IFS(M1673&gt;=50,"50-60 Days", M1673&gt;=40,"40-50 Days", M1673&gt;=30, "30-40 Days", M1673&gt;=20, "20-30 Days", M1673&gt;=10, "10-20 Days", M1673&gt;=0, "0-10 Days")</f>
        <v>10-20 Days</v>
      </c>
    </row>
    <row r="1674" spans="1:14">
      <c r="A1674">
        <v>1673</v>
      </c>
      <c r="B1674" t="s">
        <v>29</v>
      </c>
      <c r="C1674" s="5">
        <v>45501</v>
      </c>
      <c r="D1674" s="8">
        <v>45501</v>
      </c>
      <c r="E1674" s="8" t="str">
        <f>IF(B1674="Inactive", EDATE(D1674,K1674), "")</f>
        <v/>
      </c>
      <c r="F1674" t="s">
        <v>14</v>
      </c>
      <c r="G1674">
        <v>9.6999999999999993</v>
      </c>
      <c r="H1674" t="str" cm="1">
        <f t="array" ref="H1674">_xlfn.IFS(G1674&gt;=20,"20-25", G1674&gt;=15,"15-20", G1674&gt;=10,"10-15", G1674&gt;=5,"5-10", G1674&gt;=1,"1-5", G1674&lt;1,"Less than 1")</f>
        <v>5-10</v>
      </c>
      <c r="I1674">
        <v>6</v>
      </c>
      <c r="J1674">
        <v>0</v>
      </c>
      <c r="K1674" s="6">
        <v>11</v>
      </c>
      <c r="L1674" s="2">
        <v>3.99</v>
      </c>
      <c r="M1674" s="6">
        <v>14</v>
      </c>
      <c r="N1674" t="str" cm="1">
        <f t="array" ref="N1674">_xlfn.IFS(M1674&gt;=50,"50-60 Days", M1674&gt;=40,"40-50 Days", M1674&gt;=30, "30-40 Days", M1674&gt;=20, "20-30 Days", M1674&gt;=10, "10-20 Days", M1674&gt;=0, "0-10 Days")</f>
        <v>10-20 Days</v>
      </c>
    </row>
    <row r="1675" spans="1:14">
      <c r="A1675">
        <v>1674</v>
      </c>
      <c r="B1675" t="s">
        <v>28</v>
      </c>
      <c r="C1675" s="5">
        <v>45435</v>
      </c>
      <c r="D1675" s="8">
        <v>45435</v>
      </c>
      <c r="E1675" s="8">
        <f>IF(B1675="Inactive", EDATE(D1675,K1675), "")</f>
        <v>45770</v>
      </c>
      <c r="F1675" t="s">
        <v>14</v>
      </c>
      <c r="G1675">
        <v>7.5</v>
      </c>
      <c r="H1675" t="str" cm="1">
        <f t="array" ref="H1675">_xlfn.IFS(G1675&gt;=20,"20-25", G1675&gt;=15,"15-20", G1675&gt;=10,"10-15", G1675&gt;=5,"5-10", G1675&gt;=1,"1-5", G1675&lt;1,"Less than 1")</f>
        <v>5-10</v>
      </c>
      <c r="I1675">
        <v>8</v>
      </c>
      <c r="J1675">
        <v>4</v>
      </c>
      <c r="K1675" s="6">
        <v>11</v>
      </c>
      <c r="L1675" s="2">
        <v>3.99</v>
      </c>
      <c r="M1675" s="6">
        <v>15</v>
      </c>
      <c r="N1675" t="str" cm="1">
        <f t="array" ref="N1675">_xlfn.IFS(M1675&gt;=50,"50-60 Days", M1675&gt;=40,"40-50 Days", M1675&gt;=30, "30-40 Days", M1675&gt;=20, "20-30 Days", M1675&gt;=10, "10-20 Days", M1675&gt;=0, "0-10 Days")</f>
        <v>10-20 Days</v>
      </c>
    </row>
    <row r="1676" spans="1:14">
      <c r="A1676">
        <v>1675</v>
      </c>
      <c r="B1676" t="s">
        <v>28</v>
      </c>
      <c r="C1676" s="5">
        <v>45518</v>
      </c>
      <c r="D1676" s="8">
        <v>45518</v>
      </c>
      <c r="E1676" s="8">
        <f>IF(B1676="Inactive", EDATE(D1676,K1676), "")</f>
        <v>45791</v>
      </c>
      <c r="F1676" t="s">
        <v>10</v>
      </c>
      <c r="G1676">
        <v>23.8</v>
      </c>
      <c r="H1676" t="str" cm="1">
        <f t="array" ref="H1676">_xlfn.IFS(G1676&gt;=20,"20-25", G1676&gt;=15,"15-20", G1676&gt;=10,"10-15", G1676&gt;=5,"5-10", G1676&gt;=1,"1-5", G1676&lt;1,"Less than 1")</f>
        <v>20-25</v>
      </c>
      <c r="I1676">
        <v>8</v>
      </c>
      <c r="J1676">
        <v>5</v>
      </c>
      <c r="K1676" s="6">
        <v>9</v>
      </c>
      <c r="L1676" s="2">
        <v>6.99</v>
      </c>
      <c r="M1676" s="6">
        <v>6</v>
      </c>
      <c r="N1676" t="str" cm="1">
        <f t="array" ref="N1676">_xlfn.IFS(M1676&gt;=50,"50-60 Days", M1676&gt;=40,"40-50 Days", M1676&gt;=30, "30-40 Days", M1676&gt;=20, "20-30 Days", M1676&gt;=10, "10-20 Days", M1676&gt;=0, "0-10 Days")</f>
        <v>0-10 Days</v>
      </c>
    </row>
    <row r="1677" spans="1:14">
      <c r="A1677">
        <v>1676</v>
      </c>
      <c r="B1677" t="s">
        <v>28</v>
      </c>
      <c r="C1677" s="5">
        <v>45585</v>
      </c>
      <c r="D1677" s="8">
        <v>45585</v>
      </c>
      <c r="E1677" s="8">
        <f>IF(B1677="Inactive", EDATE(D1677,K1677), "")</f>
        <v>45858</v>
      </c>
      <c r="F1677" t="s">
        <v>12</v>
      </c>
      <c r="G1677">
        <v>19.399999999999999</v>
      </c>
      <c r="H1677" t="str" cm="1">
        <f t="array" ref="H1677">_xlfn.IFS(G1677&gt;=20,"20-25", G1677&gt;=15,"15-20", G1677&gt;=10,"10-15", G1677&gt;=5,"5-10", G1677&gt;=1,"1-5", G1677&lt;1,"Less than 1")</f>
        <v>15-20</v>
      </c>
      <c r="I1677">
        <v>7</v>
      </c>
      <c r="J1677">
        <v>2</v>
      </c>
      <c r="K1677" s="6">
        <v>9</v>
      </c>
      <c r="L1677" s="2">
        <v>1.99</v>
      </c>
      <c r="M1677" s="6">
        <v>30</v>
      </c>
      <c r="N1677" t="str" cm="1">
        <f t="array" ref="N1677">_xlfn.IFS(M1677&gt;=50,"50-60 Days", M1677&gt;=40,"40-50 Days", M1677&gt;=30, "30-40 Days", M1677&gt;=20, "20-30 Days", M1677&gt;=10, "10-20 Days", M1677&gt;=0, "0-10 Days")</f>
        <v>30-40 Days</v>
      </c>
    </row>
    <row r="1678" spans="1:14">
      <c r="A1678">
        <v>1677</v>
      </c>
      <c r="B1678" t="s">
        <v>28</v>
      </c>
      <c r="C1678" s="5">
        <v>45428</v>
      </c>
      <c r="D1678" s="8">
        <v>45428</v>
      </c>
      <c r="E1678" s="8">
        <f>IF(B1678="Inactive", EDATE(D1678,K1678), "")</f>
        <v>45673</v>
      </c>
      <c r="F1678" t="s">
        <v>14</v>
      </c>
      <c r="G1678">
        <v>4</v>
      </c>
      <c r="H1678" t="str" cm="1">
        <f t="array" ref="H1678">_xlfn.IFS(G1678&gt;=20,"20-25", G1678&gt;=15,"15-20", G1678&gt;=10,"10-15", G1678&gt;=5,"5-10", G1678&gt;=1,"1-5", G1678&lt;1,"Less than 1")</f>
        <v>1-5</v>
      </c>
      <c r="I1678">
        <v>1</v>
      </c>
      <c r="J1678">
        <v>0</v>
      </c>
      <c r="K1678" s="6">
        <v>8</v>
      </c>
      <c r="L1678" s="2">
        <v>3.99</v>
      </c>
      <c r="M1678" s="6">
        <v>35</v>
      </c>
      <c r="N1678" t="str" cm="1">
        <f t="array" ref="N1678">_xlfn.IFS(M1678&gt;=50,"50-60 Days", M1678&gt;=40,"40-50 Days", M1678&gt;=30, "30-40 Days", M1678&gt;=20, "20-30 Days", M1678&gt;=10, "10-20 Days", M1678&gt;=0, "0-10 Days")</f>
        <v>30-40 Days</v>
      </c>
    </row>
    <row r="1679" spans="1:14">
      <c r="A1679">
        <v>1678</v>
      </c>
      <c r="B1679" t="s">
        <v>28</v>
      </c>
      <c r="C1679" s="5">
        <v>45507</v>
      </c>
      <c r="D1679" s="8">
        <v>45507</v>
      </c>
      <c r="E1679" s="8">
        <f>IF(B1679="Inactive", EDATE(D1679,K1679), "")</f>
        <v>45691</v>
      </c>
      <c r="F1679" t="s">
        <v>10</v>
      </c>
      <c r="G1679">
        <v>2.6</v>
      </c>
      <c r="H1679" t="str" cm="1">
        <f t="array" ref="H1679">_xlfn.IFS(G1679&gt;=20,"20-25", G1679&gt;=15,"15-20", G1679&gt;=10,"10-15", G1679&gt;=5,"5-10", G1679&gt;=1,"1-5", G1679&lt;1,"Less than 1")</f>
        <v>1-5</v>
      </c>
      <c r="I1679">
        <v>6</v>
      </c>
      <c r="J1679">
        <v>4</v>
      </c>
      <c r="K1679" s="6">
        <v>6</v>
      </c>
      <c r="L1679" s="2">
        <v>6.99</v>
      </c>
      <c r="M1679" s="6">
        <v>53</v>
      </c>
      <c r="N1679" t="str" cm="1">
        <f t="array" ref="N1679">_xlfn.IFS(M1679&gt;=50,"50-60 Days", M1679&gt;=40,"40-50 Days", M1679&gt;=30, "30-40 Days", M1679&gt;=20, "20-30 Days", M1679&gt;=10, "10-20 Days", M1679&gt;=0, "0-10 Days")</f>
        <v>50-60 Days</v>
      </c>
    </row>
    <row r="1680" spans="1:14">
      <c r="A1680">
        <v>1679</v>
      </c>
      <c r="B1680" t="s">
        <v>29</v>
      </c>
      <c r="C1680" s="5">
        <v>45081</v>
      </c>
      <c r="D1680" s="8">
        <v>45081</v>
      </c>
      <c r="E1680" s="8" t="str">
        <f>IF(B1680="Inactive", EDATE(D1680,K1680), "")</f>
        <v/>
      </c>
      <c r="F1680" t="s">
        <v>12</v>
      </c>
      <c r="G1680">
        <v>19.3</v>
      </c>
      <c r="H1680" t="str" cm="1">
        <f t="array" ref="H1680">_xlfn.IFS(G1680&gt;=20,"20-25", G1680&gt;=15,"15-20", G1680&gt;=10,"10-15", G1680&gt;=5,"5-10", G1680&gt;=1,"1-5", G1680&lt;1,"Less than 1")</f>
        <v>15-20</v>
      </c>
      <c r="I1680">
        <v>4</v>
      </c>
      <c r="J1680">
        <v>3</v>
      </c>
      <c r="K1680" s="6">
        <v>2</v>
      </c>
      <c r="L1680" s="2">
        <v>1.99</v>
      </c>
      <c r="M1680" s="6">
        <v>19</v>
      </c>
      <c r="N1680" t="str" cm="1">
        <f t="array" ref="N1680">_xlfn.IFS(M1680&gt;=50,"50-60 Days", M1680&gt;=40,"40-50 Days", M1680&gt;=30, "30-40 Days", M1680&gt;=20, "20-30 Days", M1680&gt;=10, "10-20 Days", M1680&gt;=0, "0-10 Days")</f>
        <v>10-20 Days</v>
      </c>
    </row>
    <row r="1681" spans="1:14">
      <c r="A1681">
        <v>1680</v>
      </c>
      <c r="B1681" t="s">
        <v>29</v>
      </c>
      <c r="C1681" s="5">
        <v>45502</v>
      </c>
      <c r="D1681" s="8">
        <v>45502</v>
      </c>
      <c r="E1681" s="8" t="str">
        <f>IF(B1681="Inactive", EDATE(D1681,K1681), "")</f>
        <v/>
      </c>
      <c r="F1681" t="s">
        <v>12</v>
      </c>
      <c r="G1681">
        <v>17.399999999999999</v>
      </c>
      <c r="H1681" t="str" cm="1">
        <f t="array" ref="H1681">_xlfn.IFS(G1681&gt;=20,"20-25", G1681&gt;=15,"15-20", G1681&gt;=10,"10-15", G1681&gt;=5,"5-10", G1681&gt;=1,"1-5", G1681&lt;1,"Less than 1")</f>
        <v>15-20</v>
      </c>
      <c r="I1681">
        <v>6</v>
      </c>
      <c r="J1681">
        <v>0</v>
      </c>
      <c r="K1681" s="6">
        <v>7</v>
      </c>
      <c r="L1681" s="2">
        <v>1.99</v>
      </c>
      <c r="M1681" s="6">
        <v>17</v>
      </c>
      <c r="N1681" t="str" cm="1">
        <f t="array" ref="N1681">_xlfn.IFS(M1681&gt;=50,"50-60 Days", M1681&gt;=40,"40-50 Days", M1681&gt;=30, "30-40 Days", M1681&gt;=20, "20-30 Days", M1681&gt;=10, "10-20 Days", M1681&gt;=0, "0-10 Days")</f>
        <v>10-20 Days</v>
      </c>
    </row>
    <row r="1682" spans="1:14">
      <c r="A1682">
        <v>1681</v>
      </c>
      <c r="B1682" t="s">
        <v>29</v>
      </c>
      <c r="C1682" s="5">
        <v>45453</v>
      </c>
      <c r="D1682" s="8">
        <v>45453</v>
      </c>
      <c r="E1682" s="8" t="str">
        <f>IF(B1682="Inactive", EDATE(D1682,K1682), "")</f>
        <v/>
      </c>
      <c r="F1682" t="s">
        <v>14</v>
      </c>
      <c r="G1682">
        <v>12.7</v>
      </c>
      <c r="H1682" t="str" cm="1">
        <f t="array" ref="H1682">_xlfn.IFS(G1682&gt;=20,"20-25", G1682&gt;=15,"15-20", G1682&gt;=10,"10-15", G1682&gt;=5,"5-10", G1682&gt;=1,"1-5", G1682&lt;1,"Less than 1")</f>
        <v>10-15</v>
      </c>
      <c r="I1682">
        <v>3</v>
      </c>
      <c r="J1682">
        <v>2</v>
      </c>
      <c r="K1682" s="6">
        <v>12</v>
      </c>
      <c r="L1682" s="2">
        <v>3.99</v>
      </c>
      <c r="M1682" s="6">
        <v>29</v>
      </c>
      <c r="N1682" t="str" cm="1">
        <f t="array" ref="N1682">_xlfn.IFS(M1682&gt;=50,"50-60 Days", M1682&gt;=40,"40-50 Days", M1682&gt;=30, "30-40 Days", M1682&gt;=20, "20-30 Days", M1682&gt;=10, "10-20 Days", M1682&gt;=0, "0-10 Days")</f>
        <v>20-30 Days</v>
      </c>
    </row>
    <row r="1683" spans="1:14">
      <c r="A1683">
        <v>1682</v>
      </c>
      <c r="B1683" t="s">
        <v>28</v>
      </c>
      <c r="C1683" s="5">
        <v>44940</v>
      </c>
      <c r="D1683" s="8">
        <v>44940</v>
      </c>
      <c r="E1683" s="8">
        <f>IF(B1683="Inactive", EDATE(D1683,K1683), "")</f>
        <v>44999</v>
      </c>
      <c r="F1683" t="s">
        <v>10</v>
      </c>
      <c r="G1683">
        <v>23.1</v>
      </c>
      <c r="H1683" t="str" cm="1">
        <f t="array" ref="H1683">_xlfn.IFS(G1683&gt;=20,"20-25", G1683&gt;=15,"15-20", G1683&gt;=10,"10-15", G1683&gt;=5,"5-10", G1683&gt;=1,"1-5", G1683&lt;1,"Less than 1")</f>
        <v>20-25</v>
      </c>
      <c r="I1683">
        <v>6</v>
      </c>
      <c r="J1683">
        <v>5</v>
      </c>
      <c r="K1683" s="6">
        <v>2</v>
      </c>
      <c r="L1683" s="2">
        <v>6.99</v>
      </c>
      <c r="M1683" s="6">
        <v>4</v>
      </c>
      <c r="N1683" t="str" cm="1">
        <f t="array" ref="N1683">_xlfn.IFS(M1683&gt;=50,"50-60 Days", M1683&gt;=40,"40-50 Days", M1683&gt;=30, "30-40 Days", M1683&gt;=20, "20-30 Days", M1683&gt;=10, "10-20 Days", M1683&gt;=0, "0-10 Days")</f>
        <v>0-10 Days</v>
      </c>
    </row>
    <row r="1684" spans="1:14">
      <c r="A1684">
        <v>1683</v>
      </c>
      <c r="B1684" t="s">
        <v>29</v>
      </c>
      <c r="C1684" s="5">
        <v>45043</v>
      </c>
      <c r="D1684" s="8">
        <v>45043</v>
      </c>
      <c r="E1684" s="8" t="str">
        <f>IF(B1684="Inactive", EDATE(D1684,K1684), "")</f>
        <v/>
      </c>
      <c r="F1684" t="s">
        <v>12</v>
      </c>
      <c r="G1684">
        <v>18.8</v>
      </c>
      <c r="H1684" t="str" cm="1">
        <f t="array" ref="H1684">_xlfn.IFS(G1684&gt;=20,"20-25", G1684&gt;=15,"15-20", G1684&gt;=10,"10-15", G1684&gt;=5,"5-10", G1684&gt;=1,"1-5", G1684&lt;1,"Less than 1")</f>
        <v>15-20</v>
      </c>
      <c r="I1684">
        <v>2</v>
      </c>
      <c r="J1684">
        <v>1</v>
      </c>
      <c r="K1684" s="6">
        <v>12</v>
      </c>
      <c r="L1684" s="2">
        <v>1.99</v>
      </c>
      <c r="M1684" s="6">
        <v>28</v>
      </c>
      <c r="N1684" t="str" cm="1">
        <f t="array" ref="N1684">_xlfn.IFS(M1684&gt;=50,"50-60 Days", M1684&gt;=40,"40-50 Days", M1684&gt;=30, "30-40 Days", M1684&gt;=20, "20-30 Days", M1684&gt;=10, "10-20 Days", M1684&gt;=0, "0-10 Days")</f>
        <v>20-30 Days</v>
      </c>
    </row>
    <row r="1685" spans="1:14">
      <c r="A1685">
        <v>1684</v>
      </c>
      <c r="B1685" t="s">
        <v>29</v>
      </c>
      <c r="C1685" s="5">
        <v>45487</v>
      </c>
      <c r="D1685" s="8">
        <v>45487</v>
      </c>
      <c r="E1685" s="8" t="str">
        <f>IF(B1685="Inactive", EDATE(D1685,K1685), "")</f>
        <v/>
      </c>
      <c r="F1685" t="s">
        <v>12</v>
      </c>
      <c r="G1685">
        <v>12.6</v>
      </c>
      <c r="H1685" t="str" cm="1">
        <f t="array" ref="H1685">_xlfn.IFS(G1685&gt;=20,"20-25", G1685&gt;=15,"15-20", G1685&gt;=10,"10-15", G1685&gt;=5,"5-10", G1685&gt;=1,"1-5", G1685&lt;1,"Less than 1")</f>
        <v>10-15</v>
      </c>
      <c r="I1685">
        <v>8</v>
      </c>
      <c r="J1685">
        <v>3</v>
      </c>
      <c r="K1685" s="6">
        <v>10</v>
      </c>
      <c r="L1685" s="2">
        <v>1.99</v>
      </c>
      <c r="M1685" s="6">
        <v>8</v>
      </c>
      <c r="N1685" t="str" cm="1">
        <f t="array" ref="N1685">_xlfn.IFS(M1685&gt;=50,"50-60 Days", M1685&gt;=40,"40-50 Days", M1685&gt;=30, "30-40 Days", M1685&gt;=20, "20-30 Days", M1685&gt;=10, "10-20 Days", M1685&gt;=0, "0-10 Days")</f>
        <v>0-10 Days</v>
      </c>
    </row>
    <row r="1686" spans="1:14">
      <c r="A1686">
        <v>1685</v>
      </c>
      <c r="B1686" t="s">
        <v>29</v>
      </c>
      <c r="C1686" s="5">
        <v>45619</v>
      </c>
      <c r="D1686" s="8">
        <v>45619</v>
      </c>
      <c r="E1686" s="8" t="str">
        <f>IF(B1686="Inactive", EDATE(D1686,K1686), "")</f>
        <v/>
      </c>
      <c r="F1686" t="s">
        <v>14</v>
      </c>
      <c r="G1686">
        <v>0.7</v>
      </c>
      <c r="H1686" t="str" cm="1">
        <f t="array" ref="H1686">_xlfn.IFS(G1686&gt;=20,"20-25", G1686&gt;=15,"15-20", G1686&gt;=10,"10-15", G1686&gt;=5,"5-10", G1686&gt;=1,"1-5", G1686&lt;1,"Less than 1")</f>
        <v>Less than 1</v>
      </c>
      <c r="I1686">
        <v>1</v>
      </c>
      <c r="J1686">
        <v>3</v>
      </c>
      <c r="K1686" s="6">
        <v>9</v>
      </c>
      <c r="L1686" s="2">
        <v>3.99</v>
      </c>
      <c r="M1686" s="6">
        <v>18</v>
      </c>
      <c r="N1686" t="str" cm="1">
        <f t="array" ref="N1686">_xlfn.IFS(M1686&gt;=50,"50-60 Days", M1686&gt;=40,"40-50 Days", M1686&gt;=30, "30-40 Days", M1686&gt;=20, "20-30 Days", M1686&gt;=10, "10-20 Days", M1686&gt;=0, "0-10 Days")</f>
        <v>10-20 Days</v>
      </c>
    </row>
    <row r="1687" spans="1:14">
      <c r="A1687">
        <v>1686</v>
      </c>
      <c r="B1687" t="s">
        <v>28</v>
      </c>
      <c r="C1687" s="5">
        <v>45224</v>
      </c>
      <c r="D1687" s="8">
        <v>45224</v>
      </c>
      <c r="E1687" s="8">
        <f>IF(B1687="Inactive", EDATE(D1687,K1687), "")</f>
        <v>45590</v>
      </c>
      <c r="F1687" t="s">
        <v>14</v>
      </c>
      <c r="G1687">
        <v>8.4</v>
      </c>
      <c r="H1687" t="str" cm="1">
        <f t="array" ref="H1687">_xlfn.IFS(G1687&gt;=20,"20-25", G1687&gt;=15,"15-20", G1687&gt;=10,"10-15", G1687&gt;=5,"5-10", G1687&gt;=1,"1-5", G1687&lt;1,"Less than 1")</f>
        <v>5-10</v>
      </c>
      <c r="I1687">
        <v>5</v>
      </c>
      <c r="J1687">
        <v>4</v>
      </c>
      <c r="K1687" s="6">
        <v>12</v>
      </c>
      <c r="L1687" s="2">
        <v>3.99</v>
      </c>
      <c r="M1687" s="6">
        <v>41</v>
      </c>
      <c r="N1687" t="str" cm="1">
        <f t="array" ref="N1687">_xlfn.IFS(M1687&gt;=50,"50-60 Days", M1687&gt;=40,"40-50 Days", M1687&gt;=30, "30-40 Days", M1687&gt;=20, "20-30 Days", M1687&gt;=10, "10-20 Days", M1687&gt;=0, "0-10 Days")</f>
        <v>40-50 Days</v>
      </c>
    </row>
    <row r="1688" spans="1:14">
      <c r="A1688">
        <v>1687</v>
      </c>
      <c r="B1688" t="s">
        <v>28</v>
      </c>
      <c r="C1688" s="5">
        <v>45400</v>
      </c>
      <c r="D1688" s="8">
        <v>45400</v>
      </c>
      <c r="E1688" s="8">
        <f>IF(B1688="Inactive", EDATE(D1688,K1688), "")</f>
        <v>45553</v>
      </c>
      <c r="F1688" t="s">
        <v>10</v>
      </c>
      <c r="G1688">
        <v>20.2</v>
      </c>
      <c r="H1688" t="str" cm="1">
        <f t="array" ref="H1688">_xlfn.IFS(G1688&gt;=20,"20-25", G1688&gt;=15,"15-20", G1688&gt;=10,"10-15", G1688&gt;=5,"5-10", G1688&gt;=1,"1-5", G1688&lt;1,"Less than 1")</f>
        <v>20-25</v>
      </c>
      <c r="I1688">
        <v>5</v>
      </c>
      <c r="J1688">
        <v>4</v>
      </c>
      <c r="K1688" s="6">
        <v>5</v>
      </c>
      <c r="L1688" s="2">
        <v>6.99</v>
      </c>
      <c r="M1688" s="6">
        <v>38</v>
      </c>
      <c r="N1688" t="str" cm="1">
        <f t="array" ref="N1688">_xlfn.IFS(M1688&gt;=50,"50-60 Days", M1688&gt;=40,"40-50 Days", M1688&gt;=30, "30-40 Days", M1688&gt;=20, "20-30 Days", M1688&gt;=10, "10-20 Days", M1688&gt;=0, "0-10 Days")</f>
        <v>30-40 Days</v>
      </c>
    </row>
    <row r="1689" spans="1:14">
      <c r="A1689">
        <v>1688</v>
      </c>
      <c r="B1689" t="s">
        <v>29</v>
      </c>
      <c r="C1689" s="5">
        <v>45412</v>
      </c>
      <c r="D1689" s="8">
        <v>45412</v>
      </c>
      <c r="E1689" s="8" t="str">
        <f>IF(B1689="Inactive", EDATE(D1689,K1689), "")</f>
        <v/>
      </c>
      <c r="F1689" t="s">
        <v>12</v>
      </c>
      <c r="G1689">
        <v>23.2</v>
      </c>
      <c r="H1689" t="str" cm="1">
        <f t="array" ref="H1689">_xlfn.IFS(G1689&gt;=20,"20-25", G1689&gt;=15,"15-20", G1689&gt;=10,"10-15", G1689&gt;=5,"5-10", G1689&gt;=1,"1-5", G1689&lt;1,"Less than 1")</f>
        <v>20-25</v>
      </c>
      <c r="I1689">
        <v>2</v>
      </c>
      <c r="J1689">
        <v>1</v>
      </c>
      <c r="K1689" s="6">
        <v>8</v>
      </c>
      <c r="L1689" s="2">
        <v>1.99</v>
      </c>
      <c r="M1689" s="6">
        <v>33</v>
      </c>
      <c r="N1689" t="str" cm="1">
        <f t="array" ref="N1689">_xlfn.IFS(M1689&gt;=50,"50-60 Days", M1689&gt;=40,"40-50 Days", M1689&gt;=30, "30-40 Days", M1689&gt;=20, "20-30 Days", M1689&gt;=10, "10-20 Days", M1689&gt;=0, "0-10 Days")</f>
        <v>30-40 Days</v>
      </c>
    </row>
    <row r="1690" spans="1:14">
      <c r="A1690">
        <v>1689</v>
      </c>
      <c r="B1690" t="s">
        <v>29</v>
      </c>
      <c r="C1690" s="5">
        <v>44932</v>
      </c>
      <c r="D1690" s="8">
        <v>44932</v>
      </c>
      <c r="E1690" s="8" t="str">
        <f>IF(B1690="Inactive", EDATE(D1690,K1690), "")</f>
        <v/>
      </c>
      <c r="F1690" t="s">
        <v>12</v>
      </c>
      <c r="G1690">
        <v>10.7</v>
      </c>
      <c r="H1690" t="str" cm="1">
        <f t="array" ref="H1690">_xlfn.IFS(G1690&gt;=20,"20-25", G1690&gt;=15,"15-20", G1690&gt;=10,"10-15", G1690&gt;=5,"5-10", G1690&gt;=1,"1-5", G1690&lt;1,"Less than 1")</f>
        <v>10-15</v>
      </c>
      <c r="I1690">
        <v>2</v>
      </c>
      <c r="J1690">
        <v>3</v>
      </c>
      <c r="K1690" s="6">
        <v>7</v>
      </c>
      <c r="L1690" s="2">
        <v>1.99</v>
      </c>
      <c r="M1690" s="6">
        <v>4</v>
      </c>
      <c r="N1690" t="str" cm="1">
        <f t="array" ref="N1690">_xlfn.IFS(M1690&gt;=50,"50-60 Days", M1690&gt;=40,"40-50 Days", M1690&gt;=30, "30-40 Days", M1690&gt;=20, "20-30 Days", M1690&gt;=10, "10-20 Days", M1690&gt;=0, "0-10 Days")</f>
        <v>0-10 Days</v>
      </c>
    </row>
    <row r="1691" spans="1:14">
      <c r="A1691">
        <v>1690</v>
      </c>
      <c r="B1691" t="s">
        <v>28</v>
      </c>
      <c r="C1691" s="5">
        <v>44989</v>
      </c>
      <c r="D1691" s="8">
        <v>44989</v>
      </c>
      <c r="E1691" s="8">
        <f>IF(B1691="Inactive", EDATE(D1691,K1691), "")</f>
        <v>45142</v>
      </c>
      <c r="F1691" t="s">
        <v>14</v>
      </c>
      <c r="G1691">
        <v>5.4</v>
      </c>
      <c r="H1691" t="str" cm="1">
        <f t="array" ref="H1691">_xlfn.IFS(G1691&gt;=20,"20-25", G1691&gt;=15,"15-20", G1691&gt;=10,"10-15", G1691&gt;=5,"5-10", G1691&gt;=1,"1-5", G1691&lt;1,"Less than 1")</f>
        <v>5-10</v>
      </c>
      <c r="I1691">
        <v>1</v>
      </c>
      <c r="J1691">
        <v>4</v>
      </c>
      <c r="K1691" s="6">
        <v>5</v>
      </c>
      <c r="L1691" s="2">
        <v>3.99</v>
      </c>
      <c r="M1691" s="6">
        <v>29</v>
      </c>
      <c r="N1691" t="str" cm="1">
        <f t="array" ref="N1691">_xlfn.IFS(M1691&gt;=50,"50-60 Days", M1691&gt;=40,"40-50 Days", M1691&gt;=30, "30-40 Days", M1691&gt;=20, "20-30 Days", M1691&gt;=10, "10-20 Days", M1691&gt;=0, "0-10 Days")</f>
        <v>20-30 Days</v>
      </c>
    </row>
    <row r="1692" spans="1:14">
      <c r="A1692">
        <v>1691</v>
      </c>
      <c r="B1692" t="s">
        <v>28</v>
      </c>
      <c r="C1692" s="5">
        <v>45158</v>
      </c>
      <c r="D1692" s="8">
        <v>45158</v>
      </c>
      <c r="E1692" s="8">
        <f>IF(B1692="Inactive", EDATE(D1692,K1692), "")</f>
        <v>45463</v>
      </c>
      <c r="F1692" t="s">
        <v>10</v>
      </c>
      <c r="G1692">
        <v>15.1</v>
      </c>
      <c r="H1692" t="str" cm="1">
        <f t="array" ref="H1692">_xlfn.IFS(G1692&gt;=20,"20-25", G1692&gt;=15,"15-20", G1692&gt;=10,"10-15", G1692&gt;=5,"5-10", G1692&gt;=1,"1-5", G1692&lt;1,"Less than 1")</f>
        <v>15-20</v>
      </c>
      <c r="I1692">
        <v>1</v>
      </c>
      <c r="J1692">
        <v>2</v>
      </c>
      <c r="K1692" s="6">
        <v>10</v>
      </c>
      <c r="L1692" s="2">
        <v>6.99</v>
      </c>
      <c r="M1692" s="6">
        <v>40</v>
      </c>
      <c r="N1692" t="str" cm="1">
        <f t="array" ref="N1692">_xlfn.IFS(M1692&gt;=50,"50-60 Days", M1692&gt;=40,"40-50 Days", M1692&gt;=30, "30-40 Days", M1692&gt;=20, "20-30 Days", M1692&gt;=10, "10-20 Days", M1692&gt;=0, "0-10 Days")</f>
        <v>40-50 Days</v>
      </c>
    </row>
    <row r="1693" spans="1:14">
      <c r="A1693">
        <v>1692</v>
      </c>
      <c r="B1693" t="s">
        <v>29</v>
      </c>
      <c r="C1693" s="5">
        <v>45363</v>
      </c>
      <c r="D1693" s="8">
        <v>45363</v>
      </c>
      <c r="E1693" s="8" t="str">
        <f>IF(B1693="Inactive", EDATE(D1693,K1693), "")</f>
        <v/>
      </c>
      <c r="F1693" t="s">
        <v>14</v>
      </c>
      <c r="G1693">
        <v>23.2</v>
      </c>
      <c r="H1693" t="str" cm="1">
        <f t="array" ref="H1693">_xlfn.IFS(G1693&gt;=20,"20-25", G1693&gt;=15,"15-20", G1693&gt;=10,"10-15", G1693&gt;=5,"5-10", G1693&gt;=1,"1-5", G1693&lt;1,"Less than 1")</f>
        <v>20-25</v>
      </c>
      <c r="I1693">
        <v>4</v>
      </c>
      <c r="J1693">
        <v>2</v>
      </c>
      <c r="K1693" s="6">
        <v>1</v>
      </c>
      <c r="L1693" s="2">
        <v>3.99</v>
      </c>
      <c r="M1693" s="6">
        <v>52</v>
      </c>
      <c r="N1693" t="str" cm="1">
        <f t="array" ref="N1693">_xlfn.IFS(M1693&gt;=50,"50-60 Days", M1693&gt;=40,"40-50 Days", M1693&gt;=30, "30-40 Days", M1693&gt;=20, "20-30 Days", M1693&gt;=10, "10-20 Days", M1693&gt;=0, "0-10 Days")</f>
        <v>50-60 Days</v>
      </c>
    </row>
    <row r="1694" spans="1:14">
      <c r="A1694">
        <v>1693</v>
      </c>
      <c r="B1694" t="s">
        <v>28</v>
      </c>
      <c r="C1694" s="5">
        <v>45602</v>
      </c>
      <c r="D1694" s="8">
        <v>45602</v>
      </c>
      <c r="E1694" s="8">
        <f>IF(B1694="Inactive", EDATE(D1694,K1694), "")</f>
        <v>45814</v>
      </c>
      <c r="F1694" t="s">
        <v>10</v>
      </c>
      <c r="G1694">
        <v>9.5</v>
      </c>
      <c r="H1694" t="str" cm="1">
        <f t="array" ref="H1694">_xlfn.IFS(G1694&gt;=20,"20-25", G1694&gt;=15,"15-20", G1694&gt;=10,"10-15", G1694&gt;=5,"5-10", G1694&gt;=1,"1-5", G1694&lt;1,"Less than 1")</f>
        <v>5-10</v>
      </c>
      <c r="I1694">
        <v>6</v>
      </c>
      <c r="J1694">
        <v>2</v>
      </c>
      <c r="K1694" s="6">
        <v>7</v>
      </c>
      <c r="L1694" s="2">
        <v>6.99</v>
      </c>
      <c r="M1694" s="6">
        <v>35</v>
      </c>
      <c r="N1694" t="str" cm="1">
        <f t="array" ref="N1694">_xlfn.IFS(M1694&gt;=50,"50-60 Days", M1694&gt;=40,"40-50 Days", M1694&gt;=30, "30-40 Days", M1694&gt;=20, "20-30 Days", M1694&gt;=10, "10-20 Days", M1694&gt;=0, "0-10 Days")</f>
        <v>30-40 Days</v>
      </c>
    </row>
    <row r="1695" spans="1:14">
      <c r="A1695">
        <v>1694</v>
      </c>
      <c r="B1695" t="s">
        <v>28</v>
      </c>
      <c r="C1695" s="5">
        <v>45196</v>
      </c>
      <c r="D1695" s="8">
        <v>45196</v>
      </c>
      <c r="E1695" s="8">
        <f>IF(B1695="Inactive", EDATE(D1695,K1695), "")</f>
        <v>45257</v>
      </c>
      <c r="F1695" t="s">
        <v>12</v>
      </c>
      <c r="G1695">
        <v>15</v>
      </c>
      <c r="H1695" t="str" cm="1">
        <f t="array" ref="H1695">_xlfn.IFS(G1695&gt;=20,"20-25", G1695&gt;=15,"15-20", G1695&gt;=10,"10-15", G1695&gt;=5,"5-10", G1695&gt;=1,"1-5", G1695&lt;1,"Less than 1")</f>
        <v>15-20</v>
      </c>
      <c r="I1695">
        <v>1</v>
      </c>
      <c r="J1695">
        <v>5</v>
      </c>
      <c r="K1695" s="6">
        <v>2</v>
      </c>
      <c r="L1695" s="2">
        <v>1.99</v>
      </c>
      <c r="M1695" s="6">
        <v>13</v>
      </c>
      <c r="N1695" t="str" cm="1">
        <f t="array" ref="N1695">_xlfn.IFS(M1695&gt;=50,"50-60 Days", M1695&gt;=40,"40-50 Days", M1695&gt;=30, "30-40 Days", M1695&gt;=20, "20-30 Days", M1695&gt;=10, "10-20 Days", M1695&gt;=0, "0-10 Days")</f>
        <v>10-20 Days</v>
      </c>
    </row>
    <row r="1696" spans="1:14">
      <c r="A1696">
        <v>1695</v>
      </c>
      <c r="B1696" t="s">
        <v>28</v>
      </c>
      <c r="C1696" s="5">
        <v>45265</v>
      </c>
      <c r="D1696" s="8">
        <v>45265</v>
      </c>
      <c r="E1696" s="8">
        <f>IF(B1696="Inactive", EDATE(D1696,K1696), "")</f>
        <v>45356</v>
      </c>
      <c r="F1696" t="s">
        <v>10</v>
      </c>
      <c r="G1696">
        <v>3.6</v>
      </c>
      <c r="H1696" t="str" cm="1">
        <f t="array" ref="H1696">_xlfn.IFS(G1696&gt;=20,"20-25", G1696&gt;=15,"15-20", G1696&gt;=10,"10-15", G1696&gt;=5,"5-10", G1696&gt;=1,"1-5", G1696&lt;1,"Less than 1")</f>
        <v>1-5</v>
      </c>
      <c r="I1696">
        <v>8</v>
      </c>
      <c r="J1696">
        <v>4</v>
      </c>
      <c r="K1696" s="6">
        <v>3</v>
      </c>
      <c r="L1696" s="2">
        <v>6.99</v>
      </c>
      <c r="M1696" s="6">
        <v>41</v>
      </c>
      <c r="N1696" t="str" cm="1">
        <f t="array" ref="N1696">_xlfn.IFS(M1696&gt;=50,"50-60 Days", M1696&gt;=40,"40-50 Days", M1696&gt;=30, "30-40 Days", M1696&gt;=20, "20-30 Days", M1696&gt;=10, "10-20 Days", M1696&gt;=0, "0-10 Days")</f>
        <v>40-50 Days</v>
      </c>
    </row>
    <row r="1697" spans="1:14">
      <c r="A1697">
        <v>1696</v>
      </c>
      <c r="B1697" t="s">
        <v>28</v>
      </c>
      <c r="C1697" s="5">
        <v>45164</v>
      </c>
      <c r="D1697" s="8">
        <v>45164</v>
      </c>
      <c r="E1697" s="8">
        <f>IF(B1697="Inactive", EDATE(D1697,K1697), "")</f>
        <v>45348</v>
      </c>
      <c r="F1697" t="s">
        <v>10</v>
      </c>
      <c r="G1697">
        <v>24.2</v>
      </c>
      <c r="H1697" t="str" cm="1">
        <f t="array" ref="H1697">_xlfn.IFS(G1697&gt;=20,"20-25", G1697&gt;=15,"15-20", G1697&gt;=10,"10-15", G1697&gt;=5,"5-10", G1697&gt;=1,"1-5", G1697&lt;1,"Less than 1")</f>
        <v>20-25</v>
      </c>
      <c r="I1697">
        <v>7</v>
      </c>
      <c r="J1697">
        <v>1</v>
      </c>
      <c r="K1697" s="6">
        <v>6</v>
      </c>
      <c r="L1697" s="2">
        <v>6.99</v>
      </c>
      <c r="M1697" s="6">
        <v>10</v>
      </c>
      <c r="N1697" t="str" cm="1">
        <f t="array" ref="N1697">_xlfn.IFS(M1697&gt;=50,"50-60 Days", M1697&gt;=40,"40-50 Days", M1697&gt;=30, "30-40 Days", M1697&gt;=20, "20-30 Days", M1697&gt;=10, "10-20 Days", M1697&gt;=0, "0-10 Days")</f>
        <v>10-20 Days</v>
      </c>
    </row>
    <row r="1698" spans="1:14">
      <c r="A1698">
        <v>1697</v>
      </c>
      <c r="B1698" t="s">
        <v>29</v>
      </c>
      <c r="C1698" s="5">
        <v>44927</v>
      </c>
      <c r="D1698" s="8">
        <v>44927</v>
      </c>
      <c r="E1698" s="8" t="str">
        <f>IF(B1698="Inactive", EDATE(D1698,K1698), "")</f>
        <v/>
      </c>
      <c r="F1698" t="s">
        <v>12</v>
      </c>
      <c r="G1698">
        <v>23.3</v>
      </c>
      <c r="H1698" t="str" cm="1">
        <f t="array" ref="H1698">_xlfn.IFS(G1698&gt;=20,"20-25", G1698&gt;=15,"15-20", G1698&gt;=10,"10-15", G1698&gt;=5,"5-10", G1698&gt;=1,"1-5", G1698&lt;1,"Less than 1")</f>
        <v>20-25</v>
      </c>
      <c r="I1698">
        <v>2</v>
      </c>
      <c r="J1698">
        <v>1</v>
      </c>
      <c r="K1698" s="6">
        <v>2</v>
      </c>
      <c r="L1698" s="2">
        <v>1.99</v>
      </c>
      <c r="M1698" s="6">
        <v>10</v>
      </c>
      <c r="N1698" t="str" cm="1">
        <f t="array" ref="N1698">_xlfn.IFS(M1698&gt;=50,"50-60 Days", M1698&gt;=40,"40-50 Days", M1698&gt;=30, "30-40 Days", M1698&gt;=20, "20-30 Days", M1698&gt;=10, "10-20 Days", M1698&gt;=0, "0-10 Days")</f>
        <v>10-20 Days</v>
      </c>
    </row>
    <row r="1699" spans="1:14">
      <c r="A1699">
        <v>1698</v>
      </c>
      <c r="B1699" t="s">
        <v>29</v>
      </c>
      <c r="C1699" s="5">
        <v>45362</v>
      </c>
      <c r="D1699" s="8">
        <v>45362</v>
      </c>
      <c r="E1699" s="8" t="str">
        <f>IF(B1699="Inactive", EDATE(D1699,K1699), "")</f>
        <v/>
      </c>
      <c r="F1699" t="s">
        <v>14</v>
      </c>
      <c r="G1699">
        <v>22.5</v>
      </c>
      <c r="H1699" t="str" cm="1">
        <f t="array" ref="H1699">_xlfn.IFS(G1699&gt;=20,"20-25", G1699&gt;=15,"15-20", G1699&gt;=10,"10-15", G1699&gt;=5,"5-10", G1699&gt;=1,"1-5", G1699&lt;1,"Less than 1")</f>
        <v>20-25</v>
      </c>
      <c r="I1699">
        <v>0</v>
      </c>
      <c r="J1699">
        <v>1</v>
      </c>
      <c r="K1699" s="6">
        <v>2</v>
      </c>
      <c r="L1699" s="2">
        <v>3.99</v>
      </c>
      <c r="M1699" s="6">
        <v>32</v>
      </c>
      <c r="N1699" t="str" cm="1">
        <f t="array" ref="N1699">_xlfn.IFS(M1699&gt;=50,"50-60 Days", M1699&gt;=40,"40-50 Days", M1699&gt;=30, "30-40 Days", M1699&gt;=20, "20-30 Days", M1699&gt;=10, "10-20 Days", M1699&gt;=0, "0-10 Days")</f>
        <v>30-40 Days</v>
      </c>
    </row>
    <row r="1700" spans="1:14">
      <c r="A1700">
        <v>1699</v>
      </c>
      <c r="B1700" t="s">
        <v>29</v>
      </c>
      <c r="C1700" s="5">
        <v>45313</v>
      </c>
      <c r="D1700" s="8">
        <v>45313</v>
      </c>
      <c r="E1700" s="8" t="str">
        <f>IF(B1700="Inactive", EDATE(D1700,K1700), "")</f>
        <v/>
      </c>
      <c r="F1700" t="s">
        <v>10</v>
      </c>
      <c r="G1700">
        <v>8.5</v>
      </c>
      <c r="H1700" t="str" cm="1">
        <f t="array" ref="H1700">_xlfn.IFS(G1700&gt;=20,"20-25", G1700&gt;=15,"15-20", G1700&gt;=10,"10-15", G1700&gt;=5,"5-10", G1700&gt;=1,"1-5", G1700&lt;1,"Less than 1")</f>
        <v>5-10</v>
      </c>
      <c r="I1700">
        <v>8</v>
      </c>
      <c r="J1700">
        <v>0</v>
      </c>
      <c r="K1700" s="6">
        <v>11</v>
      </c>
      <c r="L1700" s="2">
        <v>6.99</v>
      </c>
      <c r="M1700" s="6">
        <v>15</v>
      </c>
      <c r="N1700" t="str" cm="1">
        <f t="array" ref="N1700">_xlfn.IFS(M1700&gt;=50,"50-60 Days", M1700&gt;=40,"40-50 Days", M1700&gt;=30, "30-40 Days", M1700&gt;=20, "20-30 Days", M1700&gt;=10, "10-20 Days", M1700&gt;=0, "0-10 Days")</f>
        <v>10-20 Days</v>
      </c>
    </row>
    <row r="1701" spans="1:14">
      <c r="A1701">
        <v>1700</v>
      </c>
      <c r="B1701" t="s">
        <v>28</v>
      </c>
      <c r="C1701" s="5">
        <v>45546</v>
      </c>
      <c r="D1701" s="8">
        <v>45546</v>
      </c>
      <c r="E1701" s="8">
        <f>IF(B1701="Inactive", EDATE(D1701,K1701), "")</f>
        <v>45880</v>
      </c>
      <c r="F1701" t="s">
        <v>14</v>
      </c>
      <c r="G1701">
        <v>9.1999999999999993</v>
      </c>
      <c r="H1701" t="str" cm="1">
        <f t="array" ref="H1701">_xlfn.IFS(G1701&gt;=20,"20-25", G1701&gt;=15,"15-20", G1701&gt;=10,"10-15", G1701&gt;=5,"5-10", G1701&gt;=1,"1-5", G1701&lt;1,"Less than 1")</f>
        <v>5-10</v>
      </c>
      <c r="I1701">
        <v>8</v>
      </c>
      <c r="J1701">
        <v>2</v>
      </c>
      <c r="K1701" s="6">
        <v>11</v>
      </c>
      <c r="L1701" s="2">
        <v>3.99</v>
      </c>
      <c r="M1701" s="6">
        <v>33</v>
      </c>
      <c r="N1701" t="str" cm="1">
        <f t="array" ref="N1701">_xlfn.IFS(M1701&gt;=50,"50-60 Days", M1701&gt;=40,"40-50 Days", M1701&gt;=30, "30-40 Days", M1701&gt;=20, "20-30 Days", M1701&gt;=10, "10-20 Days", M1701&gt;=0, "0-10 Days")</f>
        <v>30-40 Days</v>
      </c>
    </row>
    <row r="1702" spans="1:14">
      <c r="A1702">
        <v>1701</v>
      </c>
      <c r="B1702" t="s">
        <v>29</v>
      </c>
      <c r="C1702" s="5">
        <v>45500</v>
      </c>
      <c r="D1702" s="8">
        <v>45500</v>
      </c>
      <c r="E1702" s="8" t="str">
        <f>IF(B1702="Inactive", EDATE(D1702,K1702), "")</f>
        <v/>
      </c>
      <c r="F1702" t="s">
        <v>12</v>
      </c>
      <c r="G1702">
        <v>23.7</v>
      </c>
      <c r="H1702" t="str" cm="1">
        <f t="array" ref="H1702">_xlfn.IFS(G1702&gt;=20,"20-25", G1702&gt;=15,"15-20", G1702&gt;=10,"10-15", G1702&gt;=5,"5-10", G1702&gt;=1,"1-5", G1702&lt;1,"Less than 1")</f>
        <v>20-25</v>
      </c>
      <c r="I1702">
        <v>4</v>
      </c>
      <c r="J1702">
        <v>5</v>
      </c>
      <c r="K1702" s="6">
        <v>4</v>
      </c>
      <c r="L1702" s="2">
        <v>1.99</v>
      </c>
      <c r="M1702" s="6">
        <v>9</v>
      </c>
      <c r="N1702" t="str" cm="1">
        <f t="array" ref="N1702">_xlfn.IFS(M1702&gt;=50,"50-60 Days", M1702&gt;=40,"40-50 Days", M1702&gt;=30, "30-40 Days", M1702&gt;=20, "20-30 Days", M1702&gt;=10, "10-20 Days", M1702&gt;=0, "0-10 Days")</f>
        <v>0-10 Days</v>
      </c>
    </row>
    <row r="1703" spans="1:14">
      <c r="A1703">
        <v>1702</v>
      </c>
      <c r="B1703" t="s">
        <v>29</v>
      </c>
      <c r="C1703" s="5">
        <v>45372</v>
      </c>
      <c r="D1703" s="8">
        <v>45372</v>
      </c>
      <c r="E1703" s="8" t="str">
        <f>IF(B1703="Inactive", EDATE(D1703,K1703), "")</f>
        <v/>
      </c>
      <c r="F1703" t="s">
        <v>14</v>
      </c>
      <c r="G1703">
        <v>17.5</v>
      </c>
      <c r="H1703" t="str" cm="1">
        <f t="array" ref="H1703">_xlfn.IFS(G1703&gt;=20,"20-25", G1703&gt;=15,"15-20", G1703&gt;=10,"10-15", G1703&gt;=5,"5-10", G1703&gt;=1,"1-5", G1703&lt;1,"Less than 1")</f>
        <v>15-20</v>
      </c>
      <c r="I1703">
        <v>4</v>
      </c>
      <c r="J1703">
        <v>5</v>
      </c>
      <c r="K1703" s="6">
        <v>11</v>
      </c>
      <c r="L1703" s="2">
        <v>3.99</v>
      </c>
      <c r="M1703" s="6">
        <v>7</v>
      </c>
      <c r="N1703" t="str" cm="1">
        <f t="array" ref="N1703">_xlfn.IFS(M1703&gt;=50,"50-60 Days", M1703&gt;=40,"40-50 Days", M1703&gt;=30, "30-40 Days", M1703&gt;=20, "20-30 Days", M1703&gt;=10, "10-20 Days", M1703&gt;=0, "0-10 Days")</f>
        <v>0-10 Days</v>
      </c>
    </row>
    <row r="1704" spans="1:14">
      <c r="A1704">
        <v>1703</v>
      </c>
      <c r="B1704" t="s">
        <v>28</v>
      </c>
      <c r="C1704" s="5">
        <v>45361</v>
      </c>
      <c r="D1704" s="8">
        <v>45361</v>
      </c>
      <c r="E1704" s="8">
        <f>IF(B1704="Inactive", EDATE(D1704,K1704), "")</f>
        <v>45606</v>
      </c>
      <c r="F1704" t="s">
        <v>10</v>
      </c>
      <c r="G1704">
        <v>4.9000000000000004</v>
      </c>
      <c r="H1704" t="str" cm="1">
        <f t="array" ref="H1704">_xlfn.IFS(G1704&gt;=20,"20-25", G1704&gt;=15,"15-20", G1704&gt;=10,"10-15", G1704&gt;=5,"5-10", G1704&gt;=1,"1-5", G1704&lt;1,"Less than 1")</f>
        <v>1-5</v>
      </c>
      <c r="I1704">
        <v>5</v>
      </c>
      <c r="J1704">
        <v>3</v>
      </c>
      <c r="K1704" s="6">
        <v>8</v>
      </c>
      <c r="L1704" s="2">
        <v>6.99</v>
      </c>
      <c r="M1704" s="6">
        <v>49</v>
      </c>
      <c r="N1704" t="str" cm="1">
        <f t="array" ref="N1704">_xlfn.IFS(M1704&gt;=50,"50-60 Days", M1704&gt;=40,"40-50 Days", M1704&gt;=30, "30-40 Days", M1704&gt;=20, "20-30 Days", M1704&gt;=10, "10-20 Days", M1704&gt;=0, "0-10 Days")</f>
        <v>40-50 Days</v>
      </c>
    </row>
    <row r="1705" spans="1:14">
      <c r="A1705">
        <v>1704</v>
      </c>
      <c r="B1705" t="s">
        <v>28</v>
      </c>
      <c r="C1705" s="5">
        <v>44937</v>
      </c>
      <c r="D1705" s="8">
        <v>44937</v>
      </c>
      <c r="E1705" s="8">
        <f>IF(B1705="Inactive", EDATE(D1705,K1705), "")</f>
        <v>45302</v>
      </c>
      <c r="F1705" t="s">
        <v>12</v>
      </c>
      <c r="G1705">
        <v>22</v>
      </c>
      <c r="H1705" t="str" cm="1">
        <f t="array" ref="H1705">_xlfn.IFS(G1705&gt;=20,"20-25", G1705&gt;=15,"15-20", G1705&gt;=10,"10-15", G1705&gt;=5,"5-10", G1705&gt;=1,"1-5", G1705&lt;1,"Less than 1")</f>
        <v>20-25</v>
      </c>
      <c r="I1705">
        <v>3</v>
      </c>
      <c r="J1705">
        <v>3</v>
      </c>
      <c r="K1705" s="6">
        <v>12</v>
      </c>
      <c r="L1705" s="2">
        <v>1.99</v>
      </c>
      <c r="M1705" s="6">
        <v>23</v>
      </c>
      <c r="N1705" t="str" cm="1">
        <f t="array" ref="N1705">_xlfn.IFS(M1705&gt;=50,"50-60 Days", M1705&gt;=40,"40-50 Days", M1705&gt;=30, "30-40 Days", M1705&gt;=20, "20-30 Days", M1705&gt;=10, "10-20 Days", M1705&gt;=0, "0-10 Days")</f>
        <v>20-30 Days</v>
      </c>
    </row>
    <row r="1706" spans="1:14">
      <c r="A1706">
        <v>1705</v>
      </c>
      <c r="B1706" t="s">
        <v>28</v>
      </c>
      <c r="C1706" s="5">
        <v>45023</v>
      </c>
      <c r="D1706" s="8">
        <v>45023</v>
      </c>
      <c r="E1706" s="8">
        <f>IF(B1706="Inactive", EDATE(D1706,K1706), "")</f>
        <v>45329</v>
      </c>
      <c r="F1706" t="s">
        <v>12</v>
      </c>
      <c r="G1706">
        <v>9.3000000000000007</v>
      </c>
      <c r="H1706" t="str" cm="1">
        <f t="array" ref="H1706">_xlfn.IFS(G1706&gt;=20,"20-25", G1706&gt;=15,"15-20", G1706&gt;=10,"10-15", G1706&gt;=5,"5-10", G1706&gt;=1,"1-5", G1706&lt;1,"Less than 1")</f>
        <v>5-10</v>
      </c>
      <c r="I1706">
        <v>3</v>
      </c>
      <c r="J1706">
        <v>0</v>
      </c>
      <c r="K1706" s="6">
        <v>10</v>
      </c>
      <c r="L1706" s="2">
        <v>1.99</v>
      </c>
      <c r="M1706" s="6">
        <v>37</v>
      </c>
      <c r="N1706" t="str" cm="1">
        <f t="array" ref="N1706">_xlfn.IFS(M1706&gt;=50,"50-60 Days", M1706&gt;=40,"40-50 Days", M1706&gt;=30, "30-40 Days", M1706&gt;=20, "20-30 Days", M1706&gt;=10, "10-20 Days", M1706&gt;=0, "0-10 Days")</f>
        <v>30-40 Days</v>
      </c>
    </row>
    <row r="1707" spans="1:14">
      <c r="A1707">
        <v>1706</v>
      </c>
      <c r="B1707" t="s">
        <v>28</v>
      </c>
      <c r="C1707" s="5">
        <v>45208</v>
      </c>
      <c r="D1707" s="8">
        <v>45208</v>
      </c>
      <c r="E1707" s="8">
        <f>IF(B1707="Inactive", EDATE(D1707,K1707), "")</f>
        <v>45391</v>
      </c>
      <c r="F1707" t="s">
        <v>14</v>
      </c>
      <c r="G1707">
        <v>12.8</v>
      </c>
      <c r="H1707" t="str" cm="1">
        <f t="array" ref="H1707">_xlfn.IFS(G1707&gt;=20,"20-25", G1707&gt;=15,"15-20", G1707&gt;=10,"10-15", G1707&gt;=5,"5-10", G1707&gt;=1,"1-5", G1707&lt;1,"Less than 1")</f>
        <v>10-15</v>
      </c>
      <c r="I1707">
        <v>0</v>
      </c>
      <c r="J1707">
        <v>4</v>
      </c>
      <c r="K1707" s="6">
        <v>6</v>
      </c>
      <c r="L1707" s="2">
        <v>3.99</v>
      </c>
      <c r="M1707" s="6">
        <v>17</v>
      </c>
      <c r="N1707" t="str" cm="1">
        <f t="array" ref="N1707">_xlfn.IFS(M1707&gt;=50,"50-60 Days", M1707&gt;=40,"40-50 Days", M1707&gt;=30, "30-40 Days", M1707&gt;=20, "20-30 Days", M1707&gt;=10, "10-20 Days", M1707&gt;=0, "0-10 Days")</f>
        <v>10-20 Days</v>
      </c>
    </row>
    <row r="1708" spans="1:14">
      <c r="A1708">
        <v>1707</v>
      </c>
      <c r="B1708" t="s">
        <v>28</v>
      </c>
      <c r="C1708" s="5">
        <v>45512</v>
      </c>
      <c r="D1708" s="8">
        <v>45512</v>
      </c>
      <c r="E1708" s="8">
        <f>IF(B1708="Inactive", EDATE(D1708,K1708), "")</f>
        <v>45846</v>
      </c>
      <c r="F1708" t="s">
        <v>10</v>
      </c>
      <c r="G1708">
        <v>10.3</v>
      </c>
      <c r="H1708" t="str" cm="1">
        <f t="array" ref="H1708">_xlfn.IFS(G1708&gt;=20,"20-25", G1708&gt;=15,"15-20", G1708&gt;=10,"10-15", G1708&gt;=5,"5-10", G1708&gt;=1,"1-5", G1708&lt;1,"Less than 1")</f>
        <v>10-15</v>
      </c>
      <c r="I1708">
        <v>4</v>
      </c>
      <c r="J1708">
        <v>2</v>
      </c>
      <c r="K1708" s="6">
        <v>11</v>
      </c>
      <c r="L1708" s="2">
        <v>6.99</v>
      </c>
      <c r="M1708" s="6">
        <v>40</v>
      </c>
      <c r="N1708" t="str" cm="1">
        <f t="array" ref="N1708">_xlfn.IFS(M1708&gt;=50,"50-60 Days", M1708&gt;=40,"40-50 Days", M1708&gt;=30, "30-40 Days", M1708&gt;=20, "20-30 Days", M1708&gt;=10, "10-20 Days", M1708&gt;=0, "0-10 Days")</f>
        <v>40-50 Days</v>
      </c>
    </row>
    <row r="1709" spans="1:14">
      <c r="A1709">
        <v>1708</v>
      </c>
      <c r="B1709" t="s">
        <v>28</v>
      </c>
      <c r="C1709" s="5">
        <v>45590</v>
      </c>
      <c r="D1709" s="8">
        <v>45590</v>
      </c>
      <c r="E1709" s="8">
        <f>IF(B1709="Inactive", EDATE(D1709,K1709), "")</f>
        <v>45925</v>
      </c>
      <c r="F1709" t="s">
        <v>12</v>
      </c>
      <c r="G1709">
        <v>24.9</v>
      </c>
      <c r="H1709" t="str" cm="1">
        <f t="array" ref="H1709">_xlfn.IFS(G1709&gt;=20,"20-25", G1709&gt;=15,"15-20", G1709&gt;=10,"10-15", G1709&gt;=5,"5-10", G1709&gt;=1,"1-5", G1709&lt;1,"Less than 1")</f>
        <v>20-25</v>
      </c>
      <c r="I1709">
        <v>7</v>
      </c>
      <c r="J1709">
        <v>3</v>
      </c>
      <c r="K1709" s="6">
        <v>11</v>
      </c>
      <c r="L1709" s="2">
        <v>1.99</v>
      </c>
      <c r="M1709" s="6">
        <v>11</v>
      </c>
      <c r="N1709" t="str" cm="1">
        <f t="array" ref="N1709">_xlfn.IFS(M1709&gt;=50,"50-60 Days", M1709&gt;=40,"40-50 Days", M1709&gt;=30, "30-40 Days", M1709&gt;=20, "20-30 Days", M1709&gt;=10, "10-20 Days", M1709&gt;=0, "0-10 Days")</f>
        <v>10-20 Days</v>
      </c>
    </row>
    <row r="1710" spans="1:14">
      <c r="A1710">
        <v>1709</v>
      </c>
      <c r="B1710" t="s">
        <v>28</v>
      </c>
      <c r="C1710" s="5">
        <v>45649</v>
      </c>
      <c r="D1710" s="8">
        <v>45649</v>
      </c>
      <c r="E1710" s="8">
        <f>IF(B1710="Inactive", EDATE(D1710,K1710), "")</f>
        <v>45739</v>
      </c>
      <c r="F1710" t="s">
        <v>10</v>
      </c>
      <c r="G1710">
        <v>1.4</v>
      </c>
      <c r="H1710" t="str" cm="1">
        <f t="array" ref="H1710">_xlfn.IFS(G1710&gt;=20,"20-25", G1710&gt;=15,"15-20", G1710&gt;=10,"10-15", G1710&gt;=5,"5-10", G1710&gt;=1,"1-5", G1710&lt;1,"Less than 1")</f>
        <v>1-5</v>
      </c>
      <c r="I1710">
        <v>0</v>
      </c>
      <c r="J1710">
        <v>4</v>
      </c>
      <c r="K1710" s="6">
        <v>3</v>
      </c>
      <c r="L1710" s="2">
        <v>6.99</v>
      </c>
      <c r="M1710" s="6">
        <v>57</v>
      </c>
      <c r="N1710" t="str" cm="1">
        <f t="array" ref="N1710">_xlfn.IFS(M1710&gt;=50,"50-60 Days", M1710&gt;=40,"40-50 Days", M1710&gt;=30, "30-40 Days", M1710&gt;=20, "20-30 Days", M1710&gt;=10, "10-20 Days", M1710&gt;=0, "0-10 Days")</f>
        <v>50-60 Days</v>
      </c>
    </row>
    <row r="1711" spans="1:14">
      <c r="A1711">
        <v>1710</v>
      </c>
      <c r="B1711" t="s">
        <v>29</v>
      </c>
      <c r="C1711" s="5">
        <v>45049</v>
      </c>
      <c r="D1711" s="8">
        <v>45049</v>
      </c>
      <c r="E1711" s="8" t="str">
        <f>IF(B1711="Inactive", EDATE(D1711,K1711), "")</f>
        <v/>
      </c>
      <c r="F1711" t="s">
        <v>10</v>
      </c>
      <c r="G1711">
        <v>21.8</v>
      </c>
      <c r="H1711" t="str" cm="1">
        <f t="array" ref="H1711">_xlfn.IFS(G1711&gt;=20,"20-25", G1711&gt;=15,"15-20", G1711&gt;=10,"10-15", G1711&gt;=5,"5-10", G1711&gt;=1,"1-5", G1711&lt;1,"Less than 1")</f>
        <v>20-25</v>
      </c>
      <c r="I1711">
        <v>2</v>
      </c>
      <c r="J1711">
        <v>0</v>
      </c>
      <c r="K1711" s="6">
        <v>4</v>
      </c>
      <c r="L1711" s="2">
        <v>6.99</v>
      </c>
      <c r="M1711" s="6">
        <v>26</v>
      </c>
      <c r="N1711" t="str" cm="1">
        <f t="array" ref="N1711">_xlfn.IFS(M1711&gt;=50,"50-60 Days", M1711&gt;=40,"40-50 Days", M1711&gt;=30, "30-40 Days", M1711&gt;=20, "20-30 Days", M1711&gt;=10, "10-20 Days", M1711&gt;=0, "0-10 Days")</f>
        <v>20-30 Days</v>
      </c>
    </row>
    <row r="1712" spans="1:14">
      <c r="A1712">
        <v>1711</v>
      </c>
      <c r="B1712" t="s">
        <v>29</v>
      </c>
      <c r="C1712" s="5">
        <v>45211</v>
      </c>
      <c r="D1712" s="8">
        <v>45211</v>
      </c>
      <c r="E1712" s="8" t="str">
        <f>IF(B1712="Inactive", EDATE(D1712,K1712), "")</f>
        <v/>
      </c>
      <c r="F1712" t="s">
        <v>12</v>
      </c>
      <c r="G1712">
        <v>16.100000000000001</v>
      </c>
      <c r="H1712" t="str" cm="1">
        <f t="array" ref="H1712">_xlfn.IFS(G1712&gt;=20,"20-25", G1712&gt;=15,"15-20", G1712&gt;=10,"10-15", G1712&gt;=5,"5-10", G1712&gt;=1,"1-5", G1712&lt;1,"Less than 1")</f>
        <v>15-20</v>
      </c>
      <c r="I1712">
        <v>0</v>
      </c>
      <c r="J1712">
        <v>2</v>
      </c>
      <c r="K1712" s="6">
        <v>10</v>
      </c>
      <c r="L1712" s="2">
        <v>1.99</v>
      </c>
      <c r="M1712" s="6">
        <v>6</v>
      </c>
      <c r="N1712" t="str" cm="1">
        <f t="array" ref="N1712">_xlfn.IFS(M1712&gt;=50,"50-60 Days", M1712&gt;=40,"40-50 Days", M1712&gt;=30, "30-40 Days", M1712&gt;=20, "20-30 Days", M1712&gt;=10, "10-20 Days", M1712&gt;=0, "0-10 Days")</f>
        <v>0-10 Days</v>
      </c>
    </row>
    <row r="1713" spans="1:14">
      <c r="A1713">
        <v>1712</v>
      </c>
      <c r="B1713" t="s">
        <v>29</v>
      </c>
      <c r="C1713" s="5">
        <v>45527</v>
      </c>
      <c r="D1713" s="8">
        <v>45527</v>
      </c>
      <c r="E1713" s="8" t="str">
        <f>IF(B1713="Inactive", EDATE(D1713,K1713), "")</f>
        <v/>
      </c>
      <c r="F1713" t="s">
        <v>12</v>
      </c>
      <c r="G1713">
        <v>8.6999999999999993</v>
      </c>
      <c r="H1713" t="str" cm="1">
        <f t="array" ref="H1713">_xlfn.IFS(G1713&gt;=20,"20-25", G1713&gt;=15,"15-20", G1713&gt;=10,"10-15", G1713&gt;=5,"5-10", G1713&gt;=1,"1-5", G1713&lt;1,"Less than 1")</f>
        <v>5-10</v>
      </c>
      <c r="I1713">
        <v>5</v>
      </c>
      <c r="J1713">
        <v>5</v>
      </c>
      <c r="K1713" s="6">
        <v>1</v>
      </c>
      <c r="L1713" s="2">
        <v>1.99</v>
      </c>
      <c r="M1713" s="6">
        <v>10</v>
      </c>
      <c r="N1713" t="str" cm="1">
        <f t="array" ref="N1713">_xlfn.IFS(M1713&gt;=50,"50-60 Days", M1713&gt;=40,"40-50 Days", M1713&gt;=30, "30-40 Days", M1713&gt;=20, "20-30 Days", M1713&gt;=10, "10-20 Days", M1713&gt;=0, "0-10 Days")</f>
        <v>10-20 Days</v>
      </c>
    </row>
    <row r="1714" spans="1:14">
      <c r="A1714">
        <v>1713</v>
      </c>
      <c r="B1714" t="s">
        <v>28</v>
      </c>
      <c r="C1714" s="5">
        <v>44989</v>
      </c>
      <c r="D1714" s="8">
        <v>44989</v>
      </c>
      <c r="E1714" s="8">
        <f>IF(B1714="Inactive", EDATE(D1714,K1714), "")</f>
        <v>45234</v>
      </c>
      <c r="F1714" t="s">
        <v>10</v>
      </c>
      <c r="G1714">
        <v>13.2</v>
      </c>
      <c r="H1714" t="str" cm="1">
        <f t="array" ref="H1714">_xlfn.IFS(G1714&gt;=20,"20-25", G1714&gt;=15,"15-20", G1714&gt;=10,"10-15", G1714&gt;=5,"5-10", G1714&gt;=1,"1-5", G1714&lt;1,"Less than 1")</f>
        <v>10-15</v>
      </c>
      <c r="I1714">
        <v>6</v>
      </c>
      <c r="J1714">
        <v>3</v>
      </c>
      <c r="K1714" s="6">
        <v>8</v>
      </c>
      <c r="L1714" s="2">
        <v>6.99</v>
      </c>
      <c r="M1714" s="6">
        <v>53</v>
      </c>
      <c r="N1714" t="str" cm="1">
        <f t="array" ref="N1714">_xlfn.IFS(M1714&gt;=50,"50-60 Days", M1714&gt;=40,"40-50 Days", M1714&gt;=30, "30-40 Days", M1714&gt;=20, "20-30 Days", M1714&gt;=10, "10-20 Days", M1714&gt;=0, "0-10 Days")</f>
        <v>50-60 Days</v>
      </c>
    </row>
    <row r="1715" spans="1:14">
      <c r="A1715">
        <v>1714</v>
      </c>
      <c r="B1715" t="s">
        <v>28</v>
      </c>
      <c r="C1715" s="5">
        <v>45103</v>
      </c>
      <c r="D1715" s="8">
        <v>45103</v>
      </c>
      <c r="E1715" s="8">
        <f>IF(B1715="Inactive", EDATE(D1715,K1715), "")</f>
        <v>45256</v>
      </c>
      <c r="F1715" t="s">
        <v>12</v>
      </c>
      <c r="G1715">
        <v>20.7</v>
      </c>
      <c r="H1715" t="str" cm="1">
        <f t="array" ref="H1715">_xlfn.IFS(G1715&gt;=20,"20-25", G1715&gt;=15,"15-20", G1715&gt;=10,"10-15", G1715&gt;=5,"5-10", G1715&gt;=1,"1-5", G1715&lt;1,"Less than 1")</f>
        <v>20-25</v>
      </c>
      <c r="I1715">
        <v>8</v>
      </c>
      <c r="J1715">
        <v>1</v>
      </c>
      <c r="K1715" s="6">
        <v>5</v>
      </c>
      <c r="L1715" s="2">
        <v>1.99</v>
      </c>
      <c r="M1715" s="6">
        <v>46</v>
      </c>
      <c r="N1715" t="str" cm="1">
        <f t="array" ref="N1715">_xlfn.IFS(M1715&gt;=50,"50-60 Days", M1715&gt;=40,"40-50 Days", M1715&gt;=30, "30-40 Days", M1715&gt;=20, "20-30 Days", M1715&gt;=10, "10-20 Days", M1715&gt;=0, "0-10 Days")</f>
        <v>40-50 Days</v>
      </c>
    </row>
    <row r="1716" spans="1:14">
      <c r="A1716">
        <v>1715</v>
      </c>
      <c r="B1716" t="s">
        <v>28</v>
      </c>
      <c r="C1716" s="5">
        <v>45577</v>
      </c>
      <c r="D1716" s="8">
        <v>45577</v>
      </c>
      <c r="E1716" s="8">
        <f>IF(B1716="Inactive", EDATE(D1716,K1716), "")</f>
        <v>45608</v>
      </c>
      <c r="F1716" t="s">
        <v>14</v>
      </c>
      <c r="G1716">
        <v>7.3</v>
      </c>
      <c r="H1716" t="str" cm="1">
        <f t="array" ref="H1716">_xlfn.IFS(G1716&gt;=20,"20-25", G1716&gt;=15,"15-20", G1716&gt;=10,"10-15", G1716&gt;=5,"5-10", G1716&gt;=1,"1-5", G1716&lt;1,"Less than 1")</f>
        <v>5-10</v>
      </c>
      <c r="I1716">
        <v>3</v>
      </c>
      <c r="J1716">
        <v>5</v>
      </c>
      <c r="K1716" s="6">
        <v>1</v>
      </c>
      <c r="L1716" s="2">
        <v>3.99</v>
      </c>
      <c r="M1716" s="6">
        <v>32</v>
      </c>
      <c r="N1716" t="str" cm="1">
        <f t="array" ref="N1716">_xlfn.IFS(M1716&gt;=50,"50-60 Days", M1716&gt;=40,"40-50 Days", M1716&gt;=30, "30-40 Days", M1716&gt;=20, "20-30 Days", M1716&gt;=10, "10-20 Days", M1716&gt;=0, "0-10 Days")</f>
        <v>30-40 Days</v>
      </c>
    </row>
    <row r="1717" spans="1:14">
      <c r="A1717">
        <v>1716</v>
      </c>
      <c r="B1717" t="s">
        <v>28</v>
      </c>
      <c r="C1717" s="5">
        <v>45508</v>
      </c>
      <c r="D1717" s="8">
        <v>45508</v>
      </c>
      <c r="E1717" s="8">
        <f>IF(B1717="Inactive", EDATE(D1717,K1717), "")</f>
        <v>45539</v>
      </c>
      <c r="F1717" t="s">
        <v>10</v>
      </c>
      <c r="G1717">
        <v>8.1</v>
      </c>
      <c r="H1717" t="str" cm="1">
        <f t="array" ref="H1717">_xlfn.IFS(G1717&gt;=20,"20-25", G1717&gt;=15,"15-20", G1717&gt;=10,"10-15", G1717&gt;=5,"5-10", G1717&gt;=1,"1-5", G1717&lt;1,"Less than 1")</f>
        <v>5-10</v>
      </c>
      <c r="I1717">
        <v>8</v>
      </c>
      <c r="J1717">
        <v>2</v>
      </c>
      <c r="K1717" s="6">
        <v>1</v>
      </c>
      <c r="L1717" s="2">
        <v>6.99</v>
      </c>
      <c r="M1717" s="6">
        <v>7</v>
      </c>
      <c r="N1717" t="str" cm="1">
        <f t="array" ref="N1717">_xlfn.IFS(M1717&gt;=50,"50-60 Days", M1717&gt;=40,"40-50 Days", M1717&gt;=30, "30-40 Days", M1717&gt;=20, "20-30 Days", M1717&gt;=10, "10-20 Days", M1717&gt;=0, "0-10 Days")</f>
        <v>0-10 Days</v>
      </c>
    </row>
    <row r="1718" spans="1:14">
      <c r="A1718">
        <v>1717</v>
      </c>
      <c r="B1718" t="s">
        <v>29</v>
      </c>
      <c r="C1718" s="5">
        <v>45113</v>
      </c>
      <c r="D1718" s="8">
        <v>45113</v>
      </c>
      <c r="E1718" s="8" t="str">
        <f>IF(B1718="Inactive", EDATE(D1718,K1718), "")</f>
        <v/>
      </c>
      <c r="F1718" t="s">
        <v>10</v>
      </c>
      <c r="G1718">
        <v>14.4</v>
      </c>
      <c r="H1718" t="str" cm="1">
        <f t="array" ref="H1718">_xlfn.IFS(G1718&gt;=20,"20-25", G1718&gt;=15,"15-20", G1718&gt;=10,"10-15", G1718&gt;=5,"5-10", G1718&gt;=1,"1-5", G1718&lt;1,"Less than 1")</f>
        <v>10-15</v>
      </c>
      <c r="I1718">
        <v>7</v>
      </c>
      <c r="J1718">
        <v>0</v>
      </c>
      <c r="K1718" s="6">
        <v>2</v>
      </c>
      <c r="L1718" s="2">
        <v>6.99</v>
      </c>
      <c r="M1718" s="6">
        <v>7</v>
      </c>
      <c r="N1718" t="str" cm="1">
        <f t="array" ref="N1718">_xlfn.IFS(M1718&gt;=50,"50-60 Days", M1718&gt;=40,"40-50 Days", M1718&gt;=30, "30-40 Days", M1718&gt;=20, "20-30 Days", M1718&gt;=10, "10-20 Days", M1718&gt;=0, "0-10 Days")</f>
        <v>0-10 Days</v>
      </c>
    </row>
    <row r="1719" spans="1:14">
      <c r="A1719">
        <v>1718</v>
      </c>
      <c r="B1719" t="s">
        <v>28</v>
      </c>
      <c r="C1719" s="5">
        <v>45580</v>
      </c>
      <c r="D1719" s="8">
        <v>45580</v>
      </c>
      <c r="E1719" s="8">
        <f>IF(B1719="Inactive", EDATE(D1719,K1719), "")</f>
        <v>45641</v>
      </c>
      <c r="F1719" t="s">
        <v>10</v>
      </c>
      <c r="G1719">
        <v>5</v>
      </c>
      <c r="H1719" t="str" cm="1">
        <f t="array" ref="H1719">_xlfn.IFS(G1719&gt;=20,"20-25", G1719&gt;=15,"15-20", G1719&gt;=10,"10-15", G1719&gt;=5,"5-10", G1719&gt;=1,"1-5", G1719&lt;1,"Less than 1")</f>
        <v>5-10</v>
      </c>
      <c r="I1719">
        <v>0</v>
      </c>
      <c r="J1719">
        <v>1</v>
      </c>
      <c r="K1719" s="6">
        <v>2</v>
      </c>
      <c r="L1719" s="2">
        <v>6.99</v>
      </c>
      <c r="M1719" s="6">
        <v>50</v>
      </c>
      <c r="N1719" t="str" cm="1">
        <f t="array" ref="N1719">_xlfn.IFS(M1719&gt;=50,"50-60 Days", M1719&gt;=40,"40-50 Days", M1719&gt;=30, "30-40 Days", M1719&gt;=20, "20-30 Days", M1719&gt;=10, "10-20 Days", M1719&gt;=0, "0-10 Days")</f>
        <v>50-60 Days</v>
      </c>
    </row>
    <row r="1720" spans="1:14">
      <c r="A1720">
        <v>1719</v>
      </c>
      <c r="B1720" t="s">
        <v>28</v>
      </c>
      <c r="C1720" s="5">
        <v>45122</v>
      </c>
      <c r="D1720" s="8">
        <v>45122</v>
      </c>
      <c r="E1720" s="8">
        <f>IF(B1720="Inactive", EDATE(D1720,K1720), "")</f>
        <v>45427</v>
      </c>
      <c r="F1720" t="s">
        <v>14</v>
      </c>
      <c r="G1720">
        <v>2.5</v>
      </c>
      <c r="H1720" t="str" cm="1">
        <f t="array" ref="H1720">_xlfn.IFS(G1720&gt;=20,"20-25", G1720&gt;=15,"15-20", G1720&gt;=10,"10-15", G1720&gt;=5,"5-10", G1720&gt;=1,"1-5", G1720&lt;1,"Less than 1")</f>
        <v>1-5</v>
      </c>
      <c r="I1720">
        <v>3</v>
      </c>
      <c r="J1720">
        <v>2</v>
      </c>
      <c r="K1720" s="6">
        <v>10</v>
      </c>
      <c r="L1720" s="2">
        <v>3.99</v>
      </c>
      <c r="M1720" s="6">
        <v>53</v>
      </c>
      <c r="N1720" t="str" cm="1">
        <f t="array" ref="N1720">_xlfn.IFS(M1720&gt;=50,"50-60 Days", M1720&gt;=40,"40-50 Days", M1720&gt;=30, "30-40 Days", M1720&gt;=20, "20-30 Days", M1720&gt;=10, "10-20 Days", M1720&gt;=0, "0-10 Days")</f>
        <v>50-60 Days</v>
      </c>
    </row>
    <row r="1721" spans="1:14">
      <c r="A1721">
        <v>1720</v>
      </c>
      <c r="B1721" t="s">
        <v>28</v>
      </c>
      <c r="C1721" s="5">
        <v>45070</v>
      </c>
      <c r="D1721" s="8">
        <v>45070</v>
      </c>
      <c r="E1721" s="8">
        <f>IF(B1721="Inactive", EDATE(D1721,K1721), "")</f>
        <v>45162</v>
      </c>
      <c r="F1721" t="s">
        <v>10</v>
      </c>
      <c r="G1721">
        <v>8.1</v>
      </c>
      <c r="H1721" t="str" cm="1">
        <f t="array" ref="H1721">_xlfn.IFS(G1721&gt;=20,"20-25", G1721&gt;=15,"15-20", G1721&gt;=10,"10-15", G1721&gt;=5,"5-10", G1721&gt;=1,"1-5", G1721&lt;1,"Less than 1")</f>
        <v>5-10</v>
      </c>
      <c r="I1721">
        <v>6</v>
      </c>
      <c r="J1721">
        <v>5</v>
      </c>
      <c r="K1721" s="6">
        <v>3</v>
      </c>
      <c r="L1721" s="2">
        <v>6.99</v>
      </c>
      <c r="M1721" s="6">
        <v>18</v>
      </c>
      <c r="N1721" t="str" cm="1">
        <f t="array" ref="N1721">_xlfn.IFS(M1721&gt;=50,"50-60 Days", M1721&gt;=40,"40-50 Days", M1721&gt;=30, "30-40 Days", M1721&gt;=20, "20-30 Days", M1721&gt;=10, "10-20 Days", M1721&gt;=0, "0-10 Days")</f>
        <v>10-20 Days</v>
      </c>
    </row>
    <row r="1722" spans="1:14">
      <c r="A1722">
        <v>1721</v>
      </c>
      <c r="B1722" t="s">
        <v>28</v>
      </c>
      <c r="C1722" s="5">
        <v>45229</v>
      </c>
      <c r="D1722" s="8">
        <v>45229</v>
      </c>
      <c r="E1722" s="8">
        <f>IF(B1722="Inactive", EDATE(D1722,K1722), "")</f>
        <v>45442</v>
      </c>
      <c r="F1722" t="s">
        <v>10</v>
      </c>
      <c r="G1722">
        <v>10.6</v>
      </c>
      <c r="H1722" t="str" cm="1">
        <f t="array" ref="H1722">_xlfn.IFS(G1722&gt;=20,"20-25", G1722&gt;=15,"15-20", G1722&gt;=10,"10-15", G1722&gt;=5,"5-10", G1722&gt;=1,"1-5", G1722&lt;1,"Less than 1")</f>
        <v>10-15</v>
      </c>
      <c r="I1722">
        <v>3</v>
      </c>
      <c r="J1722">
        <v>2</v>
      </c>
      <c r="K1722" s="6">
        <v>7</v>
      </c>
      <c r="L1722" s="2">
        <v>6.99</v>
      </c>
      <c r="M1722" s="6">
        <v>56</v>
      </c>
      <c r="N1722" t="str" cm="1">
        <f t="array" ref="N1722">_xlfn.IFS(M1722&gt;=50,"50-60 Days", M1722&gt;=40,"40-50 Days", M1722&gt;=30, "30-40 Days", M1722&gt;=20, "20-30 Days", M1722&gt;=10, "10-20 Days", M1722&gt;=0, "0-10 Days")</f>
        <v>50-60 Days</v>
      </c>
    </row>
    <row r="1723" spans="1:14">
      <c r="A1723">
        <v>1722</v>
      </c>
      <c r="B1723" t="s">
        <v>28</v>
      </c>
      <c r="C1723" s="5">
        <v>45584</v>
      </c>
      <c r="D1723" s="8">
        <v>45584</v>
      </c>
      <c r="E1723" s="8">
        <f>IF(B1723="Inactive", EDATE(D1723,K1723), "")</f>
        <v>45888</v>
      </c>
      <c r="F1723" t="s">
        <v>14</v>
      </c>
      <c r="G1723">
        <v>7</v>
      </c>
      <c r="H1723" t="str" cm="1">
        <f t="array" ref="H1723">_xlfn.IFS(G1723&gt;=20,"20-25", G1723&gt;=15,"15-20", G1723&gt;=10,"10-15", G1723&gt;=5,"5-10", G1723&gt;=1,"1-5", G1723&lt;1,"Less than 1")</f>
        <v>5-10</v>
      </c>
      <c r="I1723">
        <v>7</v>
      </c>
      <c r="J1723">
        <v>2</v>
      </c>
      <c r="K1723" s="6">
        <v>10</v>
      </c>
      <c r="L1723" s="2">
        <v>3.99</v>
      </c>
      <c r="M1723" s="6">
        <v>37</v>
      </c>
      <c r="N1723" t="str" cm="1">
        <f t="array" ref="N1723">_xlfn.IFS(M1723&gt;=50,"50-60 Days", M1723&gt;=40,"40-50 Days", M1723&gt;=30, "30-40 Days", M1723&gt;=20, "20-30 Days", M1723&gt;=10, "10-20 Days", M1723&gt;=0, "0-10 Days")</f>
        <v>30-40 Days</v>
      </c>
    </row>
    <row r="1724" spans="1:14">
      <c r="A1724">
        <v>1723</v>
      </c>
      <c r="B1724" t="s">
        <v>29</v>
      </c>
      <c r="C1724" s="5">
        <v>45321</v>
      </c>
      <c r="D1724" s="8">
        <v>45321</v>
      </c>
      <c r="E1724" s="8" t="str">
        <f>IF(B1724="Inactive", EDATE(D1724,K1724), "")</f>
        <v/>
      </c>
      <c r="F1724" t="s">
        <v>10</v>
      </c>
      <c r="G1724">
        <v>20.8</v>
      </c>
      <c r="H1724" t="str" cm="1">
        <f t="array" ref="H1724">_xlfn.IFS(G1724&gt;=20,"20-25", G1724&gt;=15,"15-20", G1724&gt;=10,"10-15", G1724&gt;=5,"5-10", G1724&gt;=1,"1-5", G1724&lt;1,"Less than 1")</f>
        <v>20-25</v>
      </c>
      <c r="I1724">
        <v>2</v>
      </c>
      <c r="J1724">
        <v>0</v>
      </c>
      <c r="K1724" s="6">
        <v>10</v>
      </c>
      <c r="L1724" s="2">
        <v>6.99</v>
      </c>
      <c r="M1724" s="6">
        <v>60</v>
      </c>
      <c r="N1724" t="str" cm="1">
        <f t="array" ref="N1724">_xlfn.IFS(M1724&gt;=50,"50-60 Days", M1724&gt;=40,"40-50 Days", M1724&gt;=30, "30-40 Days", M1724&gt;=20, "20-30 Days", M1724&gt;=10, "10-20 Days", M1724&gt;=0, "0-10 Days")</f>
        <v>50-60 Days</v>
      </c>
    </row>
    <row r="1725" spans="1:14">
      <c r="A1725">
        <v>1724</v>
      </c>
      <c r="B1725" t="s">
        <v>29</v>
      </c>
      <c r="C1725" s="5">
        <v>45222</v>
      </c>
      <c r="D1725" s="8">
        <v>45222</v>
      </c>
      <c r="E1725" s="8" t="str">
        <f>IF(B1725="Inactive", EDATE(D1725,K1725), "")</f>
        <v/>
      </c>
      <c r="F1725" t="s">
        <v>12</v>
      </c>
      <c r="G1725">
        <v>14.4</v>
      </c>
      <c r="H1725" t="str" cm="1">
        <f t="array" ref="H1725">_xlfn.IFS(G1725&gt;=20,"20-25", G1725&gt;=15,"15-20", G1725&gt;=10,"10-15", G1725&gt;=5,"5-10", G1725&gt;=1,"1-5", G1725&lt;1,"Less than 1")</f>
        <v>10-15</v>
      </c>
      <c r="I1725">
        <v>6</v>
      </c>
      <c r="J1725">
        <v>2</v>
      </c>
      <c r="K1725" s="6">
        <v>12</v>
      </c>
      <c r="L1725" s="2">
        <v>1.99</v>
      </c>
      <c r="M1725" s="6">
        <v>41</v>
      </c>
      <c r="N1725" t="str" cm="1">
        <f t="array" ref="N1725">_xlfn.IFS(M1725&gt;=50,"50-60 Days", M1725&gt;=40,"40-50 Days", M1725&gt;=30, "30-40 Days", M1725&gt;=20, "20-30 Days", M1725&gt;=10, "10-20 Days", M1725&gt;=0, "0-10 Days")</f>
        <v>40-50 Days</v>
      </c>
    </row>
    <row r="1726" spans="1:14">
      <c r="A1726">
        <v>1725</v>
      </c>
      <c r="B1726" t="s">
        <v>28</v>
      </c>
      <c r="C1726" s="5">
        <v>45202</v>
      </c>
      <c r="D1726" s="8">
        <v>45202</v>
      </c>
      <c r="E1726" s="8">
        <f>IF(B1726="Inactive", EDATE(D1726,K1726), "")</f>
        <v>45446</v>
      </c>
      <c r="F1726" t="s">
        <v>12</v>
      </c>
      <c r="G1726">
        <v>17.600000000000001</v>
      </c>
      <c r="H1726" t="str" cm="1">
        <f t="array" ref="H1726">_xlfn.IFS(G1726&gt;=20,"20-25", G1726&gt;=15,"15-20", G1726&gt;=10,"10-15", G1726&gt;=5,"5-10", G1726&gt;=1,"1-5", G1726&lt;1,"Less than 1")</f>
        <v>15-20</v>
      </c>
      <c r="I1726">
        <v>8</v>
      </c>
      <c r="J1726">
        <v>4</v>
      </c>
      <c r="K1726" s="6">
        <v>8</v>
      </c>
      <c r="L1726" s="2">
        <v>1.99</v>
      </c>
      <c r="M1726" s="6">
        <v>53</v>
      </c>
      <c r="N1726" t="str" cm="1">
        <f t="array" ref="N1726">_xlfn.IFS(M1726&gt;=50,"50-60 Days", M1726&gt;=40,"40-50 Days", M1726&gt;=30, "30-40 Days", M1726&gt;=20, "20-30 Days", M1726&gt;=10, "10-20 Days", M1726&gt;=0, "0-10 Days")</f>
        <v>50-60 Days</v>
      </c>
    </row>
    <row r="1727" spans="1:14">
      <c r="A1727">
        <v>1726</v>
      </c>
      <c r="B1727" t="s">
        <v>28</v>
      </c>
      <c r="C1727" s="5">
        <v>45045</v>
      </c>
      <c r="D1727" s="8">
        <v>45045</v>
      </c>
      <c r="E1727" s="8">
        <f>IF(B1727="Inactive", EDATE(D1727,K1727), "")</f>
        <v>45380</v>
      </c>
      <c r="F1727" t="s">
        <v>12</v>
      </c>
      <c r="G1727">
        <v>19.399999999999999</v>
      </c>
      <c r="H1727" t="str" cm="1">
        <f t="array" ref="H1727">_xlfn.IFS(G1727&gt;=20,"20-25", G1727&gt;=15,"15-20", G1727&gt;=10,"10-15", G1727&gt;=5,"5-10", G1727&gt;=1,"1-5", G1727&lt;1,"Less than 1")</f>
        <v>15-20</v>
      </c>
      <c r="I1727">
        <v>4</v>
      </c>
      <c r="J1727">
        <v>1</v>
      </c>
      <c r="K1727" s="6">
        <v>11</v>
      </c>
      <c r="L1727" s="2">
        <v>1.99</v>
      </c>
      <c r="M1727" s="6">
        <v>29</v>
      </c>
      <c r="N1727" t="str" cm="1">
        <f t="array" ref="N1727">_xlfn.IFS(M1727&gt;=50,"50-60 Days", M1727&gt;=40,"40-50 Days", M1727&gt;=30, "30-40 Days", M1727&gt;=20, "20-30 Days", M1727&gt;=10, "10-20 Days", M1727&gt;=0, "0-10 Days")</f>
        <v>20-30 Days</v>
      </c>
    </row>
    <row r="1728" spans="1:14">
      <c r="A1728">
        <v>1727</v>
      </c>
      <c r="B1728" t="s">
        <v>28</v>
      </c>
      <c r="C1728" s="5">
        <v>45313</v>
      </c>
      <c r="D1728" s="8">
        <v>45313</v>
      </c>
      <c r="E1728" s="8">
        <f>IF(B1728="Inactive", EDATE(D1728,K1728), "")</f>
        <v>45434</v>
      </c>
      <c r="F1728" t="s">
        <v>10</v>
      </c>
      <c r="G1728">
        <v>12.1</v>
      </c>
      <c r="H1728" t="str" cm="1">
        <f t="array" ref="H1728">_xlfn.IFS(G1728&gt;=20,"20-25", G1728&gt;=15,"15-20", G1728&gt;=10,"10-15", G1728&gt;=5,"5-10", G1728&gt;=1,"1-5", G1728&lt;1,"Less than 1")</f>
        <v>10-15</v>
      </c>
      <c r="I1728">
        <v>7</v>
      </c>
      <c r="J1728">
        <v>4</v>
      </c>
      <c r="K1728" s="6">
        <v>4</v>
      </c>
      <c r="L1728" s="2">
        <v>6.99</v>
      </c>
      <c r="M1728" s="6">
        <v>20</v>
      </c>
      <c r="N1728" t="str" cm="1">
        <f t="array" ref="N1728">_xlfn.IFS(M1728&gt;=50,"50-60 Days", M1728&gt;=40,"40-50 Days", M1728&gt;=30, "30-40 Days", M1728&gt;=20, "20-30 Days", M1728&gt;=10, "10-20 Days", M1728&gt;=0, "0-10 Days")</f>
        <v>20-30 Days</v>
      </c>
    </row>
    <row r="1729" spans="1:14">
      <c r="A1729">
        <v>1728</v>
      </c>
      <c r="B1729" t="s">
        <v>29</v>
      </c>
      <c r="C1729" s="5">
        <v>44935</v>
      </c>
      <c r="D1729" s="8">
        <v>44935</v>
      </c>
      <c r="E1729" s="8" t="str">
        <f>IF(B1729="Inactive", EDATE(D1729,K1729), "")</f>
        <v/>
      </c>
      <c r="F1729" t="s">
        <v>10</v>
      </c>
      <c r="G1729">
        <v>8.4</v>
      </c>
      <c r="H1729" t="str" cm="1">
        <f t="array" ref="H1729">_xlfn.IFS(G1729&gt;=20,"20-25", G1729&gt;=15,"15-20", G1729&gt;=10,"10-15", G1729&gt;=5,"5-10", G1729&gt;=1,"1-5", G1729&lt;1,"Less than 1")</f>
        <v>5-10</v>
      </c>
      <c r="I1729">
        <v>1</v>
      </c>
      <c r="J1729">
        <v>5</v>
      </c>
      <c r="K1729" s="6">
        <v>1</v>
      </c>
      <c r="L1729" s="2">
        <v>6.99</v>
      </c>
      <c r="M1729" s="6">
        <v>22</v>
      </c>
      <c r="N1729" t="str" cm="1">
        <f t="array" ref="N1729">_xlfn.IFS(M1729&gt;=50,"50-60 Days", M1729&gt;=40,"40-50 Days", M1729&gt;=30, "30-40 Days", M1729&gt;=20, "20-30 Days", M1729&gt;=10, "10-20 Days", M1729&gt;=0, "0-10 Days")</f>
        <v>20-30 Days</v>
      </c>
    </row>
    <row r="1730" spans="1:14">
      <c r="A1730">
        <v>1729</v>
      </c>
      <c r="B1730" t="s">
        <v>28</v>
      </c>
      <c r="C1730" s="5">
        <v>45293</v>
      </c>
      <c r="D1730" s="8">
        <v>45293</v>
      </c>
      <c r="E1730" s="8">
        <f>IF(B1730="Inactive", EDATE(D1730,K1730), "")</f>
        <v>45567</v>
      </c>
      <c r="F1730" t="s">
        <v>12</v>
      </c>
      <c r="G1730">
        <v>12.1</v>
      </c>
      <c r="H1730" t="str" cm="1">
        <f t="array" ref="H1730">_xlfn.IFS(G1730&gt;=20,"20-25", G1730&gt;=15,"15-20", G1730&gt;=10,"10-15", G1730&gt;=5,"5-10", G1730&gt;=1,"1-5", G1730&lt;1,"Less than 1")</f>
        <v>10-15</v>
      </c>
      <c r="I1730">
        <v>5</v>
      </c>
      <c r="J1730">
        <v>5</v>
      </c>
      <c r="K1730" s="6">
        <v>9</v>
      </c>
      <c r="L1730" s="2">
        <v>1.99</v>
      </c>
      <c r="M1730" s="6">
        <v>57</v>
      </c>
      <c r="N1730" t="str" cm="1">
        <f t="array" ref="N1730">_xlfn.IFS(M1730&gt;=50,"50-60 Days", M1730&gt;=40,"40-50 Days", M1730&gt;=30, "30-40 Days", M1730&gt;=20, "20-30 Days", M1730&gt;=10, "10-20 Days", M1730&gt;=0, "0-10 Days")</f>
        <v>50-60 Days</v>
      </c>
    </row>
    <row r="1731" spans="1:14">
      <c r="A1731">
        <v>1730</v>
      </c>
      <c r="B1731" t="s">
        <v>29</v>
      </c>
      <c r="C1731" s="5">
        <v>45394</v>
      </c>
      <c r="D1731" s="8">
        <v>45394</v>
      </c>
      <c r="E1731" s="8" t="str">
        <f>IF(B1731="Inactive", EDATE(D1731,K1731), "")</f>
        <v/>
      </c>
      <c r="F1731" t="s">
        <v>14</v>
      </c>
      <c r="G1731">
        <v>11.9</v>
      </c>
      <c r="H1731" t="str" cm="1">
        <f t="array" ref="H1731">_xlfn.IFS(G1731&gt;=20,"20-25", G1731&gt;=15,"15-20", G1731&gt;=10,"10-15", G1731&gt;=5,"5-10", G1731&gt;=1,"1-5", G1731&lt;1,"Less than 1")</f>
        <v>10-15</v>
      </c>
      <c r="I1731">
        <v>2</v>
      </c>
      <c r="J1731">
        <v>0</v>
      </c>
      <c r="K1731" s="6">
        <v>4</v>
      </c>
      <c r="L1731" s="2">
        <v>3.99</v>
      </c>
      <c r="M1731" s="6">
        <v>28</v>
      </c>
      <c r="N1731" t="str" cm="1">
        <f t="array" ref="N1731">_xlfn.IFS(M1731&gt;=50,"50-60 Days", M1731&gt;=40,"40-50 Days", M1731&gt;=30, "30-40 Days", M1731&gt;=20, "20-30 Days", M1731&gt;=10, "10-20 Days", M1731&gt;=0, "0-10 Days")</f>
        <v>20-30 Days</v>
      </c>
    </row>
    <row r="1732" spans="1:14">
      <c r="A1732">
        <v>1731</v>
      </c>
      <c r="B1732" t="s">
        <v>29</v>
      </c>
      <c r="C1732" s="5">
        <v>45542</v>
      </c>
      <c r="D1732" s="8">
        <v>45542</v>
      </c>
      <c r="E1732" s="8" t="str">
        <f>IF(B1732="Inactive", EDATE(D1732,K1732), "")</f>
        <v/>
      </c>
      <c r="F1732" t="s">
        <v>10</v>
      </c>
      <c r="G1732">
        <v>18.399999999999999</v>
      </c>
      <c r="H1732" t="str" cm="1">
        <f t="array" ref="H1732">_xlfn.IFS(G1732&gt;=20,"20-25", G1732&gt;=15,"15-20", G1732&gt;=10,"10-15", G1732&gt;=5,"5-10", G1732&gt;=1,"1-5", G1732&lt;1,"Less than 1")</f>
        <v>15-20</v>
      </c>
      <c r="I1732">
        <v>7</v>
      </c>
      <c r="J1732">
        <v>1</v>
      </c>
      <c r="K1732" s="6">
        <v>10</v>
      </c>
      <c r="L1732" s="2">
        <v>6.99</v>
      </c>
      <c r="M1732" s="6">
        <v>16</v>
      </c>
      <c r="N1732" t="str" cm="1">
        <f t="array" ref="N1732">_xlfn.IFS(M1732&gt;=50,"50-60 Days", M1732&gt;=40,"40-50 Days", M1732&gt;=30, "30-40 Days", M1732&gt;=20, "20-30 Days", M1732&gt;=10, "10-20 Days", M1732&gt;=0, "0-10 Days")</f>
        <v>10-20 Days</v>
      </c>
    </row>
    <row r="1733" spans="1:14">
      <c r="A1733">
        <v>1732</v>
      </c>
      <c r="B1733" t="s">
        <v>29</v>
      </c>
      <c r="C1733" s="5">
        <v>45446</v>
      </c>
      <c r="D1733" s="8">
        <v>45446</v>
      </c>
      <c r="E1733" s="8" t="str">
        <f>IF(B1733="Inactive", EDATE(D1733,K1733), "")</f>
        <v/>
      </c>
      <c r="F1733" t="s">
        <v>14</v>
      </c>
      <c r="G1733">
        <v>17.100000000000001</v>
      </c>
      <c r="H1733" t="str" cm="1">
        <f t="array" ref="H1733">_xlfn.IFS(G1733&gt;=20,"20-25", G1733&gt;=15,"15-20", G1733&gt;=10,"10-15", G1733&gt;=5,"5-10", G1733&gt;=1,"1-5", G1733&lt;1,"Less than 1")</f>
        <v>15-20</v>
      </c>
      <c r="I1733">
        <v>4</v>
      </c>
      <c r="J1733">
        <v>0</v>
      </c>
      <c r="K1733" s="6">
        <v>11</v>
      </c>
      <c r="L1733" s="2">
        <v>3.99</v>
      </c>
      <c r="M1733" s="6">
        <v>59</v>
      </c>
      <c r="N1733" t="str" cm="1">
        <f t="array" ref="N1733">_xlfn.IFS(M1733&gt;=50,"50-60 Days", M1733&gt;=40,"40-50 Days", M1733&gt;=30, "30-40 Days", M1733&gt;=20, "20-30 Days", M1733&gt;=10, "10-20 Days", M1733&gt;=0, "0-10 Days")</f>
        <v>50-60 Days</v>
      </c>
    </row>
    <row r="1734" spans="1:14">
      <c r="A1734">
        <v>1733</v>
      </c>
      <c r="B1734" t="s">
        <v>28</v>
      </c>
      <c r="C1734" s="5">
        <v>45094</v>
      </c>
      <c r="D1734" s="8">
        <v>45094</v>
      </c>
      <c r="E1734" s="8">
        <f>IF(B1734="Inactive", EDATE(D1734,K1734), "")</f>
        <v>45368</v>
      </c>
      <c r="F1734" t="s">
        <v>12</v>
      </c>
      <c r="G1734">
        <v>10.9</v>
      </c>
      <c r="H1734" t="str" cm="1">
        <f t="array" ref="H1734">_xlfn.IFS(G1734&gt;=20,"20-25", G1734&gt;=15,"15-20", G1734&gt;=10,"10-15", G1734&gt;=5,"5-10", G1734&gt;=1,"1-5", G1734&lt;1,"Less than 1")</f>
        <v>10-15</v>
      </c>
      <c r="I1734">
        <v>4</v>
      </c>
      <c r="J1734">
        <v>4</v>
      </c>
      <c r="K1734" s="6">
        <v>9</v>
      </c>
      <c r="L1734" s="2">
        <v>1.99</v>
      </c>
      <c r="M1734" s="6">
        <v>25</v>
      </c>
      <c r="N1734" t="str" cm="1">
        <f t="array" ref="N1734">_xlfn.IFS(M1734&gt;=50,"50-60 Days", M1734&gt;=40,"40-50 Days", M1734&gt;=30, "30-40 Days", M1734&gt;=20, "20-30 Days", M1734&gt;=10, "10-20 Days", M1734&gt;=0, "0-10 Days")</f>
        <v>20-30 Days</v>
      </c>
    </row>
    <row r="1735" spans="1:14">
      <c r="A1735">
        <v>1734</v>
      </c>
      <c r="B1735" t="s">
        <v>29</v>
      </c>
      <c r="C1735" s="5">
        <v>45069</v>
      </c>
      <c r="D1735" s="8">
        <v>45069</v>
      </c>
      <c r="E1735" s="8" t="str">
        <f>IF(B1735="Inactive", EDATE(D1735,K1735), "")</f>
        <v/>
      </c>
      <c r="F1735" t="s">
        <v>10</v>
      </c>
      <c r="G1735">
        <v>23.1</v>
      </c>
      <c r="H1735" t="str" cm="1">
        <f t="array" ref="H1735">_xlfn.IFS(G1735&gt;=20,"20-25", G1735&gt;=15,"15-20", G1735&gt;=10,"10-15", G1735&gt;=5,"5-10", G1735&gt;=1,"1-5", G1735&lt;1,"Less than 1")</f>
        <v>20-25</v>
      </c>
      <c r="I1735">
        <v>8</v>
      </c>
      <c r="J1735">
        <v>1</v>
      </c>
      <c r="K1735" s="6">
        <v>4</v>
      </c>
      <c r="L1735" s="2">
        <v>6.99</v>
      </c>
      <c r="M1735" s="6">
        <v>60</v>
      </c>
      <c r="N1735" t="str" cm="1">
        <f t="array" ref="N1735">_xlfn.IFS(M1735&gt;=50,"50-60 Days", M1735&gt;=40,"40-50 Days", M1735&gt;=30, "30-40 Days", M1735&gt;=20, "20-30 Days", M1735&gt;=10, "10-20 Days", M1735&gt;=0, "0-10 Days")</f>
        <v>50-60 Days</v>
      </c>
    </row>
    <row r="1736" spans="1:14">
      <c r="A1736">
        <v>1735</v>
      </c>
      <c r="B1736" t="s">
        <v>29</v>
      </c>
      <c r="C1736" s="5">
        <v>45071</v>
      </c>
      <c r="D1736" s="8">
        <v>45071</v>
      </c>
      <c r="E1736" s="8" t="str">
        <f>IF(B1736="Inactive", EDATE(D1736,K1736), "")</f>
        <v/>
      </c>
      <c r="F1736" t="s">
        <v>12</v>
      </c>
      <c r="G1736">
        <v>19.8</v>
      </c>
      <c r="H1736" t="str" cm="1">
        <f t="array" ref="H1736">_xlfn.IFS(G1736&gt;=20,"20-25", G1736&gt;=15,"15-20", G1736&gt;=10,"10-15", G1736&gt;=5,"5-10", G1736&gt;=1,"1-5", G1736&lt;1,"Less than 1")</f>
        <v>15-20</v>
      </c>
      <c r="I1736">
        <v>0</v>
      </c>
      <c r="J1736">
        <v>0</v>
      </c>
      <c r="K1736" s="6">
        <v>8</v>
      </c>
      <c r="L1736" s="2">
        <v>1.99</v>
      </c>
      <c r="M1736" s="6">
        <v>19</v>
      </c>
      <c r="N1736" t="str" cm="1">
        <f t="array" ref="N1736">_xlfn.IFS(M1736&gt;=50,"50-60 Days", M1736&gt;=40,"40-50 Days", M1736&gt;=30, "30-40 Days", M1736&gt;=20, "20-30 Days", M1736&gt;=10, "10-20 Days", M1736&gt;=0, "0-10 Days")</f>
        <v>10-20 Days</v>
      </c>
    </row>
    <row r="1737" spans="1:14">
      <c r="A1737">
        <v>1736</v>
      </c>
      <c r="B1737" t="s">
        <v>28</v>
      </c>
      <c r="C1737" s="5">
        <v>45103</v>
      </c>
      <c r="D1737" s="8">
        <v>45103</v>
      </c>
      <c r="E1737" s="8">
        <f>IF(B1737="Inactive", EDATE(D1737,K1737), "")</f>
        <v>45408</v>
      </c>
      <c r="F1737" t="s">
        <v>14</v>
      </c>
      <c r="G1737">
        <v>10.199999999999999</v>
      </c>
      <c r="H1737" t="str" cm="1">
        <f t="array" ref="H1737">_xlfn.IFS(G1737&gt;=20,"20-25", G1737&gt;=15,"15-20", G1737&gt;=10,"10-15", G1737&gt;=5,"5-10", G1737&gt;=1,"1-5", G1737&lt;1,"Less than 1")</f>
        <v>10-15</v>
      </c>
      <c r="I1737">
        <v>7</v>
      </c>
      <c r="J1737">
        <v>0</v>
      </c>
      <c r="K1737" s="6">
        <v>10</v>
      </c>
      <c r="L1737" s="2">
        <v>3.99</v>
      </c>
      <c r="M1737" s="6">
        <v>42</v>
      </c>
      <c r="N1737" t="str" cm="1">
        <f t="array" ref="N1737">_xlfn.IFS(M1737&gt;=50,"50-60 Days", M1737&gt;=40,"40-50 Days", M1737&gt;=30, "30-40 Days", M1737&gt;=20, "20-30 Days", M1737&gt;=10, "10-20 Days", M1737&gt;=0, "0-10 Days")</f>
        <v>40-50 Days</v>
      </c>
    </row>
    <row r="1738" spans="1:14">
      <c r="A1738">
        <v>1737</v>
      </c>
      <c r="B1738" t="s">
        <v>28</v>
      </c>
      <c r="C1738" s="5">
        <v>45177</v>
      </c>
      <c r="D1738" s="8">
        <v>45177</v>
      </c>
      <c r="E1738" s="8">
        <f>IF(B1738="Inactive", EDATE(D1738,K1738), "")</f>
        <v>45390</v>
      </c>
      <c r="F1738" t="s">
        <v>14</v>
      </c>
      <c r="G1738">
        <v>2.5</v>
      </c>
      <c r="H1738" t="str" cm="1">
        <f t="array" ref="H1738">_xlfn.IFS(G1738&gt;=20,"20-25", G1738&gt;=15,"15-20", G1738&gt;=10,"10-15", G1738&gt;=5,"5-10", G1738&gt;=1,"1-5", G1738&lt;1,"Less than 1")</f>
        <v>1-5</v>
      </c>
      <c r="I1738">
        <v>3</v>
      </c>
      <c r="J1738">
        <v>1</v>
      </c>
      <c r="K1738" s="6">
        <v>7</v>
      </c>
      <c r="L1738" s="2">
        <v>3.99</v>
      </c>
      <c r="M1738" s="6">
        <v>27</v>
      </c>
      <c r="N1738" t="str" cm="1">
        <f t="array" ref="N1738">_xlfn.IFS(M1738&gt;=50,"50-60 Days", M1738&gt;=40,"40-50 Days", M1738&gt;=30, "30-40 Days", M1738&gt;=20, "20-30 Days", M1738&gt;=10, "10-20 Days", M1738&gt;=0, "0-10 Days")</f>
        <v>20-30 Days</v>
      </c>
    </row>
    <row r="1739" spans="1:14">
      <c r="A1739">
        <v>1738</v>
      </c>
      <c r="B1739" t="s">
        <v>28</v>
      </c>
      <c r="C1739" s="5">
        <v>45029</v>
      </c>
      <c r="D1739" s="8">
        <v>45029</v>
      </c>
      <c r="E1739" s="8">
        <f>IF(B1739="Inactive", EDATE(D1739,K1739), "")</f>
        <v>45395</v>
      </c>
      <c r="F1739" t="s">
        <v>12</v>
      </c>
      <c r="G1739">
        <v>21.2</v>
      </c>
      <c r="H1739" t="str" cm="1">
        <f t="array" ref="H1739">_xlfn.IFS(G1739&gt;=20,"20-25", G1739&gt;=15,"15-20", G1739&gt;=10,"10-15", G1739&gt;=5,"5-10", G1739&gt;=1,"1-5", G1739&lt;1,"Less than 1")</f>
        <v>20-25</v>
      </c>
      <c r="I1739">
        <v>5</v>
      </c>
      <c r="J1739">
        <v>0</v>
      </c>
      <c r="K1739" s="6">
        <v>12</v>
      </c>
      <c r="L1739" s="2">
        <v>1.99</v>
      </c>
      <c r="M1739" s="6">
        <v>30</v>
      </c>
      <c r="N1739" t="str" cm="1">
        <f t="array" ref="N1739">_xlfn.IFS(M1739&gt;=50,"50-60 Days", M1739&gt;=40,"40-50 Days", M1739&gt;=30, "30-40 Days", M1739&gt;=20, "20-30 Days", M1739&gt;=10, "10-20 Days", M1739&gt;=0, "0-10 Days")</f>
        <v>30-40 Days</v>
      </c>
    </row>
    <row r="1740" spans="1:14">
      <c r="A1740">
        <v>1739</v>
      </c>
      <c r="B1740" t="s">
        <v>28</v>
      </c>
      <c r="C1740" s="5">
        <v>45401</v>
      </c>
      <c r="D1740" s="8">
        <v>45401</v>
      </c>
      <c r="E1740" s="8">
        <f>IF(B1740="Inactive", EDATE(D1740,K1740), "")</f>
        <v>45766</v>
      </c>
      <c r="F1740" t="s">
        <v>14</v>
      </c>
      <c r="G1740">
        <v>17.3</v>
      </c>
      <c r="H1740" t="str" cm="1">
        <f t="array" ref="H1740">_xlfn.IFS(G1740&gt;=20,"20-25", G1740&gt;=15,"15-20", G1740&gt;=10,"10-15", G1740&gt;=5,"5-10", G1740&gt;=1,"1-5", G1740&lt;1,"Less than 1")</f>
        <v>15-20</v>
      </c>
      <c r="I1740">
        <v>3</v>
      </c>
      <c r="J1740">
        <v>3</v>
      </c>
      <c r="K1740" s="6">
        <v>12</v>
      </c>
      <c r="L1740" s="2">
        <v>3.99</v>
      </c>
      <c r="M1740" s="6">
        <v>42</v>
      </c>
      <c r="N1740" t="str" cm="1">
        <f t="array" ref="N1740">_xlfn.IFS(M1740&gt;=50,"50-60 Days", M1740&gt;=40,"40-50 Days", M1740&gt;=30, "30-40 Days", M1740&gt;=20, "20-30 Days", M1740&gt;=10, "10-20 Days", M1740&gt;=0, "0-10 Days")</f>
        <v>40-50 Days</v>
      </c>
    </row>
    <row r="1741" spans="1:14">
      <c r="A1741">
        <v>1740</v>
      </c>
      <c r="B1741" t="s">
        <v>28</v>
      </c>
      <c r="C1741" s="5">
        <v>45063</v>
      </c>
      <c r="D1741" s="8">
        <v>45063</v>
      </c>
      <c r="E1741" s="8">
        <f>IF(B1741="Inactive", EDATE(D1741,K1741), "")</f>
        <v>45247</v>
      </c>
      <c r="F1741" t="s">
        <v>10</v>
      </c>
      <c r="G1741">
        <v>19.2</v>
      </c>
      <c r="H1741" t="str" cm="1">
        <f t="array" ref="H1741">_xlfn.IFS(G1741&gt;=20,"20-25", G1741&gt;=15,"15-20", G1741&gt;=10,"10-15", G1741&gt;=5,"5-10", G1741&gt;=1,"1-5", G1741&lt;1,"Less than 1")</f>
        <v>15-20</v>
      </c>
      <c r="I1741">
        <v>1</v>
      </c>
      <c r="J1741">
        <v>3</v>
      </c>
      <c r="K1741" s="6">
        <v>6</v>
      </c>
      <c r="L1741" s="2">
        <v>6.99</v>
      </c>
      <c r="M1741" s="6">
        <v>8</v>
      </c>
      <c r="N1741" t="str" cm="1">
        <f t="array" ref="N1741">_xlfn.IFS(M1741&gt;=50,"50-60 Days", M1741&gt;=40,"40-50 Days", M1741&gt;=30, "30-40 Days", M1741&gt;=20, "20-30 Days", M1741&gt;=10, "10-20 Days", M1741&gt;=0, "0-10 Days")</f>
        <v>0-10 Days</v>
      </c>
    </row>
    <row r="1742" spans="1:14">
      <c r="A1742">
        <v>1741</v>
      </c>
      <c r="B1742" t="s">
        <v>28</v>
      </c>
      <c r="C1742" s="5">
        <v>45282</v>
      </c>
      <c r="D1742" s="8">
        <v>45282</v>
      </c>
      <c r="E1742" s="8">
        <f>IF(B1742="Inactive", EDATE(D1742,K1742), "")</f>
        <v>45495</v>
      </c>
      <c r="F1742" t="s">
        <v>14</v>
      </c>
      <c r="G1742">
        <v>22.5</v>
      </c>
      <c r="H1742" t="str" cm="1">
        <f t="array" ref="H1742">_xlfn.IFS(G1742&gt;=20,"20-25", G1742&gt;=15,"15-20", G1742&gt;=10,"10-15", G1742&gt;=5,"5-10", G1742&gt;=1,"1-5", G1742&lt;1,"Less than 1")</f>
        <v>20-25</v>
      </c>
      <c r="I1742">
        <v>6</v>
      </c>
      <c r="J1742">
        <v>4</v>
      </c>
      <c r="K1742" s="6">
        <v>7</v>
      </c>
      <c r="L1742" s="2">
        <v>3.99</v>
      </c>
      <c r="M1742" s="6">
        <v>25</v>
      </c>
      <c r="N1742" t="str" cm="1">
        <f t="array" ref="N1742">_xlfn.IFS(M1742&gt;=50,"50-60 Days", M1742&gt;=40,"40-50 Days", M1742&gt;=30, "30-40 Days", M1742&gt;=20, "20-30 Days", M1742&gt;=10, "10-20 Days", M1742&gt;=0, "0-10 Days")</f>
        <v>20-30 Days</v>
      </c>
    </row>
    <row r="1743" spans="1:14">
      <c r="A1743">
        <v>1742</v>
      </c>
      <c r="B1743" t="s">
        <v>29</v>
      </c>
      <c r="C1743" s="5">
        <v>45440</v>
      </c>
      <c r="D1743" s="8">
        <v>45440</v>
      </c>
      <c r="E1743" s="8" t="str">
        <f>IF(B1743="Inactive", EDATE(D1743,K1743), "")</f>
        <v/>
      </c>
      <c r="F1743" t="s">
        <v>14</v>
      </c>
      <c r="G1743">
        <v>5.9</v>
      </c>
      <c r="H1743" t="str" cm="1">
        <f t="array" ref="H1743">_xlfn.IFS(G1743&gt;=20,"20-25", G1743&gt;=15,"15-20", G1743&gt;=10,"10-15", G1743&gt;=5,"5-10", G1743&gt;=1,"1-5", G1743&lt;1,"Less than 1")</f>
        <v>5-10</v>
      </c>
      <c r="I1743">
        <v>2</v>
      </c>
      <c r="J1743">
        <v>1</v>
      </c>
      <c r="K1743" s="6">
        <v>1</v>
      </c>
      <c r="L1743" s="2">
        <v>3.99</v>
      </c>
      <c r="M1743" s="6">
        <v>23</v>
      </c>
      <c r="N1743" t="str" cm="1">
        <f t="array" ref="N1743">_xlfn.IFS(M1743&gt;=50,"50-60 Days", M1743&gt;=40,"40-50 Days", M1743&gt;=30, "30-40 Days", M1743&gt;=20, "20-30 Days", M1743&gt;=10, "10-20 Days", M1743&gt;=0, "0-10 Days")</f>
        <v>20-30 Days</v>
      </c>
    </row>
    <row r="1744" spans="1:14">
      <c r="A1744">
        <v>1743</v>
      </c>
      <c r="B1744" t="s">
        <v>28</v>
      </c>
      <c r="C1744" s="5">
        <v>45143</v>
      </c>
      <c r="D1744" s="8">
        <v>45143</v>
      </c>
      <c r="E1744" s="8">
        <f>IF(B1744="Inactive", EDATE(D1744,K1744), "")</f>
        <v>45417</v>
      </c>
      <c r="F1744" t="s">
        <v>12</v>
      </c>
      <c r="G1744">
        <v>22.9</v>
      </c>
      <c r="H1744" t="str" cm="1">
        <f t="array" ref="H1744">_xlfn.IFS(G1744&gt;=20,"20-25", G1744&gt;=15,"15-20", G1744&gt;=10,"10-15", G1744&gt;=5,"5-10", G1744&gt;=1,"1-5", G1744&lt;1,"Less than 1")</f>
        <v>20-25</v>
      </c>
      <c r="I1744">
        <v>3</v>
      </c>
      <c r="J1744">
        <v>1</v>
      </c>
      <c r="K1744" s="6">
        <v>9</v>
      </c>
      <c r="L1744" s="2">
        <v>1.99</v>
      </c>
      <c r="M1744" s="6">
        <v>31</v>
      </c>
      <c r="N1744" t="str" cm="1">
        <f t="array" ref="N1744">_xlfn.IFS(M1744&gt;=50,"50-60 Days", M1744&gt;=40,"40-50 Days", M1744&gt;=30, "30-40 Days", M1744&gt;=20, "20-30 Days", M1744&gt;=10, "10-20 Days", M1744&gt;=0, "0-10 Days")</f>
        <v>30-40 Days</v>
      </c>
    </row>
    <row r="1745" spans="1:14">
      <c r="A1745">
        <v>1744</v>
      </c>
      <c r="B1745" t="s">
        <v>28</v>
      </c>
      <c r="C1745" s="5">
        <v>45218</v>
      </c>
      <c r="D1745" s="8">
        <v>45218</v>
      </c>
      <c r="E1745" s="8">
        <f>IF(B1745="Inactive", EDATE(D1745,K1745), "")</f>
        <v>45523</v>
      </c>
      <c r="F1745" t="s">
        <v>14</v>
      </c>
      <c r="G1745">
        <v>2.8</v>
      </c>
      <c r="H1745" t="str" cm="1">
        <f t="array" ref="H1745">_xlfn.IFS(G1745&gt;=20,"20-25", G1745&gt;=15,"15-20", G1745&gt;=10,"10-15", G1745&gt;=5,"5-10", G1745&gt;=1,"1-5", G1745&lt;1,"Less than 1")</f>
        <v>1-5</v>
      </c>
      <c r="I1745">
        <v>6</v>
      </c>
      <c r="J1745">
        <v>5</v>
      </c>
      <c r="K1745" s="6">
        <v>10</v>
      </c>
      <c r="L1745" s="2">
        <v>3.99</v>
      </c>
      <c r="M1745" s="6">
        <v>11</v>
      </c>
      <c r="N1745" t="str" cm="1">
        <f t="array" ref="N1745">_xlfn.IFS(M1745&gt;=50,"50-60 Days", M1745&gt;=40,"40-50 Days", M1745&gt;=30, "30-40 Days", M1745&gt;=20, "20-30 Days", M1745&gt;=10, "10-20 Days", M1745&gt;=0, "0-10 Days")</f>
        <v>10-20 Days</v>
      </c>
    </row>
    <row r="1746" spans="1:14">
      <c r="A1746">
        <v>1745</v>
      </c>
      <c r="B1746" t="s">
        <v>29</v>
      </c>
      <c r="C1746" s="5">
        <v>45358</v>
      </c>
      <c r="D1746" s="8">
        <v>45358</v>
      </c>
      <c r="E1746" s="8" t="str">
        <f>IF(B1746="Inactive", EDATE(D1746,K1746), "")</f>
        <v/>
      </c>
      <c r="F1746" t="s">
        <v>14</v>
      </c>
      <c r="G1746">
        <v>17</v>
      </c>
      <c r="H1746" t="str" cm="1">
        <f t="array" ref="H1746">_xlfn.IFS(G1746&gt;=20,"20-25", G1746&gt;=15,"15-20", G1746&gt;=10,"10-15", G1746&gt;=5,"5-10", G1746&gt;=1,"1-5", G1746&lt;1,"Less than 1")</f>
        <v>15-20</v>
      </c>
      <c r="I1746">
        <v>7</v>
      </c>
      <c r="J1746">
        <v>0</v>
      </c>
      <c r="K1746" s="6">
        <v>9</v>
      </c>
      <c r="L1746" s="2">
        <v>3.99</v>
      </c>
      <c r="M1746" s="6">
        <v>16</v>
      </c>
      <c r="N1746" t="str" cm="1">
        <f t="array" ref="N1746">_xlfn.IFS(M1746&gt;=50,"50-60 Days", M1746&gt;=40,"40-50 Days", M1746&gt;=30, "30-40 Days", M1746&gt;=20, "20-30 Days", M1746&gt;=10, "10-20 Days", M1746&gt;=0, "0-10 Days")</f>
        <v>10-20 Days</v>
      </c>
    </row>
    <row r="1747" spans="1:14">
      <c r="A1747">
        <v>1746</v>
      </c>
      <c r="B1747" t="s">
        <v>29</v>
      </c>
      <c r="C1747" s="5">
        <v>45281</v>
      </c>
      <c r="D1747" s="8">
        <v>45281</v>
      </c>
      <c r="E1747" s="8" t="str">
        <f>IF(B1747="Inactive", EDATE(D1747,K1747), "")</f>
        <v/>
      </c>
      <c r="F1747" t="s">
        <v>12</v>
      </c>
      <c r="G1747">
        <v>10.3</v>
      </c>
      <c r="H1747" t="str" cm="1">
        <f t="array" ref="H1747">_xlfn.IFS(G1747&gt;=20,"20-25", G1747&gt;=15,"15-20", G1747&gt;=10,"10-15", G1747&gt;=5,"5-10", G1747&gt;=1,"1-5", G1747&lt;1,"Less than 1")</f>
        <v>10-15</v>
      </c>
      <c r="I1747">
        <v>8</v>
      </c>
      <c r="J1747">
        <v>0</v>
      </c>
      <c r="K1747" s="6">
        <v>4</v>
      </c>
      <c r="L1747" s="2">
        <v>1.99</v>
      </c>
      <c r="M1747" s="6">
        <v>29</v>
      </c>
      <c r="N1747" t="str" cm="1">
        <f t="array" ref="N1747">_xlfn.IFS(M1747&gt;=50,"50-60 Days", M1747&gt;=40,"40-50 Days", M1747&gt;=30, "30-40 Days", M1747&gt;=20, "20-30 Days", M1747&gt;=10, "10-20 Days", M1747&gt;=0, "0-10 Days")</f>
        <v>20-30 Days</v>
      </c>
    </row>
    <row r="1748" spans="1:14">
      <c r="A1748">
        <v>1747</v>
      </c>
      <c r="B1748" t="s">
        <v>29</v>
      </c>
      <c r="C1748" s="5">
        <v>45515</v>
      </c>
      <c r="D1748" s="8">
        <v>45515</v>
      </c>
      <c r="E1748" s="8" t="str">
        <f>IF(B1748="Inactive", EDATE(D1748,K1748), "")</f>
        <v/>
      </c>
      <c r="F1748" t="s">
        <v>10</v>
      </c>
      <c r="G1748">
        <v>16.600000000000001</v>
      </c>
      <c r="H1748" t="str" cm="1">
        <f t="array" ref="H1748">_xlfn.IFS(G1748&gt;=20,"20-25", G1748&gt;=15,"15-20", G1748&gt;=10,"10-15", G1748&gt;=5,"5-10", G1748&gt;=1,"1-5", G1748&lt;1,"Less than 1")</f>
        <v>15-20</v>
      </c>
      <c r="I1748">
        <v>6</v>
      </c>
      <c r="J1748">
        <v>0</v>
      </c>
      <c r="K1748" s="6">
        <v>3</v>
      </c>
      <c r="L1748" s="2">
        <v>6.99</v>
      </c>
      <c r="M1748" s="6">
        <v>10</v>
      </c>
      <c r="N1748" t="str" cm="1">
        <f t="array" ref="N1748">_xlfn.IFS(M1748&gt;=50,"50-60 Days", M1748&gt;=40,"40-50 Days", M1748&gt;=30, "30-40 Days", M1748&gt;=20, "20-30 Days", M1748&gt;=10, "10-20 Days", M1748&gt;=0, "0-10 Days")</f>
        <v>10-20 Days</v>
      </c>
    </row>
    <row r="1749" spans="1:14">
      <c r="A1749">
        <v>1748</v>
      </c>
      <c r="B1749" t="s">
        <v>29</v>
      </c>
      <c r="C1749" s="5">
        <v>45338</v>
      </c>
      <c r="D1749" s="8">
        <v>45338</v>
      </c>
      <c r="E1749" s="8" t="str">
        <f>IF(B1749="Inactive", EDATE(D1749,K1749), "")</f>
        <v/>
      </c>
      <c r="F1749" t="s">
        <v>10</v>
      </c>
      <c r="G1749">
        <v>17.3</v>
      </c>
      <c r="H1749" t="str" cm="1">
        <f t="array" ref="H1749">_xlfn.IFS(G1749&gt;=20,"20-25", G1749&gt;=15,"15-20", G1749&gt;=10,"10-15", G1749&gt;=5,"5-10", G1749&gt;=1,"1-5", G1749&lt;1,"Less than 1")</f>
        <v>15-20</v>
      </c>
      <c r="I1749">
        <v>0</v>
      </c>
      <c r="J1749">
        <v>3</v>
      </c>
      <c r="K1749" s="6">
        <v>9</v>
      </c>
      <c r="L1749" s="2">
        <v>6.99</v>
      </c>
      <c r="M1749" s="6">
        <v>41</v>
      </c>
      <c r="N1749" t="str" cm="1">
        <f t="array" ref="N1749">_xlfn.IFS(M1749&gt;=50,"50-60 Days", M1749&gt;=40,"40-50 Days", M1749&gt;=30, "30-40 Days", M1749&gt;=20, "20-30 Days", M1749&gt;=10, "10-20 Days", M1749&gt;=0, "0-10 Days")</f>
        <v>40-50 Days</v>
      </c>
    </row>
    <row r="1750" spans="1:14">
      <c r="A1750">
        <v>1749</v>
      </c>
      <c r="B1750" t="s">
        <v>28</v>
      </c>
      <c r="C1750" s="5">
        <v>45388</v>
      </c>
      <c r="D1750" s="8">
        <v>45388</v>
      </c>
      <c r="E1750" s="8">
        <f>IF(B1750="Inactive", EDATE(D1750,K1750), "")</f>
        <v>45449</v>
      </c>
      <c r="F1750" t="s">
        <v>14</v>
      </c>
      <c r="G1750">
        <v>7.9</v>
      </c>
      <c r="H1750" t="str" cm="1">
        <f t="array" ref="H1750">_xlfn.IFS(G1750&gt;=20,"20-25", G1750&gt;=15,"15-20", G1750&gt;=10,"10-15", G1750&gt;=5,"5-10", G1750&gt;=1,"1-5", G1750&lt;1,"Less than 1")</f>
        <v>5-10</v>
      </c>
      <c r="I1750">
        <v>4</v>
      </c>
      <c r="J1750">
        <v>5</v>
      </c>
      <c r="K1750" s="6">
        <v>2</v>
      </c>
      <c r="L1750" s="2">
        <v>3.99</v>
      </c>
      <c r="M1750" s="6">
        <v>40</v>
      </c>
      <c r="N1750" t="str" cm="1">
        <f t="array" ref="N1750">_xlfn.IFS(M1750&gt;=50,"50-60 Days", M1750&gt;=40,"40-50 Days", M1750&gt;=30, "30-40 Days", M1750&gt;=20, "20-30 Days", M1750&gt;=10, "10-20 Days", M1750&gt;=0, "0-10 Days")</f>
        <v>40-50 Days</v>
      </c>
    </row>
    <row r="1751" spans="1:14">
      <c r="A1751">
        <v>1750</v>
      </c>
      <c r="B1751" t="s">
        <v>28</v>
      </c>
      <c r="C1751" s="5">
        <v>45110</v>
      </c>
      <c r="D1751" s="8">
        <v>45110</v>
      </c>
      <c r="E1751" s="8">
        <f>IF(B1751="Inactive", EDATE(D1751,K1751), "")</f>
        <v>45354</v>
      </c>
      <c r="F1751" t="s">
        <v>10</v>
      </c>
      <c r="G1751">
        <v>19.600000000000001</v>
      </c>
      <c r="H1751" t="str" cm="1">
        <f t="array" ref="H1751">_xlfn.IFS(G1751&gt;=20,"20-25", G1751&gt;=15,"15-20", G1751&gt;=10,"10-15", G1751&gt;=5,"5-10", G1751&gt;=1,"1-5", G1751&lt;1,"Less than 1")</f>
        <v>15-20</v>
      </c>
      <c r="I1751">
        <v>5</v>
      </c>
      <c r="J1751">
        <v>4</v>
      </c>
      <c r="K1751" s="6">
        <v>8</v>
      </c>
      <c r="L1751" s="2">
        <v>6.99</v>
      </c>
      <c r="M1751" s="6">
        <v>23</v>
      </c>
      <c r="N1751" t="str" cm="1">
        <f t="array" ref="N1751">_xlfn.IFS(M1751&gt;=50,"50-60 Days", M1751&gt;=40,"40-50 Days", M1751&gt;=30, "30-40 Days", M1751&gt;=20, "20-30 Days", M1751&gt;=10, "10-20 Days", M1751&gt;=0, "0-10 Days")</f>
        <v>20-30 Days</v>
      </c>
    </row>
    <row r="1752" spans="1:14">
      <c r="A1752">
        <v>1751</v>
      </c>
      <c r="B1752" t="s">
        <v>29</v>
      </c>
      <c r="C1752" s="5">
        <v>45651</v>
      </c>
      <c r="D1752" s="8">
        <v>45651</v>
      </c>
      <c r="E1752" s="8" t="str">
        <f>IF(B1752="Inactive", EDATE(D1752,K1752), "")</f>
        <v/>
      </c>
      <c r="F1752" t="s">
        <v>14</v>
      </c>
      <c r="G1752">
        <v>19.100000000000001</v>
      </c>
      <c r="H1752" t="str" cm="1">
        <f t="array" ref="H1752">_xlfn.IFS(G1752&gt;=20,"20-25", G1752&gt;=15,"15-20", G1752&gt;=10,"10-15", G1752&gt;=5,"5-10", G1752&gt;=1,"1-5", G1752&lt;1,"Less than 1")</f>
        <v>15-20</v>
      </c>
      <c r="I1752">
        <v>1</v>
      </c>
      <c r="J1752">
        <v>1</v>
      </c>
      <c r="K1752" s="6">
        <v>12</v>
      </c>
      <c r="L1752" s="2">
        <v>3.99</v>
      </c>
      <c r="M1752" s="6">
        <v>0</v>
      </c>
      <c r="N1752" t="str" cm="1">
        <f t="array" ref="N1752">_xlfn.IFS(M1752&gt;=50,"50-60 Days", M1752&gt;=40,"40-50 Days", M1752&gt;=30, "30-40 Days", M1752&gt;=20, "20-30 Days", M1752&gt;=10, "10-20 Days", M1752&gt;=0, "0-10 Days")</f>
        <v>0-10 Days</v>
      </c>
    </row>
    <row r="1753" spans="1:14">
      <c r="A1753">
        <v>1752</v>
      </c>
      <c r="B1753" t="s">
        <v>28</v>
      </c>
      <c r="C1753" s="5">
        <v>44967</v>
      </c>
      <c r="D1753" s="8">
        <v>44967</v>
      </c>
      <c r="E1753" s="8">
        <f>IF(B1753="Inactive", EDATE(D1753,K1753), "")</f>
        <v>45148</v>
      </c>
      <c r="F1753" t="s">
        <v>10</v>
      </c>
      <c r="G1753">
        <v>5.3</v>
      </c>
      <c r="H1753" t="str" cm="1">
        <f t="array" ref="H1753">_xlfn.IFS(G1753&gt;=20,"20-25", G1753&gt;=15,"15-20", G1753&gt;=10,"10-15", G1753&gt;=5,"5-10", G1753&gt;=1,"1-5", G1753&lt;1,"Less than 1")</f>
        <v>5-10</v>
      </c>
      <c r="I1753">
        <v>7</v>
      </c>
      <c r="J1753">
        <v>3</v>
      </c>
      <c r="K1753" s="6">
        <v>6</v>
      </c>
      <c r="L1753" s="2">
        <v>6.99</v>
      </c>
      <c r="M1753" s="6">
        <v>3</v>
      </c>
      <c r="N1753" t="str" cm="1">
        <f t="array" ref="N1753">_xlfn.IFS(M1753&gt;=50,"50-60 Days", M1753&gt;=40,"40-50 Days", M1753&gt;=30, "30-40 Days", M1753&gt;=20, "20-30 Days", M1753&gt;=10, "10-20 Days", M1753&gt;=0, "0-10 Days")</f>
        <v>0-10 Days</v>
      </c>
    </row>
    <row r="1754" spans="1:14">
      <c r="A1754">
        <v>1753</v>
      </c>
      <c r="B1754" t="s">
        <v>28</v>
      </c>
      <c r="C1754" s="5">
        <v>45362</v>
      </c>
      <c r="D1754" s="8">
        <v>45362</v>
      </c>
      <c r="E1754" s="8">
        <f>IF(B1754="Inactive", EDATE(D1754,K1754), "")</f>
        <v>45699</v>
      </c>
      <c r="F1754" t="s">
        <v>12</v>
      </c>
      <c r="G1754">
        <v>11.8</v>
      </c>
      <c r="H1754" t="str" cm="1">
        <f t="array" ref="H1754">_xlfn.IFS(G1754&gt;=20,"20-25", G1754&gt;=15,"15-20", G1754&gt;=10,"10-15", G1754&gt;=5,"5-10", G1754&gt;=1,"1-5", G1754&lt;1,"Less than 1")</f>
        <v>10-15</v>
      </c>
      <c r="I1754">
        <v>0</v>
      </c>
      <c r="J1754">
        <v>4</v>
      </c>
      <c r="K1754" s="6">
        <v>11</v>
      </c>
      <c r="L1754" s="2">
        <v>1.99</v>
      </c>
      <c r="M1754" s="6">
        <v>43</v>
      </c>
      <c r="N1754" t="str" cm="1">
        <f t="array" ref="N1754">_xlfn.IFS(M1754&gt;=50,"50-60 Days", M1754&gt;=40,"40-50 Days", M1754&gt;=30, "30-40 Days", M1754&gt;=20, "20-30 Days", M1754&gt;=10, "10-20 Days", M1754&gt;=0, "0-10 Days")</f>
        <v>40-50 Days</v>
      </c>
    </row>
    <row r="1755" spans="1:14">
      <c r="A1755">
        <v>1754</v>
      </c>
      <c r="B1755" t="s">
        <v>28</v>
      </c>
      <c r="C1755" s="5">
        <v>45292</v>
      </c>
      <c r="D1755" s="8">
        <v>45292</v>
      </c>
      <c r="E1755" s="8">
        <f>IF(B1755="Inactive", EDATE(D1755,K1755), "")</f>
        <v>45505</v>
      </c>
      <c r="F1755" t="s">
        <v>14</v>
      </c>
      <c r="G1755">
        <v>19.3</v>
      </c>
      <c r="H1755" t="str" cm="1">
        <f t="array" ref="H1755">_xlfn.IFS(G1755&gt;=20,"20-25", G1755&gt;=15,"15-20", G1755&gt;=10,"10-15", G1755&gt;=5,"5-10", G1755&gt;=1,"1-5", G1755&lt;1,"Less than 1")</f>
        <v>15-20</v>
      </c>
      <c r="I1755">
        <v>0</v>
      </c>
      <c r="J1755">
        <v>4</v>
      </c>
      <c r="K1755" s="6">
        <v>7</v>
      </c>
      <c r="L1755" s="2">
        <v>3.99</v>
      </c>
      <c r="M1755" s="6">
        <v>17</v>
      </c>
      <c r="N1755" t="str" cm="1">
        <f t="array" ref="N1755">_xlfn.IFS(M1755&gt;=50,"50-60 Days", M1755&gt;=40,"40-50 Days", M1755&gt;=30, "30-40 Days", M1755&gt;=20, "20-30 Days", M1755&gt;=10, "10-20 Days", M1755&gt;=0, "0-10 Days")</f>
        <v>10-20 Days</v>
      </c>
    </row>
    <row r="1756" spans="1:14">
      <c r="A1756">
        <v>1755</v>
      </c>
      <c r="B1756" t="s">
        <v>29</v>
      </c>
      <c r="C1756" s="5">
        <v>45292</v>
      </c>
      <c r="D1756" s="8">
        <v>45292</v>
      </c>
      <c r="E1756" s="8" t="str">
        <f>IF(B1756="Inactive", EDATE(D1756,K1756), "")</f>
        <v/>
      </c>
      <c r="F1756" t="s">
        <v>14</v>
      </c>
      <c r="G1756">
        <v>11.4</v>
      </c>
      <c r="H1756" t="str" cm="1">
        <f t="array" ref="H1756">_xlfn.IFS(G1756&gt;=20,"20-25", G1756&gt;=15,"15-20", G1756&gt;=10,"10-15", G1756&gt;=5,"5-10", G1756&gt;=1,"1-5", G1756&lt;1,"Less than 1")</f>
        <v>10-15</v>
      </c>
      <c r="I1756">
        <v>4</v>
      </c>
      <c r="J1756">
        <v>5</v>
      </c>
      <c r="K1756" s="6">
        <v>1</v>
      </c>
      <c r="L1756" s="2">
        <v>3.99</v>
      </c>
      <c r="M1756" s="6">
        <v>2</v>
      </c>
      <c r="N1756" t="str" cm="1">
        <f t="array" ref="N1756">_xlfn.IFS(M1756&gt;=50,"50-60 Days", M1756&gt;=40,"40-50 Days", M1756&gt;=30, "30-40 Days", M1756&gt;=20, "20-30 Days", M1756&gt;=10, "10-20 Days", M1756&gt;=0, "0-10 Days")</f>
        <v>0-10 Days</v>
      </c>
    </row>
    <row r="1757" spans="1:14">
      <c r="A1757">
        <v>1756</v>
      </c>
      <c r="B1757" t="s">
        <v>28</v>
      </c>
      <c r="C1757" s="5">
        <v>45023</v>
      </c>
      <c r="D1757" s="8">
        <v>45023</v>
      </c>
      <c r="E1757" s="8">
        <f>IF(B1757="Inactive", EDATE(D1757,K1757), "")</f>
        <v>45053</v>
      </c>
      <c r="F1757" t="s">
        <v>10</v>
      </c>
      <c r="G1757">
        <v>13.5</v>
      </c>
      <c r="H1757" t="str" cm="1">
        <f t="array" ref="H1757">_xlfn.IFS(G1757&gt;=20,"20-25", G1757&gt;=15,"15-20", G1757&gt;=10,"10-15", G1757&gt;=5,"5-10", G1757&gt;=1,"1-5", G1757&lt;1,"Less than 1")</f>
        <v>10-15</v>
      </c>
      <c r="I1757">
        <v>6</v>
      </c>
      <c r="J1757">
        <v>1</v>
      </c>
      <c r="K1757" s="6">
        <v>1</v>
      </c>
      <c r="L1757" s="2">
        <v>6.99</v>
      </c>
      <c r="M1757" s="6">
        <v>11</v>
      </c>
      <c r="N1757" t="str" cm="1">
        <f t="array" ref="N1757">_xlfn.IFS(M1757&gt;=50,"50-60 Days", M1757&gt;=40,"40-50 Days", M1757&gt;=30, "30-40 Days", M1757&gt;=20, "20-30 Days", M1757&gt;=10, "10-20 Days", M1757&gt;=0, "0-10 Days")</f>
        <v>10-20 Days</v>
      </c>
    </row>
    <row r="1758" spans="1:14">
      <c r="A1758">
        <v>1757</v>
      </c>
      <c r="B1758" t="s">
        <v>29</v>
      </c>
      <c r="C1758" s="5">
        <v>45632</v>
      </c>
      <c r="D1758" s="8">
        <v>45632</v>
      </c>
      <c r="E1758" s="8" t="str">
        <f>IF(B1758="Inactive", EDATE(D1758,K1758), "")</f>
        <v/>
      </c>
      <c r="F1758" t="s">
        <v>12</v>
      </c>
      <c r="G1758">
        <v>16</v>
      </c>
      <c r="H1758" t="str" cm="1">
        <f t="array" ref="H1758">_xlfn.IFS(G1758&gt;=20,"20-25", G1758&gt;=15,"15-20", G1758&gt;=10,"10-15", G1758&gt;=5,"5-10", G1758&gt;=1,"1-5", G1758&lt;1,"Less than 1")</f>
        <v>15-20</v>
      </c>
      <c r="I1758">
        <v>6</v>
      </c>
      <c r="J1758">
        <v>2</v>
      </c>
      <c r="K1758" s="6">
        <v>4</v>
      </c>
      <c r="L1758" s="2">
        <v>1.99</v>
      </c>
      <c r="M1758" s="6">
        <v>22</v>
      </c>
      <c r="N1758" t="str" cm="1">
        <f t="array" ref="N1758">_xlfn.IFS(M1758&gt;=50,"50-60 Days", M1758&gt;=40,"40-50 Days", M1758&gt;=30, "30-40 Days", M1758&gt;=20, "20-30 Days", M1758&gt;=10, "10-20 Days", M1758&gt;=0, "0-10 Days")</f>
        <v>20-30 Days</v>
      </c>
    </row>
    <row r="1759" spans="1:14">
      <c r="A1759">
        <v>1758</v>
      </c>
      <c r="B1759" t="s">
        <v>28</v>
      </c>
      <c r="C1759" s="5">
        <v>45261</v>
      </c>
      <c r="D1759" s="8">
        <v>45261</v>
      </c>
      <c r="E1759" s="8">
        <f>IF(B1759="Inactive", EDATE(D1759,K1759), "")</f>
        <v>45444</v>
      </c>
      <c r="F1759" t="s">
        <v>10</v>
      </c>
      <c r="G1759">
        <v>23</v>
      </c>
      <c r="H1759" t="str" cm="1">
        <f t="array" ref="H1759">_xlfn.IFS(G1759&gt;=20,"20-25", G1759&gt;=15,"15-20", G1759&gt;=10,"10-15", G1759&gt;=5,"5-10", G1759&gt;=1,"1-5", G1759&lt;1,"Less than 1")</f>
        <v>20-25</v>
      </c>
      <c r="I1759">
        <v>8</v>
      </c>
      <c r="J1759">
        <v>4</v>
      </c>
      <c r="K1759" s="6">
        <v>6</v>
      </c>
      <c r="L1759" s="2">
        <v>6.99</v>
      </c>
      <c r="M1759" s="6">
        <v>29</v>
      </c>
      <c r="N1759" t="str" cm="1">
        <f t="array" ref="N1759">_xlfn.IFS(M1759&gt;=50,"50-60 Days", M1759&gt;=40,"40-50 Days", M1759&gt;=30, "30-40 Days", M1759&gt;=20, "20-30 Days", M1759&gt;=10, "10-20 Days", M1759&gt;=0, "0-10 Days")</f>
        <v>20-30 Days</v>
      </c>
    </row>
    <row r="1760" spans="1:14">
      <c r="A1760">
        <v>1759</v>
      </c>
      <c r="B1760" t="s">
        <v>29</v>
      </c>
      <c r="C1760" s="5">
        <v>45007</v>
      </c>
      <c r="D1760" s="8">
        <v>45007</v>
      </c>
      <c r="E1760" s="8" t="str">
        <f>IF(B1760="Inactive", EDATE(D1760,K1760), "")</f>
        <v/>
      </c>
      <c r="F1760" t="s">
        <v>14</v>
      </c>
      <c r="G1760">
        <v>4.0999999999999996</v>
      </c>
      <c r="H1760" t="str" cm="1">
        <f t="array" ref="H1760">_xlfn.IFS(G1760&gt;=20,"20-25", G1760&gt;=15,"15-20", G1760&gt;=10,"10-15", G1760&gt;=5,"5-10", G1760&gt;=1,"1-5", G1760&lt;1,"Less than 1")</f>
        <v>1-5</v>
      </c>
      <c r="I1760">
        <v>1</v>
      </c>
      <c r="J1760">
        <v>3</v>
      </c>
      <c r="K1760" s="6">
        <v>1</v>
      </c>
      <c r="L1760" s="2">
        <v>3.99</v>
      </c>
      <c r="M1760" s="6">
        <v>32</v>
      </c>
      <c r="N1760" t="str" cm="1">
        <f t="array" ref="N1760">_xlfn.IFS(M1760&gt;=50,"50-60 Days", M1760&gt;=40,"40-50 Days", M1760&gt;=30, "30-40 Days", M1760&gt;=20, "20-30 Days", M1760&gt;=10, "10-20 Days", M1760&gt;=0, "0-10 Days")</f>
        <v>30-40 Days</v>
      </c>
    </row>
    <row r="1761" spans="1:14">
      <c r="A1761">
        <v>1760</v>
      </c>
      <c r="B1761" t="s">
        <v>29</v>
      </c>
      <c r="C1761" s="5">
        <v>45595</v>
      </c>
      <c r="D1761" s="8">
        <v>45595</v>
      </c>
      <c r="E1761" s="8" t="str">
        <f>IF(B1761="Inactive", EDATE(D1761,K1761), "")</f>
        <v/>
      </c>
      <c r="F1761" t="s">
        <v>14</v>
      </c>
      <c r="G1761">
        <v>10.9</v>
      </c>
      <c r="H1761" t="str" cm="1">
        <f t="array" ref="H1761">_xlfn.IFS(G1761&gt;=20,"20-25", G1761&gt;=15,"15-20", G1761&gt;=10,"10-15", G1761&gt;=5,"5-10", G1761&gt;=1,"1-5", G1761&lt;1,"Less than 1")</f>
        <v>10-15</v>
      </c>
      <c r="I1761">
        <v>0</v>
      </c>
      <c r="J1761">
        <v>1</v>
      </c>
      <c r="K1761" s="6">
        <v>7</v>
      </c>
      <c r="L1761" s="2">
        <v>3.99</v>
      </c>
      <c r="M1761" s="6">
        <v>60</v>
      </c>
      <c r="N1761" t="str" cm="1">
        <f t="array" ref="N1761">_xlfn.IFS(M1761&gt;=50,"50-60 Days", M1761&gt;=40,"40-50 Days", M1761&gt;=30, "30-40 Days", M1761&gt;=20, "20-30 Days", M1761&gt;=10, "10-20 Days", M1761&gt;=0, "0-10 Days")</f>
        <v>50-60 Days</v>
      </c>
    </row>
    <row r="1762" spans="1:14">
      <c r="A1762">
        <v>1761</v>
      </c>
      <c r="B1762" t="s">
        <v>28</v>
      </c>
      <c r="C1762" s="5">
        <v>45194</v>
      </c>
      <c r="D1762" s="8">
        <v>45194</v>
      </c>
      <c r="E1762" s="8">
        <f>IF(B1762="Inactive", EDATE(D1762,K1762), "")</f>
        <v>45255</v>
      </c>
      <c r="F1762" t="s">
        <v>10</v>
      </c>
      <c r="G1762">
        <v>21</v>
      </c>
      <c r="H1762" t="str" cm="1">
        <f t="array" ref="H1762">_xlfn.IFS(G1762&gt;=20,"20-25", G1762&gt;=15,"15-20", G1762&gt;=10,"10-15", G1762&gt;=5,"5-10", G1762&gt;=1,"1-5", G1762&lt;1,"Less than 1")</f>
        <v>20-25</v>
      </c>
      <c r="I1762">
        <v>6</v>
      </c>
      <c r="J1762">
        <v>0</v>
      </c>
      <c r="K1762" s="6">
        <v>2</v>
      </c>
      <c r="L1762" s="2">
        <v>6.99</v>
      </c>
      <c r="M1762" s="6">
        <v>50</v>
      </c>
      <c r="N1762" t="str" cm="1">
        <f t="array" ref="N1762">_xlfn.IFS(M1762&gt;=50,"50-60 Days", M1762&gt;=40,"40-50 Days", M1762&gt;=30, "30-40 Days", M1762&gt;=20, "20-30 Days", M1762&gt;=10, "10-20 Days", M1762&gt;=0, "0-10 Days")</f>
        <v>50-60 Days</v>
      </c>
    </row>
    <row r="1763" spans="1:14">
      <c r="A1763">
        <v>1762</v>
      </c>
      <c r="B1763" t="s">
        <v>28</v>
      </c>
      <c r="C1763" s="5">
        <v>45514</v>
      </c>
      <c r="D1763" s="8">
        <v>45514</v>
      </c>
      <c r="E1763" s="8">
        <f>IF(B1763="Inactive", EDATE(D1763,K1763), "")</f>
        <v>45848</v>
      </c>
      <c r="F1763" t="s">
        <v>14</v>
      </c>
      <c r="G1763">
        <v>13.7</v>
      </c>
      <c r="H1763" t="str" cm="1">
        <f t="array" ref="H1763">_xlfn.IFS(G1763&gt;=20,"20-25", G1763&gt;=15,"15-20", G1763&gt;=10,"10-15", G1763&gt;=5,"5-10", G1763&gt;=1,"1-5", G1763&lt;1,"Less than 1")</f>
        <v>10-15</v>
      </c>
      <c r="I1763">
        <v>3</v>
      </c>
      <c r="J1763">
        <v>5</v>
      </c>
      <c r="K1763" s="6">
        <v>11</v>
      </c>
      <c r="L1763" s="2">
        <v>3.99</v>
      </c>
      <c r="M1763" s="6">
        <v>51</v>
      </c>
      <c r="N1763" t="str" cm="1">
        <f t="array" ref="N1763">_xlfn.IFS(M1763&gt;=50,"50-60 Days", M1763&gt;=40,"40-50 Days", M1763&gt;=30, "30-40 Days", M1763&gt;=20, "20-30 Days", M1763&gt;=10, "10-20 Days", M1763&gt;=0, "0-10 Days")</f>
        <v>50-60 Days</v>
      </c>
    </row>
    <row r="1764" spans="1:14">
      <c r="A1764">
        <v>1763</v>
      </c>
      <c r="B1764" t="s">
        <v>28</v>
      </c>
      <c r="C1764" s="5">
        <v>45117</v>
      </c>
      <c r="D1764" s="8">
        <v>45117</v>
      </c>
      <c r="E1764" s="8">
        <f>IF(B1764="Inactive", EDATE(D1764,K1764), "")</f>
        <v>45270</v>
      </c>
      <c r="F1764" t="s">
        <v>14</v>
      </c>
      <c r="G1764">
        <v>19.100000000000001</v>
      </c>
      <c r="H1764" t="str" cm="1">
        <f t="array" ref="H1764">_xlfn.IFS(G1764&gt;=20,"20-25", G1764&gt;=15,"15-20", G1764&gt;=10,"10-15", G1764&gt;=5,"5-10", G1764&gt;=1,"1-5", G1764&lt;1,"Less than 1")</f>
        <v>15-20</v>
      </c>
      <c r="I1764">
        <v>6</v>
      </c>
      <c r="J1764">
        <v>2</v>
      </c>
      <c r="K1764" s="6">
        <v>5</v>
      </c>
      <c r="L1764" s="2">
        <v>3.99</v>
      </c>
      <c r="M1764" s="6">
        <v>47</v>
      </c>
      <c r="N1764" t="str" cm="1">
        <f t="array" ref="N1764">_xlfn.IFS(M1764&gt;=50,"50-60 Days", M1764&gt;=40,"40-50 Days", M1764&gt;=30, "30-40 Days", M1764&gt;=20, "20-30 Days", M1764&gt;=10, "10-20 Days", M1764&gt;=0, "0-10 Days")</f>
        <v>40-50 Days</v>
      </c>
    </row>
    <row r="1765" spans="1:14">
      <c r="A1765">
        <v>1764</v>
      </c>
      <c r="B1765" t="s">
        <v>28</v>
      </c>
      <c r="C1765" s="5">
        <v>44932</v>
      </c>
      <c r="D1765" s="8">
        <v>44932</v>
      </c>
      <c r="E1765" s="8">
        <f>IF(B1765="Inactive", EDATE(D1765,K1765), "")</f>
        <v>45266</v>
      </c>
      <c r="F1765" t="s">
        <v>14</v>
      </c>
      <c r="G1765">
        <v>17</v>
      </c>
      <c r="H1765" t="str" cm="1">
        <f t="array" ref="H1765">_xlfn.IFS(G1765&gt;=20,"20-25", G1765&gt;=15,"15-20", G1765&gt;=10,"10-15", G1765&gt;=5,"5-10", G1765&gt;=1,"1-5", G1765&lt;1,"Less than 1")</f>
        <v>15-20</v>
      </c>
      <c r="I1765">
        <v>6</v>
      </c>
      <c r="J1765">
        <v>1</v>
      </c>
      <c r="K1765" s="6">
        <v>11</v>
      </c>
      <c r="L1765" s="2">
        <v>3.99</v>
      </c>
      <c r="M1765" s="6">
        <v>43</v>
      </c>
      <c r="N1765" t="str" cm="1">
        <f t="array" ref="N1765">_xlfn.IFS(M1765&gt;=50,"50-60 Days", M1765&gt;=40,"40-50 Days", M1765&gt;=30, "30-40 Days", M1765&gt;=20, "20-30 Days", M1765&gt;=10, "10-20 Days", M1765&gt;=0, "0-10 Days")</f>
        <v>40-50 Days</v>
      </c>
    </row>
    <row r="1766" spans="1:14">
      <c r="A1766">
        <v>1765</v>
      </c>
      <c r="B1766" t="s">
        <v>28</v>
      </c>
      <c r="C1766" s="5">
        <v>45400</v>
      </c>
      <c r="D1766" s="8">
        <v>45400</v>
      </c>
      <c r="E1766" s="8">
        <f>IF(B1766="Inactive", EDATE(D1766,K1766), "")</f>
        <v>45553</v>
      </c>
      <c r="F1766" t="s">
        <v>14</v>
      </c>
      <c r="G1766">
        <v>1</v>
      </c>
      <c r="H1766" t="str" cm="1">
        <f t="array" ref="H1766">_xlfn.IFS(G1766&gt;=20,"20-25", G1766&gt;=15,"15-20", G1766&gt;=10,"10-15", G1766&gt;=5,"5-10", G1766&gt;=1,"1-5", G1766&lt;1,"Less than 1")</f>
        <v>1-5</v>
      </c>
      <c r="I1766">
        <v>6</v>
      </c>
      <c r="J1766">
        <v>5</v>
      </c>
      <c r="K1766" s="6">
        <v>5</v>
      </c>
      <c r="L1766" s="2">
        <v>3.99</v>
      </c>
      <c r="M1766" s="6">
        <v>8</v>
      </c>
      <c r="N1766" t="str" cm="1">
        <f t="array" ref="N1766">_xlfn.IFS(M1766&gt;=50,"50-60 Days", M1766&gt;=40,"40-50 Days", M1766&gt;=30, "30-40 Days", M1766&gt;=20, "20-30 Days", M1766&gt;=10, "10-20 Days", M1766&gt;=0, "0-10 Days")</f>
        <v>0-10 Days</v>
      </c>
    </row>
    <row r="1767" spans="1:14">
      <c r="A1767">
        <v>1766</v>
      </c>
      <c r="B1767" t="s">
        <v>28</v>
      </c>
      <c r="C1767" s="5">
        <v>44992</v>
      </c>
      <c r="D1767" s="8">
        <v>44992</v>
      </c>
      <c r="E1767" s="8">
        <f>IF(B1767="Inactive", EDATE(D1767,K1767), "")</f>
        <v>45206</v>
      </c>
      <c r="F1767" t="s">
        <v>10</v>
      </c>
      <c r="G1767">
        <v>2.9</v>
      </c>
      <c r="H1767" t="str" cm="1">
        <f t="array" ref="H1767">_xlfn.IFS(G1767&gt;=20,"20-25", G1767&gt;=15,"15-20", G1767&gt;=10,"10-15", G1767&gt;=5,"5-10", G1767&gt;=1,"1-5", G1767&lt;1,"Less than 1")</f>
        <v>1-5</v>
      </c>
      <c r="I1767">
        <v>3</v>
      </c>
      <c r="J1767">
        <v>0</v>
      </c>
      <c r="K1767" s="6">
        <v>7</v>
      </c>
      <c r="L1767" s="2">
        <v>6.99</v>
      </c>
      <c r="M1767" s="6">
        <v>45</v>
      </c>
      <c r="N1767" t="str" cm="1">
        <f t="array" ref="N1767">_xlfn.IFS(M1767&gt;=50,"50-60 Days", M1767&gt;=40,"40-50 Days", M1767&gt;=30, "30-40 Days", M1767&gt;=20, "20-30 Days", M1767&gt;=10, "10-20 Days", M1767&gt;=0, "0-10 Days")</f>
        <v>40-50 Days</v>
      </c>
    </row>
    <row r="1768" spans="1:14">
      <c r="A1768">
        <v>1767</v>
      </c>
      <c r="B1768" t="s">
        <v>28</v>
      </c>
      <c r="C1768" s="5">
        <v>45263</v>
      </c>
      <c r="D1768" s="8">
        <v>45263</v>
      </c>
      <c r="E1768" s="8">
        <f>IF(B1768="Inactive", EDATE(D1768,K1768), "")</f>
        <v>45476</v>
      </c>
      <c r="F1768" t="s">
        <v>10</v>
      </c>
      <c r="G1768">
        <v>18.3</v>
      </c>
      <c r="H1768" t="str" cm="1">
        <f t="array" ref="H1768">_xlfn.IFS(G1768&gt;=20,"20-25", G1768&gt;=15,"15-20", G1768&gt;=10,"10-15", G1768&gt;=5,"5-10", G1768&gt;=1,"1-5", G1768&lt;1,"Less than 1")</f>
        <v>15-20</v>
      </c>
      <c r="I1768">
        <v>7</v>
      </c>
      <c r="J1768">
        <v>4</v>
      </c>
      <c r="K1768" s="6">
        <v>7</v>
      </c>
      <c r="L1768" s="2">
        <v>6.99</v>
      </c>
      <c r="M1768" s="6">
        <v>26</v>
      </c>
      <c r="N1768" t="str" cm="1">
        <f t="array" ref="N1768">_xlfn.IFS(M1768&gt;=50,"50-60 Days", M1768&gt;=40,"40-50 Days", M1768&gt;=30, "30-40 Days", M1768&gt;=20, "20-30 Days", M1768&gt;=10, "10-20 Days", M1768&gt;=0, "0-10 Days")</f>
        <v>20-30 Days</v>
      </c>
    </row>
    <row r="1769" spans="1:14">
      <c r="A1769">
        <v>1768</v>
      </c>
      <c r="B1769" t="s">
        <v>28</v>
      </c>
      <c r="C1769" s="5">
        <v>45281</v>
      </c>
      <c r="D1769" s="8">
        <v>45281</v>
      </c>
      <c r="E1769" s="8">
        <f>IF(B1769="Inactive", EDATE(D1769,K1769), "")</f>
        <v>45556</v>
      </c>
      <c r="F1769" t="s">
        <v>10</v>
      </c>
      <c r="G1769">
        <v>12.2</v>
      </c>
      <c r="H1769" t="str" cm="1">
        <f t="array" ref="H1769">_xlfn.IFS(G1769&gt;=20,"20-25", G1769&gt;=15,"15-20", G1769&gt;=10,"10-15", G1769&gt;=5,"5-10", G1769&gt;=1,"1-5", G1769&lt;1,"Less than 1")</f>
        <v>10-15</v>
      </c>
      <c r="I1769">
        <v>8</v>
      </c>
      <c r="J1769">
        <v>0</v>
      </c>
      <c r="K1769" s="6">
        <v>9</v>
      </c>
      <c r="L1769" s="2">
        <v>6.99</v>
      </c>
      <c r="M1769" s="6">
        <v>21</v>
      </c>
      <c r="N1769" t="str" cm="1">
        <f t="array" ref="N1769">_xlfn.IFS(M1769&gt;=50,"50-60 Days", M1769&gt;=40,"40-50 Days", M1769&gt;=30, "30-40 Days", M1769&gt;=20, "20-30 Days", M1769&gt;=10, "10-20 Days", M1769&gt;=0, "0-10 Days")</f>
        <v>20-30 Days</v>
      </c>
    </row>
    <row r="1770" spans="1:14">
      <c r="A1770">
        <v>1769</v>
      </c>
      <c r="B1770" t="s">
        <v>29</v>
      </c>
      <c r="C1770" s="5">
        <v>45616</v>
      </c>
      <c r="D1770" s="8">
        <v>45616</v>
      </c>
      <c r="E1770" s="8" t="str">
        <f>IF(B1770="Inactive", EDATE(D1770,K1770), "")</f>
        <v/>
      </c>
      <c r="F1770" t="s">
        <v>14</v>
      </c>
      <c r="G1770">
        <v>11.8</v>
      </c>
      <c r="H1770" t="str" cm="1">
        <f t="array" ref="H1770">_xlfn.IFS(G1770&gt;=20,"20-25", G1770&gt;=15,"15-20", G1770&gt;=10,"10-15", G1770&gt;=5,"5-10", G1770&gt;=1,"1-5", G1770&lt;1,"Less than 1")</f>
        <v>10-15</v>
      </c>
      <c r="I1770">
        <v>7</v>
      </c>
      <c r="J1770">
        <v>1</v>
      </c>
      <c r="K1770" s="6">
        <v>4</v>
      </c>
      <c r="L1770" s="2">
        <v>3.99</v>
      </c>
      <c r="M1770" s="6">
        <v>34</v>
      </c>
      <c r="N1770" t="str" cm="1">
        <f t="array" ref="N1770">_xlfn.IFS(M1770&gt;=50,"50-60 Days", M1770&gt;=40,"40-50 Days", M1770&gt;=30, "30-40 Days", M1770&gt;=20, "20-30 Days", M1770&gt;=10, "10-20 Days", M1770&gt;=0, "0-10 Days")</f>
        <v>30-40 Days</v>
      </c>
    </row>
    <row r="1771" spans="1:14">
      <c r="A1771">
        <v>1770</v>
      </c>
      <c r="B1771" t="s">
        <v>28</v>
      </c>
      <c r="C1771" s="5">
        <v>45280</v>
      </c>
      <c r="D1771" s="8">
        <v>45280</v>
      </c>
      <c r="E1771" s="8">
        <f>IF(B1771="Inactive", EDATE(D1771,K1771), "")</f>
        <v>45463</v>
      </c>
      <c r="F1771" t="s">
        <v>14</v>
      </c>
      <c r="G1771">
        <v>10.4</v>
      </c>
      <c r="H1771" t="str" cm="1">
        <f t="array" ref="H1771">_xlfn.IFS(G1771&gt;=20,"20-25", G1771&gt;=15,"15-20", G1771&gt;=10,"10-15", G1771&gt;=5,"5-10", G1771&gt;=1,"1-5", G1771&lt;1,"Less than 1")</f>
        <v>10-15</v>
      </c>
      <c r="I1771">
        <v>1</v>
      </c>
      <c r="J1771">
        <v>5</v>
      </c>
      <c r="K1771" s="6">
        <v>6</v>
      </c>
      <c r="L1771" s="2">
        <v>3.99</v>
      </c>
      <c r="M1771" s="6">
        <v>31</v>
      </c>
      <c r="N1771" t="str" cm="1">
        <f t="array" ref="N1771">_xlfn.IFS(M1771&gt;=50,"50-60 Days", M1771&gt;=40,"40-50 Days", M1771&gt;=30, "30-40 Days", M1771&gt;=20, "20-30 Days", M1771&gt;=10, "10-20 Days", M1771&gt;=0, "0-10 Days")</f>
        <v>30-40 Days</v>
      </c>
    </row>
    <row r="1772" spans="1:14">
      <c r="A1772">
        <v>1771</v>
      </c>
      <c r="B1772" t="s">
        <v>28</v>
      </c>
      <c r="C1772" s="5">
        <v>45249</v>
      </c>
      <c r="D1772" s="8">
        <v>45249</v>
      </c>
      <c r="E1772" s="8">
        <f>IF(B1772="Inactive", EDATE(D1772,K1772), "")</f>
        <v>45401</v>
      </c>
      <c r="F1772" t="s">
        <v>12</v>
      </c>
      <c r="G1772">
        <v>18.8</v>
      </c>
      <c r="H1772" t="str" cm="1">
        <f t="array" ref="H1772">_xlfn.IFS(G1772&gt;=20,"20-25", G1772&gt;=15,"15-20", G1772&gt;=10,"10-15", G1772&gt;=5,"5-10", G1772&gt;=1,"1-5", G1772&lt;1,"Less than 1")</f>
        <v>15-20</v>
      </c>
      <c r="I1772">
        <v>8</v>
      </c>
      <c r="J1772">
        <v>2</v>
      </c>
      <c r="K1772" s="6">
        <v>5</v>
      </c>
      <c r="L1772" s="2">
        <v>1.99</v>
      </c>
      <c r="M1772" s="6">
        <v>19</v>
      </c>
      <c r="N1772" t="str" cm="1">
        <f t="array" ref="N1772">_xlfn.IFS(M1772&gt;=50,"50-60 Days", M1772&gt;=40,"40-50 Days", M1772&gt;=30, "30-40 Days", M1772&gt;=20, "20-30 Days", M1772&gt;=10, "10-20 Days", M1772&gt;=0, "0-10 Days")</f>
        <v>10-20 Days</v>
      </c>
    </row>
    <row r="1773" spans="1:14">
      <c r="A1773">
        <v>1772</v>
      </c>
      <c r="B1773" t="s">
        <v>28</v>
      </c>
      <c r="C1773" s="5">
        <v>45352</v>
      </c>
      <c r="D1773" s="8">
        <v>45352</v>
      </c>
      <c r="E1773" s="8">
        <f>IF(B1773="Inactive", EDATE(D1773,K1773), "")</f>
        <v>45658</v>
      </c>
      <c r="F1773" t="s">
        <v>14</v>
      </c>
      <c r="G1773">
        <v>1.2</v>
      </c>
      <c r="H1773" t="str" cm="1">
        <f t="array" ref="H1773">_xlfn.IFS(G1773&gt;=20,"20-25", G1773&gt;=15,"15-20", G1773&gt;=10,"10-15", G1773&gt;=5,"5-10", G1773&gt;=1,"1-5", G1773&lt;1,"Less than 1")</f>
        <v>1-5</v>
      </c>
      <c r="I1773">
        <v>2</v>
      </c>
      <c r="J1773">
        <v>4</v>
      </c>
      <c r="K1773" s="6">
        <v>10</v>
      </c>
      <c r="L1773" s="2">
        <v>3.99</v>
      </c>
      <c r="M1773" s="6">
        <v>22</v>
      </c>
      <c r="N1773" t="str" cm="1">
        <f t="array" ref="N1773">_xlfn.IFS(M1773&gt;=50,"50-60 Days", M1773&gt;=40,"40-50 Days", M1773&gt;=30, "30-40 Days", M1773&gt;=20, "20-30 Days", M1773&gt;=10, "10-20 Days", M1773&gt;=0, "0-10 Days")</f>
        <v>20-30 Days</v>
      </c>
    </row>
    <row r="1774" spans="1:14">
      <c r="A1774">
        <v>1773</v>
      </c>
      <c r="B1774" t="s">
        <v>29</v>
      </c>
      <c r="C1774" s="5">
        <v>45061</v>
      </c>
      <c r="D1774" s="8">
        <v>45061</v>
      </c>
      <c r="E1774" s="8" t="str">
        <f>IF(B1774="Inactive", EDATE(D1774,K1774), "")</f>
        <v/>
      </c>
      <c r="F1774" t="s">
        <v>12</v>
      </c>
      <c r="G1774">
        <v>14.1</v>
      </c>
      <c r="H1774" t="str" cm="1">
        <f t="array" ref="H1774">_xlfn.IFS(G1774&gt;=20,"20-25", G1774&gt;=15,"15-20", G1774&gt;=10,"10-15", G1774&gt;=5,"5-10", G1774&gt;=1,"1-5", G1774&lt;1,"Less than 1")</f>
        <v>10-15</v>
      </c>
      <c r="I1774">
        <v>7</v>
      </c>
      <c r="J1774">
        <v>1</v>
      </c>
      <c r="K1774" s="6">
        <v>7</v>
      </c>
      <c r="L1774" s="2">
        <v>1.99</v>
      </c>
      <c r="M1774" s="6">
        <v>24</v>
      </c>
      <c r="N1774" t="str" cm="1">
        <f t="array" ref="N1774">_xlfn.IFS(M1774&gt;=50,"50-60 Days", M1774&gt;=40,"40-50 Days", M1774&gt;=30, "30-40 Days", M1774&gt;=20, "20-30 Days", M1774&gt;=10, "10-20 Days", M1774&gt;=0, "0-10 Days")</f>
        <v>20-30 Days</v>
      </c>
    </row>
    <row r="1775" spans="1:14">
      <c r="A1775">
        <v>1774</v>
      </c>
      <c r="B1775" t="s">
        <v>29</v>
      </c>
      <c r="C1775" s="5">
        <v>45109</v>
      </c>
      <c r="D1775" s="8">
        <v>45109</v>
      </c>
      <c r="E1775" s="8" t="str">
        <f>IF(B1775="Inactive", EDATE(D1775,K1775), "")</f>
        <v/>
      </c>
      <c r="F1775" t="s">
        <v>14</v>
      </c>
      <c r="G1775">
        <v>2.9</v>
      </c>
      <c r="H1775" t="str" cm="1">
        <f t="array" ref="H1775">_xlfn.IFS(G1775&gt;=20,"20-25", G1775&gt;=15,"15-20", G1775&gt;=10,"10-15", G1775&gt;=5,"5-10", G1775&gt;=1,"1-5", G1775&lt;1,"Less than 1")</f>
        <v>1-5</v>
      </c>
      <c r="I1775">
        <v>3</v>
      </c>
      <c r="J1775">
        <v>1</v>
      </c>
      <c r="K1775" s="6">
        <v>3</v>
      </c>
      <c r="L1775" s="2">
        <v>3.99</v>
      </c>
      <c r="M1775" s="6">
        <v>7</v>
      </c>
      <c r="N1775" t="str" cm="1">
        <f t="array" ref="N1775">_xlfn.IFS(M1775&gt;=50,"50-60 Days", M1775&gt;=40,"40-50 Days", M1775&gt;=30, "30-40 Days", M1775&gt;=20, "20-30 Days", M1775&gt;=10, "10-20 Days", M1775&gt;=0, "0-10 Days")</f>
        <v>0-10 Days</v>
      </c>
    </row>
    <row r="1776" spans="1:14">
      <c r="A1776">
        <v>1775</v>
      </c>
      <c r="B1776" t="s">
        <v>29</v>
      </c>
      <c r="C1776" s="5">
        <v>45212</v>
      </c>
      <c r="D1776" s="8">
        <v>45212</v>
      </c>
      <c r="E1776" s="8" t="str">
        <f>IF(B1776="Inactive", EDATE(D1776,K1776), "")</f>
        <v/>
      </c>
      <c r="F1776" t="s">
        <v>12</v>
      </c>
      <c r="G1776">
        <v>14</v>
      </c>
      <c r="H1776" t="str" cm="1">
        <f t="array" ref="H1776">_xlfn.IFS(G1776&gt;=20,"20-25", G1776&gt;=15,"15-20", G1776&gt;=10,"10-15", G1776&gt;=5,"5-10", G1776&gt;=1,"1-5", G1776&lt;1,"Less than 1")</f>
        <v>10-15</v>
      </c>
      <c r="I1776">
        <v>5</v>
      </c>
      <c r="J1776">
        <v>1</v>
      </c>
      <c r="K1776" s="6">
        <v>9</v>
      </c>
      <c r="L1776" s="2">
        <v>1.99</v>
      </c>
      <c r="M1776" s="6">
        <v>26</v>
      </c>
      <c r="N1776" t="str" cm="1">
        <f t="array" ref="N1776">_xlfn.IFS(M1776&gt;=50,"50-60 Days", M1776&gt;=40,"40-50 Days", M1776&gt;=30, "30-40 Days", M1776&gt;=20, "20-30 Days", M1776&gt;=10, "10-20 Days", M1776&gt;=0, "0-10 Days")</f>
        <v>20-30 Days</v>
      </c>
    </row>
    <row r="1777" spans="1:14">
      <c r="A1777">
        <v>1776</v>
      </c>
      <c r="B1777" t="s">
        <v>28</v>
      </c>
      <c r="C1777" s="5">
        <v>45157</v>
      </c>
      <c r="D1777" s="8">
        <v>45157</v>
      </c>
      <c r="E1777" s="8">
        <f>IF(B1777="Inactive", EDATE(D1777,K1777), "")</f>
        <v>45401</v>
      </c>
      <c r="F1777" t="s">
        <v>14</v>
      </c>
      <c r="G1777">
        <v>15.9</v>
      </c>
      <c r="H1777" t="str" cm="1">
        <f t="array" ref="H1777">_xlfn.IFS(G1777&gt;=20,"20-25", G1777&gt;=15,"15-20", G1777&gt;=10,"10-15", G1777&gt;=5,"5-10", G1777&gt;=1,"1-5", G1777&lt;1,"Less than 1")</f>
        <v>15-20</v>
      </c>
      <c r="I1777">
        <v>5</v>
      </c>
      <c r="J1777">
        <v>4</v>
      </c>
      <c r="K1777" s="6">
        <v>8</v>
      </c>
      <c r="L1777" s="2">
        <v>3.99</v>
      </c>
      <c r="M1777" s="6">
        <v>34</v>
      </c>
      <c r="N1777" t="str" cm="1">
        <f t="array" ref="N1777">_xlfn.IFS(M1777&gt;=50,"50-60 Days", M1777&gt;=40,"40-50 Days", M1777&gt;=30, "30-40 Days", M1777&gt;=20, "20-30 Days", M1777&gt;=10, "10-20 Days", M1777&gt;=0, "0-10 Days")</f>
        <v>30-40 Days</v>
      </c>
    </row>
    <row r="1778" spans="1:14">
      <c r="A1778">
        <v>1777</v>
      </c>
      <c r="B1778" t="s">
        <v>29</v>
      </c>
      <c r="C1778" s="5">
        <v>45108</v>
      </c>
      <c r="D1778" s="8">
        <v>45108</v>
      </c>
      <c r="E1778" s="8" t="str">
        <f>IF(B1778="Inactive", EDATE(D1778,K1778), "")</f>
        <v/>
      </c>
      <c r="F1778" t="s">
        <v>14</v>
      </c>
      <c r="G1778">
        <v>19</v>
      </c>
      <c r="H1778" t="str" cm="1">
        <f t="array" ref="H1778">_xlfn.IFS(G1778&gt;=20,"20-25", G1778&gt;=15,"15-20", G1778&gt;=10,"10-15", G1778&gt;=5,"5-10", G1778&gt;=1,"1-5", G1778&lt;1,"Less than 1")</f>
        <v>15-20</v>
      </c>
      <c r="I1778">
        <v>4</v>
      </c>
      <c r="J1778">
        <v>3</v>
      </c>
      <c r="K1778" s="6">
        <v>11</v>
      </c>
      <c r="L1778" s="2">
        <v>3.99</v>
      </c>
      <c r="M1778" s="6">
        <v>10</v>
      </c>
      <c r="N1778" t="str" cm="1">
        <f t="array" ref="N1778">_xlfn.IFS(M1778&gt;=50,"50-60 Days", M1778&gt;=40,"40-50 Days", M1778&gt;=30, "30-40 Days", M1778&gt;=20, "20-30 Days", M1778&gt;=10, "10-20 Days", M1778&gt;=0, "0-10 Days")</f>
        <v>10-20 Days</v>
      </c>
    </row>
    <row r="1779" spans="1:14">
      <c r="A1779">
        <v>1778</v>
      </c>
      <c r="B1779" t="s">
        <v>28</v>
      </c>
      <c r="C1779" s="5">
        <v>45027</v>
      </c>
      <c r="D1779" s="8">
        <v>45027</v>
      </c>
      <c r="E1779" s="8">
        <f>IF(B1779="Inactive", EDATE(D1779,K1779), "")</f>
        <v>45241</v>
      </c>
      <c r="F1779" t="s">
        <v>14</v>
      </c>
      <c r="G1779">
        <v>0.6</v>
      </c>
      <c r="H1779" t="str" cm="1">
        <f t="array" ref="H1779">_xlfn.IFS(G1779&gt;=20,"20-25", G1779&gt;=15,"15-20", G1779&gt;=10,"10-15", G1779&gt;=5,"5-10", G1779&gt;=1,"1-5", G1779&lt;1,"Less than 1")</f>
        <v>Less than 1</v>
      </c>
      <c r="I1779">
        <v>5</v>
      </c>
      <c r="J1779">
        <v>3</v>
      </c>
      <c r="K1779" s="6">
        <v>7</v>
      </c>
      <c r="L1779" s="2">
        <v>3.99</v>
      </c>
      <c r="M1779" s="6">
        <v>41</v>
      </c>
      <c r="N1779" t="str" cm="1">
        <f t="array" ref="N1779">_xlfn.IFS(M1779&gt;=50,"50-60 Days", M1779&gt;=40,"40-50 Days", M1779&gt;=30, "30-40 Days", M1779&gt;=20, "20-30 Days", M1779&gt;=10, "10-20 Days", M1779&gt;=0, "0-10 Days")</f>
        <v>40-50 Days</v>
      </c>
    </row>
    <row r="1780" spans="1:14">
      <c r="A1780">
        <v>1779</v>
      </c>
      <c r="B1780" t="s">
        <v>28</v>
      </c>
      <c r="C1780" s="5">
        <v>45156</v>
      </c>
      <c r="D1780" s="8">
        <v>45156</v>
      </c>
      <c r="E1780" s="8">
        <f>IF(B1780="Inactive", EDATE(D1780,K1780), "")</f>
        <v>45430</v>
      </c>
      <c r="F1780" t="s">
        <v>14</v>
      </c>
      <c r="G1780">
        <v>24.4</v>
      </c>
      <c r="H1780" t="str" cm="1">
        <f t="array" ref="H1780">_xlfn.IFS(G1780&gt;=20,"20-25", G1780&gt;=15,"15-20", G1780&gt;=10,"10-15", G1780&gt;=5,"5-10", G1780&gt;=1,"1-5", G1780&lt;1,"Less than 1")</f>
        <v>20-25</v>
      </c>
      <c r="I1780">
        <v>6</v>
      </c>
      <c r="J1780">
        <v>1</v>
      </c>
      <c r="K1780" s="6">
        <v>9</v>
      </c>
      <c r="L1780" s="2">
        <v>3.99</v>
      </c>
      <c r="M1780" s="6">
        <v>40</v>
      </c>
      <c r="N1780" t="str" cm="1">
        <f t="array" ref="N1780">_xlfn.IFS(M1780&gt;=50,"50-60 Days", M1780&gt;=40,"40-50 Days", M1780&gt;=30, "30-40 Days", M1780&gt;=20, "20-30 Days", M1780&gt;=10, "10-20 Days", M1780&gt;=0, "0-10 Days")</f>
        <v>40-50 Days</v>
      </c>
    </row>
    <row r="1781" spans="1:14">
      <c r="A1781">
        <v>1780</v>
      </c>
      <c r="B1781" t="s">
        <v>29</v>
      </c>
      <c r="C1781" s="5">
        <v>45097</v>
      </c>
      <c r="D1781" s="8">
        <v>45097</v>
      </c>
      <c r="E1781" s="8" t="str">
        <f>IF(B1781="Inactive", EDATE(D1781,K1781), "")</f>
        <v/>
      </c>
      <c r="F1781" t="s">
        <v>12</v>
      </c>
      <c r="G1781">
        <v>25</v>
      </c>
      <c r="H1781" t="str" cm="1">
        <f t="array" ref="H1781">_xlfn.IFS(G1781&gt;=20,"20-25", G1781&gt;=15,"15-20", G1781&gt;=10,"10-15", G1781&gt;=5,"5-10", G1781&gt;=1,"1-5", G1781&lt;1,"Less than 1")</f>
        <v>20-25</v>
      </c>
      <c r="I1781">
        <v>6</v>
      </c>
      <c r="J1781">
        <v>0</v>
      </c>
      <c r="K1781" s="6">
        <v>11</v>
      </c>
      <c r="L1781" s="2">
        <v>1.99</v>
      </c>
      <c r="M1781" s="6">
        <v>20</v>
      </c>
      <c r="N1781" t="str" cm="1">
        <f t="array" ref="N1781">_xlfn.IFS(M1781&gt;=50,"50-60 Days", M1781&gt;=40,"40-50 Days", M1781&gt;=30, "30-40 Days", M1781&gt;=20, "20-30 Days", M1781&gt;=10, "10-20 Days", M1781&gt;=0, "0-10 Days")</f>
        <v>20-30 Days</v>
      </c>
    </row>
    <row r="1782" spans="1:14">
      <c r="A1782">
        <v>1781</v>
      </c>
      <c r="B1782" t="s">
        <v>29</v>
      </c>
      <c r="C1782" s="5">
        <v>45596</v>
      </c>
      <c r="D1782" s="8">
        <v>45596</v>
      </c>
      <c r="E1782" s="8" t="str">
        <f>IF(B1782="Inactive", EDATE(D1782,K1782), "")</f>
        <v/>
      </c>
      <c r="F1782" t="s">
        <v>10</v>
      </c>
      <c r="G1782">
        <v>17.3</v>
      </c>
      <c r="H1782" t="str" cm="1">
        <f t="array" ref="H1782">_xlfn.IFS(G1782&gt;=20,"20-25", G1782&gt;=15,"15-20", G1782&gt;=10,"10-15", G1782&gt;=5,"5-10", G1782&gt;=1,"1-5", G1782&lt;1,"Less than 1")</f>
        <v>15-20</v>
      </c>
      <c r="I1782">
        <v>5</v>
      </c>
      <c r="J1782">
        <v>0</v>
      </c>
      <c r="K1782" s="6">
        <v>11</v>
      </c>
      <c r="L1782" s="2">
        <v>6.99</v>
      </c>
      <c r="M1782" s="6">
        <v>47</v>
      </c>
      <c r="N1782" t="str" cm="1">
        <f t="array" ref="N1782">_xlfn.IFS(M1782&gt;=50,"50-60 Days", M1782&gt;=40,"40-50 Days", M1782&gt;=30, "30-40 Days", M1782&gt;=20, "20-30 Days", M1782&gt;=10, "10-20 Days", M1782&gt;=0, "0-10 Days")</f>
        <v>40-50 Days</v>
      </c>
    </row>
    <row r="1783" spans="1:14">
      <c r="A1783">
        <v>1782</v>
      </c>
      <c r="B1783" t="s">
        <v>29</v>
      </c>
      <c r="C1783" s="5">
        <v>45172</v>
      </c>
      <c r="D1783" s="8">
        <v>45172</v>
      </c>
      <c r="E1783" s="8" t="str">
        <f>IF(B1783="Inactive", EDATE(D1783,K1783), "")</f>
        <v/>
      </c>
      <c r="F1783" t="s">
        <v>14</v>
      </c>
      <c r="G1783">
        <v>13</v>
      </c>
      <c r="H1783" t="str" cm="1">
        <f t="array" ref="H1783">_xlfn.IFS(G1783&gt;=20,"20-25", G1783&gt;=15,"15-20", G1783&gt;=10,"10-15", G1783&gt;=5,"5-10", G1783&gt;=1,"1-5", G1783&lt;1,"Less than 1")</f>
        <v>10-15</v>
      </c>
      <c r="I1783">
        <v>3</v>
      </c>
      <c r="J1783">
        <v>1</v>
      </c>
      <c r="K1783" s="6">
        <v>12</v>
      </c>
      <c r="L1783" s="2">
        <v>3.99</v>
      </c>
      <c r="M1783" s="6">
        <v>29</v>
      </c>
      <c r="N1783" t="str" cm="1">
        <f t="array" ref="N1783">_xlfn.IFS(M1783&gt;=50,"50-60 Days", M1783&gt;=40,"40-50 Days", M1783&gt;=30, "30-40 Days", M1783&gt;=20, "20-30 Days", M1783&gt;=10, "10-20 Days", M1783&gt;=0, "0-10 Days")</f>
        <v>20-30 Days</v>
      </c>
    </row>
    <row r="1784" spans="1:14">
      <c r="A1784">
        <v>1783</v>
      </c>
      <c r="B1784" t="s">
        <v>28</v>
      </c>
      <c r="C1784" s="5">
        <v>44958</v>
      </c>
      <c r="D1784" s="8">
        <v>44958</v>
      </c>
      <c r="E1784" s="8">
        <f>IF(B1784="Inactive", EDATE(D1784,K1784), "")</f>
        <v>45292</v>
      </c>
      <c r="F1784" t="s">
        <v>12</v>
      </c>
      <c r="G1784">
        <v>23.5</v>
      </c>
      <c r="H1784" t="str" cm="1">
        <f t="array" ref="H1784">_xlfn.IFS(G1784&gt;=20,"20-25", G1784&gt;=15,"15-20", G1784&gt;=10,"10-15", G1784&gt;=5,"5-10", G1784&gt;=1,"1-5", G1784&lt;1,"Less than 1")</f>
        <v>20-25</v>
      </c>
      <c r="I1784">
        <v>3</v>
      </c>
      <c r="J1784">
        <v>2</v>
      </c>
      <c r="K1784" s="6">
        <v>11</v>
      </c>
      <c r="L1784" s="2">
        <v>1.99</v>
      </c>
      <c r="M1784" s="6">
        <v>8</v>
      </c>
      <c r="N1784" t="str" cm="1">
        <f t="array" ref="N1784">_xlfn.IFS(M1784&gt;=50,"50-60 Days", M1784&gt;=40,"40-50 Days", M1784&gt;=30, "30-40 Days", M1784&gt;=20, "20-30 Days", M1784&gt;=10, "10-20 Days", M1784&gt;=0, "0-10 Days")</f>
        <v>0-10 Days</v>
      </c>
    </row>
    <row r="1785" spans="1:14">
      <c r="A1785">
        <v>1784</v>
      </c>
      <c r="B1785" t="s">
        <v>28</v>
      </c>
      <c r="C1785" s="5">
        <v>45399</v>
      </c>
      <c r="D1785" s="8">
        <v>45399</v>
      </c>
      <c r="E1785" s="8">
        <f>IF(B1785="Inactive", EDATE(D1785,K1785), "")</f>
        <v>45705</v>
      </c>
      <c r="F1785" t="s">
        <v>12</v>
      </c>
      <c r="G1785">
        <v>11.8</v>
      </c>
      <c r="H1785" t="str" cm="1">
        <f t="array" ref="H1785">_xlfn.IFS(G1785&gt;=20,"20-25", G1785&gt;=15,"15-20", G1785&gt;=10,"10-15", G1785&gt;=5,"5-10", G1785&gt;=1,"1-5", G1785&lt;1,"Less than 1")</f>
        <v>10-15</v>
      </c>
      <c r="I1785">
        <v>7</v>
      </c>
      <c r="J1785">
        <v>1</v>
      </c>
      <c r="K1785" s="6">
        <v>10</v>
      </c>
      <c r="L1785" s="2">
        <v>1.99</v>
      </c>
      <c r="M1785" s="6">
        <v>50</v>
      </c>
      <c r="N1785" t="str" cm="1">
        <f t="array" ref="N1785">_xlfn.IFS(M1785&gt;=50,"50-60 Days", M1785&gt;=40,"40-50 Days", M1785&gt;=30, "30-40 Days", M1785&gt;=20, "20-30 Days", M1785&gt;=10, "10-20 Days", M1785&gt;=0, "0-10 Days")</f>
        <v>50-60 Days</v>
      </c>
    </row>
    <row r="1786" spans="1:14">
      <c r="A1786">
        <v>1785</v>
      </c>
      <c r="B1786" t="s">
        <v>29</v>
      </c>
      <c r="C1786" s="5">
        <v>44998</v>
      </c>
      <c r="D1786" s="8">
        <v>44998</v>
      </c>
      <c r="E1786" s="8" t="str">
        <f>IF(B1786="Inactive", EDATE(D1786,K1786), "")</f>
        <v/>
      </c>
      <c r="F1786" t="s">
        <v>10</v>
      </c>
      <c r="G1786">
        <v>20.2</v>
      </c>
      <c r="H1786" t="str" cm="1">
        <f t="array" ref="H1786">_xlfn.IFS(G1786&gt;=20,"20-25", G1786&gt;=15,"15-20", G1786&gt;=10,"10-15", G1786&gt;=5,"5-10", G1786&gt;=1,"1-5", G1786&lt;1,"Less than 1")</f>
        <v>20-25</v>
      </c>
      <c r="I1786">
        <v>5</v>
      </c>
      <c r="J1786">
        <v>1</v>
      </c>
      <c r="K1786" s="6">
        <v>3</v>
      </c>
      <c r="L1786" s="2">
        <v>6.99</v>
      </c>
      <c r="M1786" s="6">
        <v>15</v>
      </c>
      <c r="N1786" t="str" cm="1">
        <f t="array" ref="N1786">_xlfn.IFS(M1786&gt;=50,"50-60 Days", M1786&gt;=40,"40-50 Days", M1786&gt;=30, "30-40 Days", M1786&gt;=20, "20-30 Days", M1786&gt;=10, "10-20 Days", M1786&gt;=0, "0-10 Days")</f>
        <v>10-20 Days</v>
      </c>
    </row>
    <row r="1787" spans="1:14">
      <c r="A1787">
        <v>1786</v>
      </c>
      <c r="B1787" t="s">
        <v>29</v>
      </c>
      <c r="C1787" s="5">
        <v>44999</v>
      </c>
      <c r="D1787" s="8">
        <v>44999</v>
      </c>
      <c r="E1787" s="8" t="str">
        <f>IF(B1787="Inactive", EDATE(D1787,K1787), "")</f>
        <v/>
      </c>
      <c r="F1787" t="s">
        <v>12</v>
      </c>
      <c r="G1787">
        <v>17.2</v>
      </c>
      <c r="H1787" t="str" cm="1">
        <f t="array" ref="H1787">_xlfn.IFS(G1787&gt;=20,"20-25", G1787&gt;=15,"15-20", G1787&gt;=10,"10-15", G1787&gt;=5,"5-10", G1787&gt;=1,"1-5", G1787&lt;1,"Less than 1")</f>
        <v>15-20</v>
      </c>
      <c r="I1787">
        <v>6</v>
      </c>
      <c r="J1787">
        <v>4</v>
      </c>
      <c r="K1787" s="6">
        <v>1</v>
      </c>
      <c r="L1787" s="2">
        <v>1.99</v>
      </c>
      <c r="M1787" s="6">
        <v>30</v>
      </c>
      <c r="N1787" t="str" cm="1">
        <f t="array" ref="N1787">_xlfn.IFS(M1787&gt;=50,"50-60 Days", M1787&gt;=40,"40-50 Days", M1787&gt;=30, "30-40 Days", M1787&gt;=20, "20-30 Days", M1787&gt;=10, "10-20 Days", M1787&gt;=0, "0-10 Days")</f>
        <v>30-40 Days</v>
      </c>
    </row>
    <row r="1788" spans="1:14">
      <c r="A1788">
        <v>1787</v>
      </c>
      <c r="B1788" t="s">
        <v>29</v>
      </c>
      <c r="C1788" s="5">
        <v>45589</v>
      </c>
      <c r="D1788" s="8">
        <v>45589</v>
      </c>
      <c r="E1788" s="8" t="str">
        <f>IF(B1788="Inactive", EDATE(D1788,K1788), "")</f>
        <v/>
      </c>
      <c r="F1788" t="s">
        <v>14</v>
      </c>
      <c r="G1788">
        <v>22.1</v>
      </c>
      <c r="H1788" t="str" cm="1">
        <f t="array" ref="H1788">_xlfn.IFS(G1788&gt;=20,"20-25", G1788&gt;=15,"15-20", G1788&gt;=10,"10-15", G1788&gt;=5,"5-10", G1788&gt;=1,"1-5", G1788&lt;1,"Less than 1")</f>
        <v>20-25</v>
      </c>
      <c r="I1788">
        <v>8</v>
      </c>
      <c r="J1788">
        <v>0</v>
      </c>
      <c r="K1788" s="6">
        <v>6</v>
      </c>
      <c r="L1788" s="2">
        <v>3.99</v>
      </c>
      <c r="M1788" s="6">
        <v>45</v>
      </c>
      <c r="N1788" t="str" cm="1">
        <f t="array" ref="N1788">_xlfn.IFS(M1788&gt;=50,"50-60 Days", M1788&gt;=40,"40-50 Days", M1788&gt;=30, "30-40 Days", M1788&gt;=20, "20-30 Days", M1788&gt;=10, "10-20 Days", M1788&gt;=0, "0-10 Days")</f>
        <v>40-50 Days</v>
      </c>
    </row>
    <row r="1789" spans="1:14">
      <c r="A1789">
        <v>1788</v>
      </c>
      <c r="B1789" t="s">
        <v>28</v>
      </c>
      <c r="C1789" s="5">
        <v>44967</v>
      </c>
      <c r="D1789" s="8">
        <v>44967</v>
      </c>
      <c r="E1789" s="8">
        <f>IF(B1789="Inactive", EDATE(D1789,K1789), "")</f>
        <v>44995</v>
      </c>
      <c r="F1789" t="s">
        <v>10</v>
      </c>
      <c r="G1789">
        <v>11.2</v>
      </c>
      <c r="H1789" t="str" cm="1">
        <f t="array" ref="H1789">_xlfn.IFS(G1789&gt;=20,"20-25", G1789&gt;=15,"15-20", G1789&gt;=10,"10-15", G1789&gt;=5,"5-10", G1789&gt;=1,"1-5", G1789&lt;1,"Less than 1")</f>
        <v>10-15</v>
      </c>
      <c r="I1789">
        <v>0</v>
      </c>
      <c r="J1789">
        <v>2</v>
      </c>
      <c r="K1789" s="6">
        <v>1</v>
      </c>
      <c r="L1789" s="2">
        <v>6.99</v>
      </c>
      <c r="M1789" s="6">
        <v>51</v>
      </c>
      <c r="N1789" t="str" cm="1">
        <f t="array" ref="N1789">_xlfn.IFS(M1789&gt;=50,"50-60 Days", M1789&gt;=40,"40-50 Days", M1789&gt;=30, "30-40 Days", M1789&gt;=20, "20-30 Days", M1789&gt;=10, "10-20 Days", M1789&gt;=0, "0-10 Days")</f>
        <v>50-60 Days</v>
      </c>
    </row>
    <row r="1790" spans="1:14">
      <c r="A1790">
        <v>1789</v>
      </c>
      <c r="B1790" t="s">
        <v>28</v>
      </c>
      <c r="C1790" s="5">
        <v>45054</v>
      </c>
      <c r="D1790" s="8">
        <v>45054</v>
      </c>
      <c r="E1790" s="8">
        <f>IF(B1790="Inactive", EDATE(D1790,K1790), "")</f>
        <v>45330</v>
      </c>
      <c r="F1790" t="s">
        <v>14</v>
      </c>
      <c r="G1790">
        <v>18.100000000000001</v>
      </c>
      <c r="H1790" t="str" cm="1">
        <f t="array" ref="H1790">_xlfn.IFS(G1790&gt;=20,"20-25", G1790&gt;=15,"15-20", G1790&gt;=10,"10-15", G1790&gt;=5,"5-10", G1790&gt;=1,"1-5", G1790&lt;1,"Less than 1")</f>
        <v>15-20</v>
      </c>
      <c r="I1790">
        <v>8</v>
      </c>
      <c r="J1790">
        <v>5</v>
      </c>
      <c r="K1790" s="6">
        <v>9</v>
      </c>
      <c r="L1790" s="2">
        <v>3.99</v>
      </c>
      <c r="M1790" s="6">
        <v>41</v>
      </c>
      <c r="N1790" t="str" cm="1">
        <f t="array" ref="N1790">_xlfn.IFS(M1790&gt;=50,"50-60 Days", M1790&gt;=40,"40-50 Days", M1790&gt;=30, "30-40 Days", M1790&gt;=20, "20-30 Days", M1790&gt;=10, "10-20 Days", M1790&gt;=0, "0-10 Days")</f>
        <v>40-50 Days</v>
      </c>
    </row>
    <row r="1791" spans="1:14">
      <c r="A1791">
        <v>1790</v>
      </c>
      <c r="B1791" t="s">
        <v>29</v>
      </c>
      <c r="C1791" s="5">
        <v>45599</v>
      </c>
      <c r="D1791" s="8">
        <v>45599</v>
      </c>
      <c r="E1791" s="8" t="str">
        <f>IF(B1791="Inactive", EDATE(D1791,K1791), "")</f>
        <v/>
      </c>
      <c r="F1791" t="s">
        <v>12</v>
      </c>
      <c r="G1791">
        <v>21.3</v>
      </c>
      <c r="H1791" t="str" cm="1">
        <f t="array" ref="H1791">_xlfn.IFS(G1791&gt;=20,"20-25", G1791&gt;=15,"15-20", G1791&gt;=10,"10-15", G1791&gt;=5,"5-10", G1791&gt;=1,"1-5", G1791&lt;1,"Less than 1")</f>
        <v>20-25</v>
      </c>
      <c r="I1791">
        <v>1</v>
      </c>
      <c r="J1791">
        <v>5</v>
      </c>
      <c r="K1791" s="6">
        <v>4</v>
      </c>
      <c r="L1791" s="2">
        <v>1.99</v>
      </c>
      <c r="M1791" s="6">
        <v>10</v>
      </c>
      <c r="N1791" t="str" cm="1">
        <f t="array" ref="N1791">_xlfn.IFS(M1791&gt;=50,"50-60 Days", M1791&gt;=40,"40-50 Days", M1791&gt;=30, "30-40 Days", M1791&gt;=20, "20-30 Days", M1791&gt;=10, "10-20 Days", M1791&gt;=0, "0-10 Days")</f>
        <v>10-20 Days</v>
      </c>
    </row>
    <row r="1792" spans="1:14">
      <c r="A1792">
        <v>1791</v>
      </c>
      <c r="B1792" t="s">
        <v>28</v>
      </c>
      <c r="C1792" s="5">
        <v>45584</v>
      </c>
      <c r="D1792" s="8">
        <v>45584</v>
      </c>
      <c r="E1792" s="8">
        <f>IF(B1792="Inactive", EDATE(D1792,K1792), "")</f>
        <v>45707</v>
      </c>
      <c r="F1792" t="s">
        <v>14</v>
      </c>
      <c r="G1792">
        <v>22.9</v>
      </c>
      <c r="H1792" t="str" cm="1">
        <f t="array" ref="H1792">_xlfn.IFS(G1792&gt;=20,"20-25", G1792&gt;=15,"15-20", G1792&gt;=10,"10-15", G1792&gt;=5,"5-10", G1792&gt;=1,"1-5", G1792&lt;1,"Less than 1")</f>
        <v>20-25</v>
      </c>
      <c r="I1792">
        <v>7</v>
      </c>
      <c r="J1792">
        <v>1</v>
      </c>
      <c r="K1792" s="6">
        <v>4</v>
      </c>
      <c r="L1792" s="2">
        <v>3.99</v>
      </c>
      <c r="M1792" s="6">
        <v>16</v>
      </c>
      <c r="N1792" t="str" cm="1">
        <f t="array" ref="N1792">_xlfn.IFS(M1792&gt;=50,"50-60 Days", M1792&gt;=40,"40-50 Days", M1792&gt;=30, "30-40 Days", M1792&gt;=20, "20-30 Days", M1792&gt;=10, "10-20 Days", M1792&gt;=0, "0-10 Days")</f>
        <v>10-20 Days</v>
      </c>
    </row>
    <row r="1793" spans="1:14">
      <c r="A1793">
        <v>1792</v>
      </c>
      <c r="B1793" t="s">
        <v>28</v>
      </c>
      <c r="C1793" s="5">
        <v>45229</v>
      </c>
      <c r="D1793" s="8">
        <v>45229</v>
      </c>
      <c r="E1793" s="8">
        <f>IF(B1793="Inactive", EDATE(D1793,K1793), "")</f>
        <v>45290</v>
      </c>
      <c r="F1793" t="s">
        <v>10</v>
      </c>
      <c r="G1793">
        <v>11.7</v>
      </c>
      <c r="H1793" t="str" cm="1">
        <f t="array" ref="H1793">_xlfn.IFS(G1793&gt;=20,"20-25", G1793&gt;=15,"15-20", G1793&gt;=10,"10-15", G1793&gt;=5,"5-10", G1793&gt;=1,"1-5", G1793&lt;1,"Less than 1")</f>
        <v>10-15</v>
      </c>
      <c r="I1793">
        <v>7</v>
      </c>
      <c r="J1793">
        <v>1</v>
      </c>
      <c r="K1793" s="6">
        <v>2</v>
      </c>
      <c r="L1793" s="2">
        <v>6.99</v>
      </c>
      <c r="M1793" s="6">
        <v>48</v>
      </c>
      <c r="N1793" t="str" cm="1">
        <f t="array" ref="N1793">_xlfn.IFS(M1793&gt;=50,"50-60 Days", M1793&gt;=40,"40-50 Days", M1793&gt;=30, "30-40 Days", M1793&gt;=20, "20-30 Days", M1793&gt;=10, "10-20 Days", M1793&gt;=0, "0-10 Days")</f>
        <v>40-50 Days</v>
      </c>
    </row>
    <row r="1794" spans="1:14">
      <c r="A1794">
        <v>1793</v>
      </c>
      <c r="B1794" t="s">
        <v>29</v>
      </c>
      <c r="C1794" s="5">
        <v>45535</v>
      </c>
      <c r="D1794" s="8">
        <v>45535</v>
      </c>
      <c r="E1794" s="8" t="str">
        <f>IF(B1794="Inactive", EDATE(D1794,K1794), "")</f>
        <v/>
      </c>
      <c r="F1794" t="s">
        <v>10</v>
      </c>
      <c r="G1794">
        <v>8.6</v>
      </c>
      <c r="H1794" t="str" cm="1">
        <f t="array" ref="H1794">_xlfn.IFS(G1794&gt;=20,"20-25", G1794&gt;=15,"15-20", G1794&gt;=10,"10-15", G1794&gt;=5,"5-10", G1794&gt;=1,"1-5", G1794&lt;1,"Less than 1")</f>
        <v>5-10</v>
      </c>
      <c r="I1794">
        <v>7</v>
      </c>
      <c r="J1794">
        <v>5</v>
      </c>
      <c r="K1794" s="6">
        <v>10</v>
      </c>
      <c r="L1794" s="2">
        <v>6.99</v>
      </c>
      <c r="M1794" s="6">
        <v>16</v>
      </c>
      <c r="N1794" t="str" cm="1">
        <f t="array" ref="N1794">_xlfn.IFS(M1794&gt;=50,"50-60 Days", M1794&gt;=40,"40-50 Days", M1794&gt;=30, "30-40 Days", M1794&gt;=20, "20-30 Days", M1794&gt;=10, "10-20 Days", M1794&gt;=0, "0-10 Days")</f>
        <v>10-20 Days</v>
      </c>
    </row>
    <row r="1795" spans="1:14">
      <c r="A1795">
        <v>1794</v>
      </c>
      <c r="B1795" t="s">
        <v>29</v>
      </c>
      <c r="C1795" s="5">
        <v>45504</v>
      </c>
      <c r="D1795" s="8">
        <v>45504</v>
      </c>
      <c r="E1795" s="8" t="str">
        <f>IF(B1795="Inactive", EDATE(D1795,K1795), "")</f>
        <v/>
      </c>
      <c r="F1795" t="s">
        <v>12</v>
      </c>
      <c r="G1795">
        <v>4.0999999999999996</v>
      </c>
      <c r="H1795" t="str" cm="1">
        <f t="array" ref="H1795">_xlfn.IFS(G1795&gt;=20,"20-25", G1795&gt;=15,"15-20", G1795&gt;=10,"10-15", G1795&gt;=5,"5-10", G1795&gt;=1,"1-5", G1795&lt;1,"Less than 1")</f>
        <v>1-5</v>
      </c>
      <c r="I1795">
        <v>4</v>
      </c>
      <c r="J1795">
        <v>0</v>
      </c>
      <c r="K1795" s="6">
        <v>3</v>
      </c>
      <c r="L1795" s="2">
        <v>1.99</v>
      </c>
      <c r="M1795" s="6">
        <v>14</v>
      </c>
      <c r="N1795" t="str" cm="1">
        <f t="array" ref="N1795">_xlfn.IFS(M1795&gt;=50,"50-60 Days", M1795&gt;=40,"40-50 Days", M1795&gt;=30, "30-40 Days", M1795&gt;=20, "20-30 Days", M1795&gt;=10, "10-20 Days", M1795&gt;=0, "0-10 Days")</f>
        <v>10-20 Days</v>
      </c>
    </row>
    <row r="1796" spans="1:14">
      <c r="A1796">
        <v>1795</v>
      </c>
      <c r="B1796" t="s">
        <v>28</v>
      </c>
      <c r="C1796" s="5">
        <v>45657</v>
      </c>
      <c r="D1796" s="8">
        <v>45657</v>
      </c>
      <c r="E1796" s="8">
        <f>IF(B1796="Inactive", EDATE(D1796,K1796), "")</f>
        <v>45869</v>
      </c>
      <c r="F1796" t="s">
        <v>14</v>
      </c>
      <c r="G1796">
        <v>8</v>
      </c>
      <c r="H1796" t="str" cm="1">
        <f t="array" ref="H1796">_xlfn.IFS(G1796&gt;=20,"20-25", G1796&gt;=15,"15-20", G1796&gt;=10,"10-15", G1796&gt;=5,"5-10", G1796&gt;=1,"1-5", G1796&lt;1,"Less than 1")</f>
        <v>5-10</v>
      </c>
      <c r="I1796">
        <v>2</v>
      </c>
      <c r="J1796">
        <v>4</v>
      </c>
      <c r="K1796" s="6">
        <v>7</v>
      </c>
      <c r="L1796" s="2">
        <v>3.99</v>
      </c>
      <c r="M1796" s="6">
        <v>40</v>
      </c>
      <c r="N1796" t="str" cm="1">
        <f t="array" ref="N1796">_xlfn.IFS(M1796&gt;=50,"50-60 Days", M1796&gt;=40,"40-50 Days", M1796&gt;=30, "30-40 Days", M1796&gt;=20, "20-30 Days", M1796&gt;=10, "10-20 Days", M1796&gt;=0, "0-10 Days")</f>
        <v>40-50 Days</v>
      </c>
    </row>
    <row r="1797" spans="1:14">
      <c r="A1797">
        <v>1796</v>
      </c>
      <c r="B1797" t="s">
        <v>28</v>
      </c>
      <c r="C1797" s="5">
        <v>45320</v>
      </c>
      <c r="D1797" s="8">
        <v>45320</v>
      </c>
      <c r="E1797" s="8">
        <f>IF(B1797="Inactive", EDATE(D1797,K1797), "")</f>
        <v>45533</v>
      </c>
      <c r="F1797" t="s">
        <v>14</v>
      </c>
      <c r="G1797">
        <v>4.3</v>
      </c>
      <c r="H1797" t="str" cm="1">
        <f t="array" ref="H1797">_xlfn.IFS(G1797&gt;=20,"20-25", G1797&gt;=15,"15-20", G1797&gt;=10,"10-15", G1797&gt;=5,"5-10", G1797&gt;=1,"1-5", G1797&lt;1,"Less than 1")</f>
        <v>1-5</v>
      </c>
      <c r="I1797">
        <v>2</v>
      </c>
      <c r="J1797">
        <v>1</v>
      </c>
      <c r="K1797" s="6">
        <v>7</v>
      </c>
      <c r="L1797" s="2">
        <v>3.99</v>
      </c>
      <c r="M1797" s="6">
        <v>38</v>
      </c>
      <c r="N1797" t="str" cm="1">
        <f t="array" ref="N1797">_xlfn.IFS(M1797&gt;=50,"50-60 Days", M1797&gt;=40,"40-50 Days", M1797&gt;=30, "30-40 Days", M1797&gt;=20, "20-30 Days", M1797&gt;=10, "10-20 Days", M1797&gt;=0, "0-10 Days")</f>
        <v>30-40 Days</v>
      </c>
    </row>
    <row r="1798" spans="1:14">
      <c r="A1798">
        <v>1797</v>
      </c>
      <c r="B1798" t="s">
        <v>28</v>
      </c>
      <c r="C1798" s="5">
        <v>44939</v>
      </c>
      <c r="D1798" s="8">
        <v>44939</v>
      </c>
      <c r="E1798" s="8">
        <f>IF(B1798="Inactive", EDATE(D1798,K1798), "")</f>
        <v>45090</v>
      </c>
      <c r="F1798" t="s">
        <v>14</v>
      </c>
      <c r="G1798">
        <v>1.2</v>
      </c>
      <c r="H1798" t="str" cm="1">
        <f t="array" ref="H1798">_xlfn.IFS(G1798&gt;=20,"20-25", G1798&gt;=15,"15-20", G1798&gt;=10,"10-15", G1798&gt;=5,"5-10", G1798&gt;=1,"1-5", G1798&lt;1,"Less than 1")</f>
        <v>1-5</v>
      </c>
      <c r="I1798">
        <v>3</v>
      </c>
      <c r="J1798">
        <v>4</v>
      </c>
      <c r="K1798" s="6">
        <v>5</v>
      </c>
      <c r="L1798" s="2">
        <v>3.99</v>
      </c>
      <c r="M1798" s="6">
        <v>19</v>
      </c>
      <c r="N1798" t="str" cm="1">
        <f t="array" ref="N1798">_xlfn.IFS(M1798&gt;=50,"50-60 Days", M1798&gt;=40,"40-50 Days", M1798&gt;=30, "30-40 Days", M1798&gt;=20, "20-30 Days", M1798&gt;=10, "10-20 Days", M1798&gt;=0, "0-10 Days")</f>
        <v>10-20 Days</v>
      </c>
    </row>
    <row r="1799" spans="1:14">
      <c r="A1799">
        <v>1798</v>
      </c>
      <c r="B1799" t="s">
        <v>28</v>
      </c>
      <c r="C1799" s="5">
        <v>45101</v>
      </c>
      <c r="D1799" s="8">
        <v>45101</v>
      </c>
      <c r="E1799" s="8">
        <f>IF(B1799="Inactive", EDATE(D1799,K1799), "")</f>
        <v>45346</v>
      </c>
      <c r="F1799" t="s">
        <v>14</v>
      </c>
      <c r="G1799">
        <v>18.2</v>
      </c>
      <c r="H1799" t="str" cm="1">
        <f t="array" ref="H1799">_xlfn.IFS(G1799&gt;=20,"20-25", G1799&gt;=15,"15-20", G1799&gt;=10,"10-15", G1799&gt;=5,"5-10", G1799&gt;=1,"1-5", G1799&lt;1,"Less than 1")</f>
        <v>15-20</v>
      </c>
      <c r="I1799">
        <v>8</v>
      </c>
      <c r="J1799">
        <v>3</v>
      </c>
      <c r="K1799" s="6">
        <v>8</v>
      </c>
      <c r="L1799" s="2">
        <v>3.99</v>
      </c>
      <c r="M1799" s="6">
        <v>30</v>
      </c>
      <c r="N1799" t="str" cm="1">
        <f t="array" ref="N1799">_xlfn.IFS(M1799&gt;=50,"50-60 Days", M1799&gt;=40,"40-50 Days", M1799&gt;=30, "30-40 Days", M1799&gt;=20, "20-30 Days", M1799&gt;=10, "10-20 Days", M1799&gt;=0, "0-10 Days")</f>
        <v>30-40 Days</v>
      </c>
    </row>
    <row r="1800" spans="1:14">
      <c r="A1800">
        <v>1799</v>
      </c>
      <c r="B1800" t="s">
        <v>28</v>
      </c>
      <c r="C1800" s="5">
        <v>45423</v>
      </c>
      <c r="D1800" s="8">
        <v>45423</v>
      </c>
      <c r="E1800" s="8">
        <f>IF(B1800="Inactive", EDATE(D1800,K1800), "")</f>
        <v>45546</v>
      </c>
      <c r="F1800" t="s">
        <v>14</v>
      </c>
      <c r="G1800">
        <v>14.9</v>
      </c>
      <c r="H1800" t="str" cm="1">
        <f t="array" ref="H1800">_xlfn.IFS(G1800&gt;=20,"20-25", G1800&gt;=15,"15-20", G1800&gt;=10,"10-15", G1800&gt;=5,"5-10", G1800&gt;=1,"1-5", G1800&lt;1,"Less than 1")</f>
        <v>10-15</v>
      </c>
      <c r="I1800">
        <v>8</v>
      </c>
      <c r="J1800">
        <v>2</v>
      </c>
      <c r="K1800" s="6">
        <v>4</v>
      </c>
      <c r="L1800" s="2">
        <v>3.99</v>
      </c>
      <c r="M1800" s="6">
        <v>33</v>
      </c>
      <c r="N1800" t="str" cm="1">
        <f t="array" ref="N1800">_xlfn.IFS(M1800&gt;=50,"50-60 Days", M1800&gt;=40,"40-50 Days", M1800&gt;=30, "30-40 Days", M1800&gt;=20, "20-30 Days", M1800&gt;=10, "10-20 Days", M1800&gt;=0, "0-10 Days")</f>
        <v>30-40 Days</v>
      </c>
    </row>
    <row r="1801" spans="1:14">
      <c r="A1801">
        <v>1800</v>
      </c>
      <c r="B1801" t="s">
        <v>29</v>
      </c>
      <c r="C1801" s="5">
        <v>44941</v>
      </c>
      <c r="D1801" s="8">
        <v>44941</v>
      </c>
      <c r="E1801" s="8" t="str">
        <f>IF(B1801="Inactive", EDATE(D1801,K1801), "")</f>
        <v/>
      </c>
      <c r="F1801" t="s">
        <v>10</v>
      </c>
      <c r="G1801">
        <v>21.8</v>
      </c>
      <c r="H1801" t="str" cm="1">
        <f t="array" ref="H1801">_xlfn.IFS(G1801&gt;=20,"20-25", G1801&gt;=15,"15-20", G1801&gt;=10,"10-15", G1801&gt;=5,"5-10", G1801&gt;=1,"1-5", G1801&lt;1,"Less than 1")</f>
        <v>20-25</v>
      </c>
      <c r="I1801">
        <v>7</v>
      </c>
      <c r="J1801">
        <v>1</v>
      </c>
      <c r="K1801" s="6">
        <v>4</v>
      </c>
      <c r="L1801" s="2">
        <v>6.99</v>
      </c>
      <c r="M1801" s="6">
        <v>30</v>
      </c>
      <c r="N1801" t="str" cm="1">
        <f t="array" ref="N1801">_xlfn.IFS(M1801&gt;=50,"50-60 Days", M1801&gt;=40,"40-50 Days", M1801&gt;=30, "30-40 Days", M1801&gt;=20, "20-30 Days", M1801&gt;=10, "10-20 Days", M1801&gt;=0, "0-10 Days")</f>
        <v>30-40 Days</v>
      </c>
    </row>
    <row r="1802" spans="1:14">
      <c r="A1802">
        <v>1801</v>
      </c>
      <c r="B1802" t="s">
        <v>28</v>
      </c>
      <c r="C1802" s="5">
        <v>45550</v>
      </c>
      <c r="D1802" s="8">
        <v>45550</v>
      </c>
      <c r="E1802" s="8">
        <f>IF(B1802="Inactive", EDATE(D1802,K1802), "")</f>
        <v>45611</v>
      </c>
      <c r="F1802" t="s">
        <v>10</v>
      </c>
      <c r="G1802">
        <v>8.9</v>
      </c>
      <c r="H1802" t="str" cm="1">
        <f t="array" ref="H1802">_xlfn.IFS(G1802&gt;=20,"20-25", G1802&gt;=15,"15-20", G1802&gt;=10,"10-15", G1802&gt;=5,"5-10", G1802&gt;=1,"1-5", G1802&lt;1,"Less than 1")</f>
        <v>5-10</v>
      </c>
      <c r="I1802">
        <v>4</v>
      </c>
      <c r="J1802">
        <v>1</v>
      </c>
      <c r="K1802" s="6">
        <v>2</v>
      </c>
      <c r="L1802" s="2">
        <v>6.99</v>
      </c>
      <c r="M1802" s="6">
        <v>14</v>
      </c>
      <c r="N1802" t="str" cm="1">
        <f t="array" ref="N1802">_xlfn.IFS(M1802&gt;=50,"50-60 Days", M1802&gt;=40,"40-50 Days", M1802&gt;=30, "30-40 Days", M1802&gt;=20, "20-30 Days", M1802&gt;=10, "10-20 Days", M1802&gt;=0, "0-10 Days")</f>
        <v>10-20 Days</v>
      </c>
    </row>
    <row r="1803" spans="1:14">
      <c r="A1803">
        <v>1802</v>
      </c>
      <c r="B1803" t="s">
        <v>28</v>
      </c>
      <c r="C1803" s="5">
        <v>45580</v>
      </c>
      <c r="D1803" s="8">
        <v>45580</v>
      </c>
      <c r="E1803" s="8">
        <f>IF(B1803="Inactive", EDATE(D1803,K1803), "")</f>
        <v>45672</v>
      </c>
      <c r="F1803" t="s">
        <v>10</v>
      </c>
      <c r="G1803">
        <v>16.399999999999999</v>
      </c>
      <c r="H1803" t="str" cm="1">
        <f t="array" ref="H1803">_xlfn.IFS(G1803&gt;=20,"20-25", G1803&gt;=15,"15-20", G1803&gt;=10,"10-15", G1803&gt;=5,"5-10", G1803&gt;=1,"1-5", G1803&lt;1,"Less than 1")</f>
        <v>15-20</v>
      </c>
      <c r="I1803">
        <v>5</v>
      </c>
      <c r="J1803">
        <v>3</v>
      </c>
      <c r="K1803" s="6">
        <v>3</v>
      </c>
      <c r="L1803" s="2">
        <v>6.99</v>
      </c>
      <c r="M1803" s="6">
        <v>29</v>
      </c>
      <c r="N1803" t="str" cm="1">
        <f t="array" ref="N1803">_xlfn.IFS(M1803&gt;=50,"50-60 Days", M1803&gt;=40,"40-50 Days", M1803&gt;=30, "30-40 Days", M1803&gt;=20, "20-30 Days", M1803&gt;=10, "10-20 Days", M1803&gt;=0, "0-10 Days")</f>
        <v>20-30 Days</v>
      </c>
    </row>
    <row r="1804" spans="1:14">
      <c r="A1804">
        <v>1803</v>
      </c>
      <c r="B1804" t="s">
        <v>28</v>
      </c>
      <c r="C1804" s="5">
        <v>45568</v>
      </c>
      <c r="D1804" s="8">
        <v>45568</v>
      </c>
      <c r="E1804" s="8">
        <f>IF(B1804="Inactive", EDATE(D1804,K1804), "")</f>
        <v>45933</v>
      </c>
      <c r="F1804" t="s">
        <v>12</v>
      </c>
      <c r="G1804">
        <v>22.5</v>
      </c>
      <c r="H1804" t="str" cm="1">
        <f t="array" ref="H1804">_xlfn.IFS(G1804&gt;=20,"20-25", G1804&gt;=15,"15-20", G1804&gt;=10,"10-15", G1804&gt;=5,"5-10", G1804&gt;=1,"1-5", G1804&lt;1,"Less than 1")</f>
        <v>20-25</v>
      </c>
      <c r="I1804">
        <v>3</v>
      </c>
      <c r="J1804">
        <v>2</v>
      </c>
      <c r="K1804" s="6">
        <v>12</v>
      </c>
      <c r="L1804" s="2">
        <v>1.99</v>
      </c>
      <c r="M1804" s="6">
        <v>42</v>
      </c>
      <c r="N1804" t="str" cm="1">
        <f t="array" ref="N1804">_xlfn.IFS(M1804&gt;=50,"50-60 Days", M1804&gt;=40,"40-50 Days", M1804&gt;=30, "30-40 Days", M1804&gt;=20, "20-30 Days", M1804&gt;=10, "10-20 Days", M1804&gt;=0, "0-10 Days")</f>
        <v>40-50 Days</v>
      </c>
    </row>
    <row r="1805" spans="1:14">
      <c r="A1805">
        <v>1804</v>
      </c>
      <c r="B1805" t="s">
        <v>29</v>
      </c>
      <c r="C1805" s="5">
        <v>45477</v>
      </c>
      <c r="D1805" s="8">
        <v>45477</v>
      </c>
      <c r="E1805" s="8" t="str">
        <f>IF(B1805="Inactive", EDATE(D1805,K1805), "")</f>
        <v/>
      </c>
      <c r="F1805" t="s">
        <v>12</v>
      </c>
      <c r="G1805">
        <v>12.9</v>
      </c>
      <c r="H1805" t="str" cm="1">
        <f t="array" ref="H1805">_xlfn.IFS(G1805&gt;=20,"20-25", G1805&gt;=15,"15-20", G1805&gt;=10,"10-15", G1805&gt;=5,"5-10", G1805&gt;=1,"1-5", G1805&lt;1,"Less than 1")</f>
        <v>10-15</v>
      </c>
      <c r="I1805">
        <v>4</v>
      </c>
      <c r="J1805">
        <v>4</v>
      </c>
      <c r="K1805" s="6">
        <v>8</v>
      </c>
      <c r="L1805" s="2">
        <v>1.99</v>
      </c>
      <c r="M1805" s="6">
        <v>34</v>
      </c>
      <c r="N1805" t="str" cm="1">
        <f t="array" ref="N1805">_xlfn.IFS(M1805&gt;=50,"50-60 Days", M1805&gt;=40,"40-50 Days", M1805&gt;=30, "30-40 Days", M1805&gt;=20, "20-30 Days", M1805&gt;=10, "10-20 Days", M1805&gt;=0, "0-10 Days")</f>
        <v>30-40 Days</v>
      </c>
    </row>
    <row r="1806" spans="1:14">
      <c r="A1806">
        <v>1805</v>
      </c>
      <c r="B1806" t="s">
        <v>29</v>
      </c>
      <c r="C1806" s="5">
        <v>45114</v>
      </c>
      <c r="D1806" s="8">
        <v>45114</v>
      </c>
      <c r="E1806" s="8" t="str">
        <f>IF(B1806="Inactive", EDATE(D1806,K1806), "")</f>
        <v/>
      </c>
      <c r="F1806" t="s">
        <v>12</v>
      </c>
      <c r="G1806">
        <v>11.4</v>
      </c>
      <c r="H1806" t="str" cm="1">
        <f t="array" ref="H1806">_xlfn.IFS(G1806&gt;=20,"20-25", G1806&gt;=15,"15-20", G1806&gt;=10,"10-15", G1806&gt;=5,"5-10", G1806&gt;=1,"1-5", G1806&lt;1,"Less than 1")</f>
        <v>10-15</v>
      </c>
      <c r="I1806">
        <v>8</v>
      </c>
      <c r="J1806">
        <v>1</v>
      </c>
      <c r="K1806" s="6">
        <v>2</v>
      </c>
      <c r="L1806" s="2">
        <v>1.99</v>
      </c>
      <c r="M1806" s="6">
        <v>15</v>
      </c>
      <c r="N1806" t="str" cm="1">
        <f t="array" ref="N1806">_xlfn.IFS(M1806&gt;=50,"50-60 Days", M1806&gt;=40,"40-50 Days", M1806&gt;=30, "30-40 Days", M1806&gt;=20, "20-30 Days", M1806&gt;=10, "10-20 Days", M1806&gt;=0, "0-10 Days")</f>
        <v>10-20 Days</v>
      </c>
    </row>
    <row r="1807" spans="1:14">
      <c r="A1807">
        <v>1806</v>
      </c>
      <c r="B1807" t="s">
        <v>29</v>
      </c>
      <c r="C1807" s="5">
        <v>45199</v>
      </c>
      <c r="D1807" s="8">
        <v>45199</v>
      </c>
      <c r="E1807" s="8" t="str">
        <f>IF(B1807="Inactive", EDATE(D1807,K1807), "")</f>
        <v/>
      </c>
      <c r="F1807" t="s">
        <v>10</v>
      </c>
      <c r="G1807">
        <v>6.1</v>
      </c>
      <c r="H1807" t="str" cm="1">
        <f t="array" ref="H1807">_xlfn.IFS(G1807&gt;=20,"20-25", G1807&gt;=15,"15-20", G1807&gt;=10,"10-15", G1807&gt;=5,"5-10", G1807&gt;=1,"1-5", G1807&lt;1,"Less than 1")</f>
        <v>5-10</v>
      </c>
      <c r="I1807">
        <v>7</v>
      </c>
      <c r="J1807">
        <v>1</v>
      </c>
      <c r="K1807" s="6">
        <v>6</v>
      </c>
      <c r="L1807" s="2">
        <v>6.99</v>
      </c>
      <c r="M1807" s="6">
        <v>2</v>
      </c>
      <c r="N1807" t="str" cm="1">
        <f t="array" ref="N1807">_xlfn.IFS(M1807&gt;=50,"50-60 Days", M1807&gt;=40,"40-50 Days", M1807&gt;=30, "30-40 Days", M1807&gt;=20, "20-30 Days", M1807&gt;=10, "10-20 Days", M1807&gt;=0, "0-10 Days")</f>
        <v>0-10 Days</v>
      </c>
    </row>
    <row r="1808" spans="1:14">
      <c r="A1808">
        <v>1807</v>
      </c>
      <c r="B1808" t="s">
        <v>29</v>
      </c>
      <c r="C1808" s="5">
        <v>45062</v>
      </c>
      <c r="D1808" s="8">
        <v>45062</v>
      </c>
      <c r="E1808" s="8" t="str">
        <f>IF(B1808="Inactive", EDATE(D1808,K1808), "")</f>
        <v/>
      </c>
      <c r="F1808" t="s">
        <v>10</v>
      </c>
      <c r="G1808">
        <v>2.7</v>
      </c>
      <c r="H1808" t="str" cm="1">
        <f t="array" ref="H1808">_xlfn.IFS(G1808&gt;=20,"20-25", G1808&gt;=15,"15-20", G1808&gt;=10,"10-15", G1808&gt;=5,"5-10", G1808&gt;=1,"1-5", G1808&lt;1,"Less than 1")</f>
        <v>1-5</v>
      </c>
      <c r="I1808">
        <v>3</v>
      </c>
      <c r="J1808">
        <v>5</v>
      </c>
      <c r="K1808" s="6">
        <v>6</v>
      </c>
      <c r="L1808" s="2">
        <v>6.99</v>
      </c>
      <c r="M1808" s="6">
        <v>53</v>
      </c>
      <c r="N1808" t="str" cm="1">
        <f t="array" ref="N1808">_xlfn.IFS(M1808&gt;=50,"50-60 Days", M1808&gt;=40,"40-50 Days", M1808&gt;=30, "30-40 Days", M1808&gt;=20, "20-30 Days", M1808&gt;=10, "10-20 Days", M1808&gt;=0, "0-10 Days")</f>
        <v>50-60 Days</v>
      </c>
    </row>
    <row r="1809" spans="1:14">
      <c r="A1809">
        <v>1808</v>
      </c>
      <c r="B1809" t="s">
        <v>29</v>
      </c>
      <c r="C1809" s="5">
        <v>45415</v>
      </c>
      <c r="D1809" s="8">
        <v>45415</v>
      </c>
      <c r="E1809" s="8" t="str">
        <f>IF(B1809="Inactive", EDATE(D1809,K1809), "")</f>
        <v/>
      </c>
      <c r="F1809" t="s">
        <v>10</v>
      </c>
      <c r="G1809">
        <v>2</v>
      </c>
      <c r="H1809" t="str" cm="1">
        <f t="array" ref="H1809">_xlfn.IFS(G1809&gt;=20,"20-25", G1809&gt;=15,"15-20", G1809&gt;=10,"10-15", G1809&gt;=5,"5-10", G1809&gt;=1,"1-5", G1809&lt;1,"Less than 1")</f>
        <v>1-5</v>
      </c>
      <c r="I1809">
        <v>3</v>
      </c>
      <c r="J1809">
        <v>1</v>
      </c>
      <c r="K1809" s="6">
        <v>7</v>
      </c>
      <c r="L1809" s="2">
        <v>6.99</v>
      </c>
      <c r="M1809" s="6">
        <v>37</v>
      </c>
      <c r="N1809" t="str" cm="1">
        <f t="array" ref="N1809">_xlfn.IFS(M1809&gt;=50,"50-60 Days", M1809&gt;=40,"40-50 Days", M1809&gt;=30, "30-40 Days", M1809&gt;=20, "20-30 Days", M1809&gt;=10, "10-20 Days", M1809&gt;=0, "0-10 Days")</f>
        <v>30-40 Days</v>
      </c>
    </row>
    <row r="1810" spans="1:14">
      <c r="A1810">
        <v>1809</v>
      </c>
      <c r="B1810" t="s">
        <v>29</v>
      </c>
      <c r="C1810" s="5">
        <v>45128</v>
      </c>
      <c r="D1810" s="8">
        <v>45128</v>
      </c>
      <c r="E1810" s="8" t="str">
        <f>IF(B1810="Inactive", EDATE(D1810,K1810), "")</f>
        <v/>
      </c>
      <c r="F1810" t="s">
        <v>14</v>
      </c>
      <c r="G1810">
        <v>13.7</v>
      </c>
      <c r="H1810" t="str" cm="1">
        <f t="array" ref="H1810">_xlfn.IFS(G1810&gt;=20,"20-25", G1810&gt;=15,"15-20", G1810&gt;=10,"10-15", G1810&gt;=5,"5-10", G1810&gt;=1,"1-5", G1810&lt;1,"Less than 1")</f>
        <v>10-15</v>
      </c>
      <c r="I1810">
        <v>0</v>
      </c>
      <c r="J1810">
        <v>2</v>
      </c>
      <c r="K1810" s="6">
        <v>3</v>
      </c>
      <c r="L1810" s="2">
        <v>3.99</v>
      </c>
      <c r="M1810" s="6">
        <v>50</v>
      </c>
      <c r="N1810" t="str" cm="1">
        <f t="array" ref="N1810">_xlfn.IFS(M1810&gt;=50,"50-60 Days", M1810&gt;=40,"40-50 Days", M1810&gt;=30, "30-40 Days", M1810&gt;=20, "20-30 Days", M1810&gt;=10, "10-20 Days", M1810&gt;=0, "0-10 Days")</f>
        <v>50-60 Days</v>
      </c>
    </row>
    <row r="1811" spans="1:14">
      <c r="A1811">
        <v>1810</v>
      </c>
      <c r="B1811" t="s">
        <v>29</v>
      </c>
      <c r="C1811" s="5">
        <v>45147</v>
      </c>
      <c r="D1811" s="8">
        <v>45147</v>
      </c>
      <c r="E1811" s="8" t="str">
        <f>IF(B1811="Inactive", EDATE(D1811,K1811), "")</f>
        <v/>
      </c>
      <c r="F1811" t="s">
        <v>14</v>
      </c>
      <c r="G1811">
        <v>11.3</v>
      </c>
      <c r="H1811" t="str" cm="1">
        <f t="array" ref="H1811">_xlfn.IFS(G1811&gt;=20,"20-25", G1811&gt;=15,"15-20", G1811&gt;=10,"10-15", G1811&gt;=5,"5-10", G1811&gt;=1,"1-5", G1811&lt;1,"Less than 1")</f>
        <v>10-15</v>
      </c>
      <c r="I1811">
        <v>7</v>
      </c>
      <c r="J1811">
        <v>1</v>
      </c>
      <c r="K1811" s="6">
        <v>3</v>
      </c>
      <c r="L1811" s="2">
        <v>3.99</v>
      </c>
      <c r="M1811" s="6">
        <v>6</v>
      </c>
      <c r="N1811" t="str" cm="1">
        <f t="array" ref="N1811">_xlfn.IFS(M1811&gt;=50,"50-60 Days", M1811&gt;=40,"40-50 Days", M1811&gt;=30, "30-40 Days", M1811&gt;=20, "20-30 Days", M1811&gt;=10, "10-20 Days", M1811&gt;=0, "0-10 Days")</f>
        <v>0-10 Days</v>
      </c>
    </row>
    <row r="1812" spans="1:14">
      <c r="A1812">
        <v>1811</v>
      </c>
      <c r="B1812" t="s">
        <v>29</v>
      </c>
      <c r="C1812" s="5">
        <v>45041</v>
      </c>
      <c r="D1812" s="8">
        <v>45041</v>
      </c>
      <c r="E1812" s="8" t="str">
        <f>IF(B1812="Inactive", EDATE(D1812,K1812), "")</f>
        <v/>
      </c>
      <c r="F1812" t="s">
        <v>10</v>
      </c>
      <c r="G1812">
        <v>7.8</v>
      </c>
      <c r="H1812" t="str" cm="1">
        <f t="array" ref="H1812">_xlfn.IFS(G1812&gt;=20,"20-25", G1812&gt;=15,"15-20", G1812&gt;=10,"10-15", G1812&gt;=5,"5-10", G1812&gt;=1,"1-5", G1812&lt;1,"Less than 1")</f>
        <v>5-10</v>
      </c>
      <c r="I1812">
        <v>0</v>
      </c>
      <c r="J1812">
        <v>4</v>
      </c>
      <c r="K1812" s="6">
        <v>11</v>
      </c>
      <c r="L1812" s="2">
        <v>6.99</v>
      </c>
      <c r="M1812" s="6">
        <v>27</v>
      </c>
      <c r="N1812" t="str" cm="1">
        <f t="array" ref="N1812">_xlfn.IFS(M1812&gt;=50,"50-60 Days", M1812&gt;=40,"40-50 Days", M1812&gt;=30, "30-40 Days", M1812&gt;=20, "20-30 Days", M1812&gt;=10, "10-20 Days", M1812&gt;=0, "0-10 Days")</f>
        <v>20-30 Days</v>
      </c>
    </row>
    <row r="1813" spans="1:14">
      <c r="A1813">
        <v>1812</v>
      </c>
      <c r="B1813" t="s">
        <v>29</v>
      </c>
      <c r="C1813" s="5">
        <v>45394</v>
      </c>
      <c r="D1813" s="8">
        <v>45394</v>
      </c>
      <c r="E1813" s="8" t="str">
        <f>IF(B1813="Inactive", EDATE(D1813,K1813), "")</f>
        <v/>
      </c>
      <c r="F1813" t="s">
        <v>10</v>
      </c>
      <c r="G1813">
        <v>19.5</v>
      </c>
      <c r="H1813" t="str" cm="1">
        <f t="array" ref="H1813">_xlfn.IFS(G1813&gt;=20,"20-25", G1813&gt;=15,"15-20", G1813&gt;=10,"10-15", G1813&gt;=5,"5-10", G1813&gt;=1,"1-5", G1813&lt;1,"Less than 1")</f>
        <v>15-20</v>
      </c>
      <c r="I1813">
        <v>3</v>
      </c>
      <c r="J1813">
        <v>4</v>
      </c>
      <c r="K1813" s="6">
        <v>10</v>
      </c>
      <c r="L1813" s="2">
        <v>6.99</v>
      </c>
      <c r="M1813" s="6">
        <v>51</v>
      </c>
      <c r="N1813" t="str" cm="1">
        <f t="array" ref="N1813">_xlfn.IFS(M1813&gt;=50,"50-60 Days", M1813&gt;=40,"40-50 Days", M1813&gt;=30, "30-40 Days", M1813&gt;=20, "20-30 Days", M1813&gt;=10, "10-20 Days", M1813&gt;=0, "0-10 Days")</f>
        <v>50-60 Days</v>
      </c>
    </row>
    <row r="1814" spans="1:14">
      <c r="A1814">
        <v>1813</v>
      </c>
      <c r="B1814" t="s">
        <v>28</v>
      </c>
      <c r="C1814" s="5">
        <v>45446</v>
      </c>
      <c r="D1814" s="8">
        <v>45446</v>
      </c>
      <c r="E1814" s="8">
        <f>IF(B1814="Inactive", EDATE(D1814,K1814), "")</f>
        <v>45629</v>
      </c>
      <c r="F1814" t="s">
        <v>12</v>
      </c>
      <c r="G1814">
        <v>19</v>
      </c>
      <c r="H1814" t="str" cm="1">
        <f t="array" ref="H1814">_xlfn.IFS(G1814&gt;=20,"20-25", G1814&gt;=15,"15-20", G1814&gt;=10,"10-15", G1814&gt;=5,"5-10", G1814&gt;=1,"1-5", G1814&lt;1,"Less than 1")</f>
        <v>15-20</v>
      </c>
      <c r="I1814">
        <v>4</v>
      </c>
      <c r="J1814">
        <v>3</v>
      </c>
      <c r="K1814" s="6">
        <v>6</v>
      </c>
      <c r="L1814" s="2">
        <v>1.99</v>
      </c>
      <c r="M1814" s="6">
        <v>40</v>
      </c>
      <c r="N1814" t="str" cm="1">
        <f t="array" ref="N1814">_xlfn.IFS(M1814&gt;=50,"50-60 Days", M1814&gt;=40,"40-50 Days", M1814&gt;=30, "30-40 Days", M1814&gt;=20, "20-30 Days", M1814&gt;=10, "10-20 Days", M1814&gt;=0, "0-10 Days")</f>
        <v>40-50 Days</v>
      </c>
    </row>
    <row r="1815" spans="1:14">
      <c r="A1815">
        <v>1814</v>
      </c>
      <c r="B1815" t="s">
        <v>28</v>
      </c>
      <c r="C1815" s="5">
        <v>45276</v>
      </c>
      <c r="D1815" s="8">
        <v>45276</v>
      </c>
      <c r="E1815" s="8">
        <f>IF(B1815="Inactive", EDATE(D1815,K1815), "")</f>
        <v>45612</v>
      </c>
      <c r="F1815" t="s">
        <v>14</v>
      </c>
      <c r="G1815">
        <v>7.5</v>
      </c>
      <c r="H1815" t="str" cm="1">
        <f t="array" ref="H1815">_xlfn.IFS(G1815&gt;=20,"20-25", G1815&gt;=15,"15-20", G1815&gt;=10,"10-15", G1815&gt;=5,"5-10", G1815&gt;=1,"1-5", G1815&lt;1,"Less than 1")</f>
        <v>5-10</v>
      </c>
      <c r="I1815">
        <v>4</v>
      </c>
      <c r="J1815">
        <v>2</v>
      </c>
      <c r="K1815" s="6">
        <v>11</v>
      </c>
      <c r="L1815" s="2">
        <v>3.99</v>
      </c>
      <c r="M1815" s="6">
        <v>55</v>
      </c>
      <c r="N1815" t="str" cm="1">
        <f t="array" ref="N1815">_xlfn.IFS(M1815&gt;=50,"50-60 Days", M1815&gt;=40,"40-50 Days", M1815&gt;=30, "30-40 Days", M1815&gt;=20, "20-30 Days", M1815&gt;=10, "10-20 Days", M1815&gt;=0, "0-10 Days")</f>
        <v>50-60 Days</v>
      </c>
    </row>
    <row r="1816" spans="1:14">
      <c r="A1816">
        <v>1815</v>
      </c>
      <c r="B1816" t="s">
        <v>29</v>
      </c>
      <c r="C1816" s="5">
        <v>45426</v>
      </c>
      <c r="D1816" s="8">
        <v>45426</v>
      </c>
      <c r="E1816" s="8" t="str">
        <f>IF(B1816="Inactive", EDATE(D1816,K1816), "")</f>
        <v/>
      </c>
      <c r="F1816" t="s">
        <v>14</v>
      </c>
      <c r="G1816">
        <v>12.8</v>
      </c>
      <c r="H1816" t="str" cm="1">
        <f t="array" ref="H1816">_xlfn.IFS(G1816&gt;=20,"20-25", G1816&gt;=15,"15-20", G1816&gt;=10,"10-15", G1816&gt;=5,"5-10", G1816&gt;=1,"1-5", G1816&lt;1,"Less than 1")</f>
        <v>10-15</v>
      </c>
      <c r="I1816">
        <v>7</v>
      </c>
      <c r="J1816">
        <v>0</v>
      </c>
      <c r="K1816" s="6">
        <v>12</v>
      </c>
      <c r="L1816" s="2">
        <v>3.99</v>
      </c>
      <c r="M1816" s="6">
        <v>48</v>
      </c>
      <c r="N1816" t="str" cm="1">
        <f t="array" ref="N1816">_xlfn.IFS(M1816&gt;=50,"50-60 Days", M1816&gt;=40,"40-50 Days", M1816&gt;=30, "30-40 Days", M1816&gt;=20, "20-30 Days", M1816&gt;=10, "10-20 Days", M1816&gt;=0, "0-10 Days")</f>
        <v>40-50 Days</v>
      </c>
    </row>
    <row r="1817" spans="1:14">
      <c r="A1817">
        <v>1816</v>
      </c>
      <c r="B1817" t="s">
        <v>28</v>
      </c>
      <c r="C1817" s="5">
        <v>44994</v>
      </c>
      <c r="D1817" s="8">
        <v>44994</v>
      </c>
      <c r="E1817" s="8">
        <f>IF(B1817="Inactive", EDATE(D1817,K1817), "")</f>
        <v>45208</v>
      </c>
      <c r="F1817" t="s">
        <v>12</v>
      </c>
      <c r="G1817">
        <v>22.4</v>
      </c>
      <c r="H1817" t="str" cm="1">
        <f t="array" ref="H1817">_xlfn.IFS(G1817&gt;=20,"20-25", G1817&gt;=15,"15-20", G1817&gt;=10,"10-15", G1817&gt;=5,"5-10", G1817&gt;=1,"1-5", G1817&lt;1,"Less than 1")</f>
        <v>20-25</v>
      </c>
      <c r="I1817">
        <v>8</v>
      </c>
      <c r="J1817">
        <v>3</v>
      </c>
      <c r="K1817" s="6">
        <v>7</v>
      </c>
      <c r="L1817" s="2">
        <v>1.99</v>
      </c>
      <c r="M1817" s="6">
        <v>31</v>
      </c>
      <c r="N1817" t="str" cm="1">
        <f t="array" ref="N1817">_xlfn.IFS(M1817&gt;=50,"50-60 Days", M1817&gt;=40,"40-50 Days", M1817&gt;=30, "30-40 Days", M1817&gt;=20, "20-30 Days", M1817&gt;=10, "10-20 Days", M1817&gt;=0, "0-10 Days")</f>
        <v>30-40 Days</v>
      </c>
    </row>
    <row r="1818" spans="1:14">
      <c r="A1818">
        <v>1817</v>
      </c>
      <c r="B1818" t="s">
        <v>28</v>
      </c>
      <c r="C1818" s="5">
        <v>45114</v>
      </c>
      <c r="D1818" s="8">
        <v>45114</v>
      </c>
      <c r="E1818" s="8">
        <f>IF(B1818="Inactive", EDATE(D1818,K1818), "")</f>
        <v>45329</v>
      </c>
      <c r="F1818" t="s">
        <v>14</v>
      </c>
      <c r="G1818">
        <v>2.8</v>
      </c>
      <c r="H1818" t="str" cm="1">
        <f t="array" ref="H1818">_xlfn.IFS(G1818&gt;=20,"20-25", G1818&gt;=15,"15-20", G1818&gt;=10,"10-15", G1818&gt;=5,"5-10", G1818&gt;=1,"1-5", G1818&lt;1,"Less than 1")</f>
        <v>1-5</v>
      </c>
      <c r="I1818">
        <v>7</v>
      </c>
      <c r="J1818">
        <v>2</v>
      </c>
      <c r="K1818" s="6">
        <v>7</v>
      </c>
      <c r="L1818" s="2">
        <v>3.99</v>
      </c>
      <c r="M1818" s="6">
        <v>40</v>
      </c>
      <c r="N1818" t="str" cm="1">
        <f t="array" ref="N1818">_xlfn.IFS(M1818&gt;=50,"50-60 Days", M1818&gt;=40,"40-50 Days", M1818&gt;=30, "30-40 Days", M1818&gt;=20, "20-30 Days", M1818&gt;=10, "10-20 Days", M1818&gt;=0, "0-10 Days")</f>
        <v>40-50 Days</v>
      </c>
    </row>
    <row r="1819" spans="1:14">
      <c r="A1819">
        <v>1818</v>
      </c>
      <c r="B1819" t="s">
        <v>28</v>
      </c>
      <c r="C1819" s="5">
        <v>45470</v>
      </c>
      <c r="D1819" s="8">
        <v>45470</v>
      </c>
      <c r="E1819" s="8">
        <f>IF(B1819="Inactive", EDATE(D1819,K1819), "")</f>
        <v>45562</v>
      </c>
      <c r="F1819" t="s">
        <v>12</v>
      </c>
      <c r="G1819">
        <v>19.2</v>
      </c>
      <c r="H1819" t="str" cm="1">
        <f t="array" ref="H1819">_xlfn.IFS(G1819&gt;=20,"20-25", G1819&gt;=15,"15-20", G1819&gt;=10,"10-15", G1819&gt;=5,"5-10", G1819&gt;=1,"1-5", G1819&lt;1,"Less than 1")</f>
        <v>15-20</v>
      </c>
      <c r="I1819">
        <v>3</v>
      </c>
      <c r="J1819">
        <v>2</v>
      </c>
      <c r="K1819" s="6">
        <v>3</v>
      </c>
      <c r="L1819" s="2">
        <v>1.99</v>
      </c>
      <c r="M1819" s="6">
        <v>32</v>
      </c>
      <c r="N1819" t="str" cm="1">
        <f t="array" ref="N1819">_xlfn.IFS(M1819&gt;=50,"50-60 Days", M1819&gt;=40,"40-50 Days", M1819&gt;=30, "30-40 Days", M1819&gt;=20, "20-30 Days", M1819&gt;=10, "10-20 Days", M1819&gt;=0, "0-10 Days")</f>
        <v>30-40 Days</v>
      </c>
    </row>
    <row r="1820" spans="1:14">
      <c r="A1820">
        <v>1819</v>
      </c>
      <c r="B1820" t="s">
        <v>28</v>
      </c>
      <c r="C1820" s="5">
        <v>45087</v>
      </c>
      <c r="D1820" s="8">
        <v>45087</v>
      </c>
      <c r="E1820" s="8">
        <f>IF(B1820="Inactive", EDATE(D1820,K1820), "")</f>
        <v>45179</v>
      </c>
      <c r="F1820" t="s">
        <v>14</v>
      </c>
      <c r="G1820">
        <v>17.3</v>
      </c>
      <c r="H1820" t="str" cm="1">
        <f t="array" ref="H1820">_xlfn.IFS(G1820&gt;=20,"20-25", G1820&gt;=15,"15-20", G1820&gt;=10,"10-15", G1820&gt;=5,"5-10", G1820&gt;=1,"1-5", G1820&lt;1,"Less than 1")</f>
        <v>15-20</v>
      </c>
      <c r="I1820">
        <v>3</v>
      </c>
      <c r="J1820">
        <v>4</v>
      </c>
      <c r="K1820" s="6">
        <v>3</v>
      </c>
      <c r="L1820" s="2">
        <v>3.99</v>
      </c>
      <c r="M1820" s="6">
        <v>43</v>
      </c>
      <c r="N1820" t="str" cm="1">
        <f t="array" ref="N1820">_xlfn.IFS(M1820&gt;=50,"50-60 Days", M1820&gt;=40,"40-50 Days", M1820&gt;=30, "30-40 Days", M1820&gt;=20, "20-30 Days", M1820&gt;=10, "10-20 Days", M1820&gt;=0, "0-10 Days")</f>
        <v>40-50 Days</v>
      </c>
    </row>
    <row r="1821" spans="1:14">
      <c r="A1821">
        <v>1820</v>
      </c>
      <c r="B1821" t="s">
        <v>28</v>
      </c>
      <c r="C1821" s="5">
        <v>45455</v>
      </c>
      <c r="D1821" s="8">
        <v>45455</v>
      </c>
      <c r="E1821" s="8">
        <f>IF(B1821="Inactive", EDATE(D1821,K1821), "")</f>
        <v>45728</v>
      </c>
      <c r="F1821" t="s">
        <v>12</v>
      </c>
      <c r="G1821">
        <v>19.8</v>
      </c>
      <c r="H1821" t="str" cm="1">
        <f t="array" ref="H1821">_xlfn.IFS(G1821&gt;=20,"20-25", G1821&gt;=15,"15-20", G1821&gt;=10,"10-15", G1821&gt;=5,"5-10", G1821&gt;=1,"1-5", G1821&lt;1,"Less than 1")</f>
        <v>15-20</v>
      </c>
      <c r="I1821">
        <v>2</v>
      </c>
      <c r="J1821">
        <v>4</v>
      </c>
      <c r="K1821" s="6">
        <v>9</v>
      </c>
      <c r="L1821" s="2">
        <v>1.99</v>
      </c>
      <c r="M1821" s="6">
        <v>42</v>
      </c>
      <c r="N1821" t="str" cm="1">
        <f t="array" ref="N1821">_xlfn.IFS(M1821&gt;=50,"50-60 Days", M1821&gt;=40,"40-50 Days", M1821&gt;=30, "30-40 Days", M1821&gt;=20, "20-30 Days", M1821&gt;=10, "10-20 Days", M1821&gt;=0, "0-10 Days")</f>
        <v>40-50 Days</v>
      </c>
    </row>
    <row r="1822" spans="1:14">
      <c r="A1822">
        <v>1821</v>
      </c>
      <c r="B1822" t="s">
        <v>28</v>
      </c>
      <c r="C1822" s="5">
        <v>45237</v>
      </c>
      <c r="D1822" s="8">
        <v>45237</v>
      </c>
      <c r="E1822" s="8">
        <f>IF(B1822="Inactive", EDATE(D1822,K1822), "")</f>
        <v>45511</v>
      </c>
      <c r="F1822" t="s">
        <v>14</v>
      </c>
      <c r="G1822">
        <v>19.600000000000001</v>
      </c>
      <c r="H1822" t="str" cm="1">
        <f t="array" ref="H1822">_xlfn.IFS(G1822&gt;=20,"20-25", G1822&gt;=15,"15-20", G1822&gt;=10,"10-15", G1822&gt;=5,"5-10", G1822&gt;=1,"1-5", G1822&lt;1,"Less than 1")</f>
        <v>15-20</v>
      </c>
      <c r="I1822">
        <v>4</v>
      </c>
      <c r="J1822">
        <v>1</v>
      </c>
      <c r="K1822" s="6">
        <v>9</v>
      </c>
      <c r="L1822" s="2">
        <v>3.99</v>
      </c>
      <c r="M1822" s="6">
        <v>59</v>
      </c>
      <c r="N1822" t="str" cm="1">
        <f t="array" ref="N1822">_xlfn.IFS(M1822&gt;=50,"50-60 Days", M1822&gt;=40,"40-50 Days", M1822&gt;=30, "30-40 Days", M1822&gt;=20, "20-30 Days", M1822&gt;=10, "10-20 Days", M1822&gt;=0, "0-10 Days")</f>
        <v>50-60 Days</v>
      </c>
    </row>
    <row r="1823" spans="1:14">
      <c r="A1823">
        <v>1822</v>
      </c>
      <c r="B1823" t="s">
        <v>28</v>
      </c>
      <c r="C1823" s="5">
        <v>45362</v>
      </c>
      <c r="D1823" s="8">
        <v>45362</v>
      </c>
      <c r="E1823" s="8">
        <f>IF(B1823="Inactive", EDATE(D1823,K1823), "")</f>
        <v>45484</v>
      </c>
      <c r="F1823" t="s">
        <v>14</v>
      </c>
      <c r="G1823">
        <v>8</v>
      </c>
      <c r="H1823" t="str" cm="1">
        <f t="array" ref="H1823">_xlfn.IFS(G1823&gt;=20,"20-25", G1823&gt;=15,"15-20", G1823&gt;=10,"10-15", G1823&gt;=5,"5-10", G1823&gt;=1,"1-5", G1823&lt;1,"Less than 1")</f>
        <v>5-10</v>
      </c>
      <c r="I1823">
        <v>5</v>
      </c>
      <c r="J1823">
        <v>5</v>
      </c>
      <c r="K1823" s="6">
        <v>4</v>
      </c>
      <c r="L1823" s="2">
        <v>3.99</v>
      </c>
      <c r="M1823" s="6">
        <v>20</v>
      </c>
      <c r="N1823" t="str" cm="1">
        <f t="array" ref="N1823">_xlfn.IFS(M1823&gt;=50,"50-60 Days", M1823&gt;=40,"40-50 Days", M1823&gt;=30, "30-40 Days", M1823&gt;=20, "20-30 Days", M1823&gt;=10, "10-20 Days", M1823&gt;=0, "0-10 Days")</f>
        <v>20-30 Days</v>
      </c>
    </row>
    <row r="1824" spans="1:14">
      <c r="A1824">
        <v>1823</v>
      </c>
      <c r="B1824" t="s">
        <v>29</v>
      </c>
      <c r="C1824" s="5">
        <v>45289</v>
      </c>
      <c r="D1824" s="8">
        <v>45289</v>
      </c>
      <c r="E1824" s="8" t="str">
        <f>IF(B1824="Inactive", EDATE(D1824,K1824), "")</f>
        <v/>
      </c>
      <c r="F1824" t="s">
        <v>10</v>
      </c>
      <c r="G1824">
        <v>19.2</v>
      </c>
      <c r="H1824" t="str" cm="1">
        <f t="array" ref="H1824">_xlfn.IFS(G1824&gt;=20,"20-25", G1824&gt;=15,"15-20", G1824&gt;=10,"10-15", G1824&gt;=5,"5-10", G1824&gt;=1,"1-5", G1824&lt;1,"Less than 1")</f>
        <v>15-20</v>
      </c>
      <c r="I1824">
        <v>0</v>
      </c>
      <c r="J1824">
        <v>3</v>
      </c>
      <c r="K1824" s="6">
        <v>9</v>
      </c>
      <c r="L1824" s="2">
        <v>6.99</v>
      </c>
      <c r="M1824" s="6">
        <v>3</v>
      </c>
      <c r="N1824" t="str" cm="1">
        <f t="array" ref="N1824">_xlfn.IFS(M1824&gt;=50,"50-60 Days", M1824&gt;=40,"40-50 Days", M1824&gt;=30, "30-40 Days", M1824&gt;=20, "20-30 Days", M1824&gt;=10, "10-20 Days", M1824&gt;=0, "0-10 Days")</f>
        <v>0-10 Days</v>
      </c>
    </row>
    <row r="1825" spans="1:14">
      <c r="A1825">
        <v>1824</v>
      </c>
      <c r="B1825" t="s">
        <v>29</v>
      </c>
      <c r="C1825" s="5">
        <v>45140</v>
      </c>
      <c r="D1825" s="8">
        <v>45140</v>
      </c>
      <c r="E1825" s="8" t="str">
        <f>IF(B1825="Inactive", EDATE(D1825,K1825), "")</f>
        <v/>
      </c>
      <c r="F1825" t="s">
        <v>10</v>
      </c>
      <c r="G1825">
        <v>24.4</v>
      </c>
      <c r="H1825" t="str" cm="1">
        <f t="array" ref="H1825">_xlfn.IFS(G1825&gt;=20,"20-25", G1825&gt;=15,"15-20", G1825&gt;=10,"10-15", G1825&gt;=5,"5-10", G1825&gt;=1,"1-5", G1825&lt;1,"Less than 1")</f>
        <v>20-25</v>
      </c>
      <c r="I1825">
        <v>4</v>
      </c>
      <c r="J1825">
        <v>0</v>
      </c>
      <c r="K1825" s="6">
        <v>3</v>
      </c>
      <c r="L1825" s="2">
        <v>6.99</v>
      </c>
      <c r="M1825" s="6">
        <v>52</v>
      </c>
      <c r="N1825" t="str" cm="1">
        <f t="array" ref="N1825">_xlfn.IFS(M1825&gt;=50,"50-60 Days", M1825&gt;=40,"40-50 Days", M1825&gt;=30, "30-40 Days", M1825&gt;=20, "20-30 Days", M1825&gt;=10, "10-20 Days", M1825&gt;=0, "0-10 Days")</f>
        <v>50-60 Days</v>
      </c>
    </row>
    <row r="1826" spans="1:14">
      <c r="A1826">
        <v>1825</v>
      </c>
      <c r="B1826" t="s">
        <v>29</v>
      </c>
      <c r="C1826" s="5">
        <v>45318</v>
      </c>
      <c r="D1826" s="8">
        <v>45318</v>
      </c>
      <c r="E1826" s="8" t="str">
        <f>IF(B1826="Inactive", EDATE(D1826,K1826), "")</f>
        <v/>
      </c>
      <c r="F1826" t="s">
        <v>10</v>
      </c>
      <c r="G1826">
        <v>7.7</v>
      </c>
      <c r="H1826" t="str" cm="1">
        <f t="array" ref="H1826">_xlfn.IFS(G1826&gt;=20,"20-25", G1826&gt;=15,"15-20", G1826&gt;=10,"10-15", G1826&gt;=5,"5-10", G1826&gt;=1,"1-5", G1826&lt;1,"Less than 1")</f>
        <v>5-10</v>
      </c>
      <c r="I1826">
        <v>5</v>
      </c>
      <c r="J1826">
        <v>0</v>
      </c>
      <c r="K1826" s="6">
        <v>6</v>
      </c>
      <c r="L1826" s="2">
        <v>6.99</v>
      </c>
      <c r="M1826" s="6">
        <v>20</v>
      </c>
      <c r="N1826" t="str" cm="1">
        <f t="array" ref="N1826">_xlfn.IFS(M1826&gt;=50,"50-60 Days", M1826&gt;=40,"40-50 Days", M1826&gt;=30, "30-40 Days", M1826&gt;=20, "20-30 Days", M1826&gt;=10, "10-20 Days", M1826&gt;=0, "0-10 Days")</f>
        <v>20-30 Days</v>
      </c>
    </row>
    <row r="1827" spans="1:14">
      <c r="A1827">
        <v>1826</v>
      </c>
      <c r="B1827" t="s">
        <v>29</v>
      </c>
      <c r="C1827" s="5">
        <v>45207</v>
      </c>
      <c r="D1827" s="8">
        <v>45207</v>
      </c>
      <c r="E1827" s="8" t="str">
        <f>IF(B1827="Inactive", EDATE(D1827,K1827), "")</f>
        <v/>
      </c>
      <c r="F1827" t="s">
        <v>14</v>
      </c>
      <c r="G1827">
        <v>14.2</v>
      </c>
      <c r="H1827" t="str" cm="1">
        <f t="array" ref="H1827">_xlfn.IFS(G1827&gt;=20,"20-25", G1827&gt;=15,"15-20", G1827&gt;=10,"10-15", G1827&gt;=5,"5-10", G1827&gt;=1,"1-5", G1827&lt;1,"Less than 1")</f>
        <v>10-15</v>
      </c>
      <c r="I1827">
        <v>3</v>
      </c>
      <c r="J1827">
        <v>1</v>
      </c>
      <c r="K1827" s="6">
        <v>12</v>
      </c>
      <c r="L1827" s="2">
        <v>3.99</v>
      </c>
      <c r="M1827" s="6">
        <v>39</v>
      </c>
      <c r="N1827" t="str" cm="1">
        <f t="array" ref="N1827">_xlfn.IFS(M1827&gt;=50,"50-60 Days", M1827&gt;=40,"40-50 Days", M1827&gt;=30, "30-40 Days", M1827&gt;=20, "20-30 Days", M1827&gt;=10, "10-20 Days", M1827&gt;=0, "0-10 Days")</f>
        <v>30-40 Days</v>
      </c>
    </row>
    <row r="1828" spans="1:14">
      <c r="A1828">
        <v>1827</v>
      </c>
      <c r="B1828" t="s">
        <v>29</v>
      </c>
      <c r="C1828" s="5">
        <v>45534</v>
      </c>
      <c r="D1828" s="8">
        <v>45534</v>
      </c>
      <c r="E1828" s="8" t="str">
        <f>IF(B1828="Inactive", EDATE(D1828,K1828), "")</f>
        <v/>
      </c>
      <c r="F1828" t="s">
        <v>12</v>
      </c>
      <c r="G1828">
        <v>6.5</v>
      </c>
      <c r="H1828" t="str" cm="1">
        <f t="array" ref="H1828">_xlfn.IFS(G1828&gt;=20,"20-25", G1828&gt;=15,"15-20", G1828&gt;=10,"10-15", G1828&gt;=5,"5-10", G1828&gt;=1,"1-5", G1828&lt;1,"Less than 1")</f>
        <v>5-10</v>
      </c>
      <c r="I1828">
        <v>5</v>
      </c>
      <c r="J1828">
        <v>5</v>
      </c>
      <c r="K1828" s="6">
        <v>2</v>
      </c>
      <c r="L1828" s="2">
        <v>1.99</v>
      </c>
      <c r="M1828" s="6">
        <v>30</v>
      </c>
      <c r="N1828" t="str" cm="1">
        <f t="array" ref="N1828">_xlfn.IFS(M1828&gt;=50,"50-60 Days", M1828&gt;=40,"40-50 Days", M1828&gt;=30, "30-40 Days", M1828&gt;=20, "20-30 Days", M1828&gt;=10, "10-20 Days", M1828&gt;=0, "0-10 Days")</f>
        <v>30-40 Days</v>
      </c>
    </row>
    <row r="1829" spans="1:14">
      <c r="A1829">
        <v>1828</v>
      </c>
      <c r="B1829" t="s">
        <v>28</v>
      </c>
      <c r="C1829" s="5">
        <v>45182</v>
      </c>
      <c r="D1829" s="8">
        <v>45182</v>
      </c>
      <c r="E1829" s="8">
        <f>IF(B1829="Inactive", EDATE(D1829,K1829), "")</f>
        <v>45212</v>
      </c>
      <c r="F1829" t="s">
        <v>14</v>
      </c>
      <c r="G1829">
        <v>19.600000000000001</v>
      </c>
      <c r="H1829" t="str" cm="1">
        <f t="array" ref="H1829">_xlfn.IFS(G1829&gt;=20,"20-25", G1829&gt;=15,"15-20", G1829&gt;=10,"10-15", G1829&gt;=5,"5-10", G1829&gt;=1,"1-5", G1829&lt;1,"Less than 1")</f>
        <v>15-20</v>
      </c>
      <c r="I1829">
        <v>6</v>
      </c>
      <c r="J1829">
        <v>5</v>
      </c>
      <c r="K1829" s="6">
        <v>1</v>
      </c>
      <c r="L1829" s="2">
        <v>3.99</v>
      </c>
      <c r="M1829" s="6">
        <v>58</v>
      </c>
      <c r="N1829" t="str" cm="1">
        <f t="array" ref="N1829">_xlfn.IFS(M1829&gt;=50,"50-60 Days", M1829&gt;=40,"40-50 Days", M1829&gt;=30, "30-40 Days", M1829&gt;=20, "20-30 Days", M1829&gt;=10, "10-20 Days", M1829&gt;=0, "0-10 Days")</f>
        <v>50-60 Days</v>
      </c>
    </row>
    <row r="1830" spans="1:14">
      <c r="A1830">
        <v>1829</v>
      </c>
      <c r="B1830" t="s">
        <v>28</v>
      </c>
      <c r="C1830" s="5">
        <v>45305</v>
      </c>
      <c r="D1830" s="8">
        <v>45305</v>
      </c>
      <c r="E1830" s="8">
        <f>IF(B1830="Inactive", EDATE(D1830,K1830), "")</f>
        <v>45579</v>
      </c>
      <c r="F1830" t="s">
        <v>14</v>
      </c>
      <c r="G1830">
        <v>2</v>
      </c>
      <c r="H1830" t="str" cm="1">
        <f t="array" ref="H1830">_xlfn.IFS(G1830&gt;=20,"20-25", G1830&gt;=15,"15-20", G1830&gt;=10,"10-15", G1830&gt;=5,"5-10", G1830&gt;=1,"1-5", G1830&lt;1,"Less than 1")</f>
        <v>1-5</v>
      </c>
      <c r="I1830">
        <v>0</v>
      </c>
      <c r="J1830">
        <v>5</v>
      </c>
      <c r="K1830" s="6">
        <v>9</v>
      </c>
      <c r="L1830" s="2">
        <v>3.99</v>
      </c>
      <c r="M1830" s="6">
        <v>21</v>
      </c>
      <c r="N1830" t="str" cm="1">
        <f t="array" ref="N1830">_xlfn.IFS(M1830&gt;=50,"50-60 Days", M1830&gt;=40,"40-50 Days", M1830&gt;=30, "30-40 Days", M1830&gt;=20, "20-30 Days", M1830&gt;=10, "10-20 Days", M1830&gt;=0, "0-10 Days")</f>
        <v>20-30 Days</v>
      </c>
    </row>
    <row r="1831" spans="1:14">
      <c r="A1831">
        <v>1830</v>
      </c>
      <c r="B1831" t="s">
        <v>28</v>
      </c>
      <c r="C1831" s="5">
        <v>45350</v>
      </c>
      <c r="D1831" s="8">
        <v>45350</v>
      </c>
      <c r="E1831" s="8">
        <f>IF(B1831="Inactive", EDATE(D1831,K1831), "")</f>
        <v>45563</v>
      </c>
      <c r="F1831" t="s">
        <v>14</v>
      </c>
      <c r="G1831">
        <v>3.2</v>
      </c>
      <c r="H1831" t="str" cm="1">
        <f t="array" ref="H1831">_xlfn.IFS(G1831&gt;=20,"20-25", G1831&gt;=15,"15-20", G1831&gt;=10,"10-15", G1831&gt;=5,"5-10", G1831&gt;=1,"1-5", G1831&lt;1,"Less than 1")</f>
        <v>1-5</v>
      </c>
      <c r="I1831">
        <v>2</v>
      </c>
      <c r="J1831">
        <v>5</v>
      </c>
      <c r="K1831" s="6">
        <v>7</v>
      </c>
      <c r="L1831" s="2">
        <v>3.99</v>
      </c>
      <c r="M1831" s="6">
        <v>4</v>
      </c>
      <c r="N1831" t="str" cm="1">
        <f t="array" ref="N1831">_xlfn.IFS(M1831&gt;=50,"50-60 Days", M1831&gt;=40,"40-50 Days", M1831&gt;=30, "30-40 Days", M1831&gt;=20, "20-30 Days", M1831&gt;=10, "10-20 Days", M1831&gt;=0, "0-10 Days")</f>
        <v>0-10 Days</v>
      </c>
    </row>
    <row r="1832" spans="1:14">
      <c r="A1832">
        <v>1831</v>
      </c>
      <c r="B1832" t="s">
        <v>29</v>
      </c>
      <c r="C1832" s="5">
        <v>45262</v>
      </c>
      <c r="D1832" s="8">
        <v>45262</v>
      </c>
      <c r="E1832" s="8" t="str">
        <f>IF(B1832="Inactive", EDATE(D1832,K1832), "")</f>
        <v/>
      </c>
      <c r="F1832" t="s">
        <v>12</v>
      </c>
      <c r="G1832">
        <v>15</v>
      </c>
      <c r="H1832" t="str" cm="1">
        <f t="array" ref="H1832">_xlfn.IFS(G1832&gt;=20,"20-25", G1832&gt;=15,"15-20", G1832&gt;=10,"10-15", G1832&gt;=5,"5-10", G1832&gt;=1,"1-5", G1832&lt;1,"Less than 1")</f>
        <v>15-20</v>
      </c>
      <c r="I1832">
        <v>3</v>
      </c>
      <c r="J1832">
        <v>4</v>
      </c>
      <c r="K1832" s="6">
        <v>4</v>
      </c>
      <c r="L1832" s="2">
        <v>1.99</v>
      </c>
      <c r="M1832" s="6">
        <v>5</v>
      </c>
      <c r="N1832" t="str" cm="1">
        <f t="array" ref="N1832">_xlfn.IFS(M1832&gt;=50,"50-60 Days", M1832&gt;=40,"40-50 Days", M1832&gt;=30, "30-40 Days", M1832&gt;=20, "20-30 Days", M1832&gt;=10, "10-20 Days", M1832&gt;=0, "0-10 Days")</f>
        <v>0-10 Days</v>
      </c>
    </row>
    <row r="1833" spans="1:14">
      <c r="A1833">
        <v>1832</v>
      </c>
      <c r="B1833" t="s">
        <v>29</v>
      </c>
      <c r="C1833" s="5">
        <v>45633</v>
      </c>
      <c r="D1833" s="8">
        <v>45633</v>
      </c>
      <c r="E1833" s="8" t="str">
        <f>IF(B1833="Inactive", EDATE(D1833,K1833), "")</f>
        <v/>
      </c>
      <c r="F1833" t="s">
        <v>10</v>
      </c>
      <c r="G1833">
        <v>19.2</v>
      </c>
      <c r="H1833" t="str" cm="1">
        <f t="array" ref="H1833">_xlfn.IFS(G1833&gt;=20,"20-25", G1833&gt;=15,"15-20", G1833&gt;=10,"10-15", G1833&gt;=5,"5-10", G1833&gt;=1,"1-5", G1833&lt;1,"Less than 1")</f>
        <v>15-20</v>
      </c>
      <c r="I1833">
        <v>4</v>
      </c>
      <c r="J1833">
        <v>4</v>
      </c>
      <c r="K1833" s="6">
        <v>12</v>
      </c>
      <c r="L1833" s="2">
        <v>6.99</v>
      </c>
      <c r="M1833" s="6">
        <v>33</v>
      </c>
      <c r="N1833" t="str" cm="1">
        <f t="array" ref="N1833">_xlfn.IFS(M1833&gt;=50,"50-60 Days", M1833&gt;=40,"40-50 Days", M1833&gt;=30, "30-40 Days", M1833&gt;=20, "20-30 Days", M1833&gt;=10, "10-20 Days", M1833&gt;=0, "0-10 Days")</f>
        <v>30-40 Days</v>
      </c>
    </row>
    <row r="1834" spans="1:14">
      <c r="A1834">
        <v>1833</v>
      </c>
      <c r="B1834" t="s">
        <v>29</v>
      </c>
      <c r="C1834" s="5">
        <v>45296</v>
      </c>
      <c r="D1834" s="8">
        <v>45296</v>
      </c>
      <c r="E1834" s="8" t="str">
        <f>IF(B1834="Inactive", EDATE(D1834,K1834), "")</f>
        <v/>
      </c>
      <c r="F1834" t="s">
        <v>12</v>
      </c>
      <c r="G1834">
        <v>19.399999999999999</v>
      </c>
      <c r="H1834" t="str" cm="1">
        <f t="array" ref="H1834">_xlfn.IFS(G1834&gt;=20,"20-25", G1834&gt;=15,"15-20", G1834&gt;=10,"10-15", G1834&gt;=5,"5-10", G1834&gt;=1,"1-5", G1834&lt;1,"Less than 1")</f>
        <v>15-20</v>
      </c>
      <c r="I1834">
        <v>1</v>
      </c>
      <c r="J1834">
        <v>5</v>
      </c>
      <c r="K1834" s="6">
        <v>3</v>
      </c>
      <c r="L1834" s="2">
        <v>1.99</v>
      </c>
      <c r="M1834" s="6">
        <v>45</v>
      </c>
      <c r="N1834" t="str" cm="1">
        <f t="array" ref="N1834">_xlfn.IFS(M1834&gt;=50,"50-60 Days", M1834&gt;=40,"40-50 Days", M1834&gt;=30, "30-40 Days", M1834&gt;=20, "20-30 Days", M1834&gt;=10, "10-20 Days", M1834&gt;=0, "0-10 Days")</f>
        <v>40-50 Days</v>
      </c>
    </row>
    <row r="1835" spans="1:14">
      <c r="A1835">
        <v>1834</v>
      </c>
      <c r="B1835" t="s">
        <v>28</v>
      </c>
      <c r="C1835" s="5">
        <v>45130</v>
      </c>
      <c r="D1835" s="8">
        <v>45130</v>
      </c>
      <c r="E1835" s="8">
        <f>IF(B1835="Inactive", EDATE(D1835,K1835), "")</f>
        <v>45283</v>
      </c>
      <c r="F1835" t="s">
        <v>14</v>
      </c>
      <c r="G1835">
        <v>5</v>
      </c>
      <c r="H1835" t="str" cm="1">
        <f t="array" ref="H1835">_xlfn.IFS(G1835&gt;=20,"20-25", G1835&gt;=15,"15-20", G1835&gt;=10,"10-15", G1835&gt;=5,"5-10", G1835&gt;=1,"1-5", G1835&lt;1,"Less than 1")</f>
        <v>5-10</v>
      </c>
      <c r="I1835">
        <v>7</v>
      </c>
      <c r="J1835">
        <v>1</v>
      </c>
      <c r="K1835" s="6">
        <v>5</v>
      </c>
      <c r="L1835" s="2">
        <v>3.99</v>
      </c>
      <c r="M1835" s="6">
        <v>29</v>
      </c>
      <c r="N1835" t="str" cm="1">
        <f t="array" ref="N1835">_xlfn.IFS(M1835&gt;=50,"50-60 Days", M1835&gt;=40,"40-50 Days", M1835&gt;=30, "30-40 Days", M1835&gt;=20, "20-30 Days", M1835&gt;=10, "10-20 Days", M1835&gt;=0, "0-10 Days")</f>
        <v>20-30 Days</v>
      </c>
    </row>
    <row r="1836" spans="1:14">
      <c r="A1836">
        <v>1835</v>
      </c>
      <c r="B1836" t="s">
        <v>29</v>
      </c>
      <c r="C1836" s="5">
        <v>45364</v>
      </c>
      <c r="D1836" s="8">
        <v>45364</v>
      </c>
      <c r="E1836" s="8" t="str">
        <f>IF(B1836="Inactive", EDATE(D1836,K1836), "")</f>
        <v/>
      </c>
      <c r="F1836" t="s">
        <v>10</v>
      </c>
      <c r="G1836">
        <v>6.8</v>
      </c>
      <c r="H1836" t="str" cm="1">
        <f t="array" ref="H1836">_xlfn.IFS(G1836&gt;=20,"20-25", G1836&gt;=15,"15-20", G1836&gt;=10,"10-15", G1836&gt;=5,"5-10", G1836&gt;=1,"1-5", G1836&lt;1,"Less than 1")</f>
        <v>5-10</v>
      </c>
      <c r="I1836">
        <v>0</v>
      </c>
      <c r="J1836">
        <v>1</v>
      </c>
      <c r="K1836" s="6">
        <v>6</v>
      </c>
      <c r="L1836" s="2">
        <v>6.99</v>
      </c>
      <c r="M1836" s="6">
        <v>7</v>
      </c>
      <c r="N1836" t="str" cm="1">
        <f t="array" ref="N1836">_xlfn.IFS(M1836&gt;=50,"50-60 Days", M1836&gt;=40,"40-50 Days", M1836&gt;=30, "30-40 Days", M1836&gt;=20, "20-30 Days", M1836&gt;=10, "10-20 Days", M1836&gt;=0, "0-10 Days")</f>
        <v>0-10 Days</v>
      </c>
    </row>
    <row r="1837" spans="1:14">
      <c r="A1837">
        <v>1836</v>
      </c>
      <c r="B1837" t="s">
        <v>29</v>
      </c>
      <c r="C1837" s="5">
        <v>45309</v>
      </c>
      <c r="D1837" s="8">
        <v>45309</v>
      </c>
      <c r="E1837" s="8" t="str">
        <f>IF(B1837="Inactive", EDATE(D1837,K1837), "")</f>
        <v/>
      </c>
      <c r="F1837" t="s">
        <v>14</v>
      </c>
      <c r="G1837">
        <v>20.100000000000001</v>
      </c>
      <c r="H1837" t="str" cm="1">
        <f t="array" ref="H1837">_xlfn.IFS(G1837&gt;=20,"20-25", G1837&gt;=15,"15-20", G1837&gt;=10,"10-15", G1837&gt;=5,"5-10", G1837&gt;=1,"1-5", G1837&lt;1,"Less than 1")</f>
        <v>20-25</v>
      </c>
      <c r="I1837">
        <v>8</v>
      </c>
      <c r="J1837">
        <v>0</v>
      </c>
      <c r="K1837" s="6">
        <v>11</v>
      </c>
      <c r="L1837" s="2">
        <v>3.99</v>
      </c>
      <c r="M1837" s="6">
        <v>58</v>
      </c>
      <c r="N1837" t="str" cm="1">
        <f t="array" ref="N1837">_xlfn.IFS(M1837&gt;=50,"50-60 Days", M1837&gt;=40,"40-50 Days", M1837&gt;=30, "30-40 Days", M1837&gt;=20, "20-30 Days", M1837&gt;=10, "10-20 Days", M1837&gt;=0, "0-10 Days")</f>
        <v>50-60 Days</v>
      </c>
    </row>
    <row r="1838" spans="1:14">
      <c r="A1838">
        <v>1837</v>
      </c>
      <c r="B1838" t="s">
        <v>28</v>
      </c>
      <c r="C1838" s="5">
        <v>45216</v>
      </c>
      <c r="D1838" s="8">
        <v>45216</v>
      </c>
      <c r="E1838" s="8">
        <f>IF(B1838="Inactive", EDATE(D1838,K1838), "")</f>
        <v>45521</v>
      </c>
      <c r="F1838" t="s">
        <v>12</v>
      </c>
      <c r="G1838">
        <v>24.9</v>
      </c>
      <c r="H1838" t="str" cm="1">
        <f t="array" ref="H1838">_xlfn.IFS(G1838&gt;=20,"20-25", G1838&gt;=15,"15-20", G1838&gt;=10,"10-15", G1838&gt;=5,"5-10", G1838&gt;=1,"1-5", G1838&lt;1,"Less than 1")</f>
        <v>20-25</v>
      </c>
      <c r="I1838">
        <v>8</v>
      </c>
      <c r="J1838">
        <v>2</v>
      </c>
      <c r="K1838" s="6">
        <v>10</v>
      </c>
      <c r="L1838" s="2">
        <v>1.99</v>
      </c>
      <c r="M1838" s="6">
        <v>50</v>
      </c>
      <c r="N1838" t="str" cm="1">
        <f t="array" ref="N1838">_xlfn.IFS(M1838&gt;=50,"50-60 Days", M1838&gt;=40,"40-50 Days", M1838&gt;=30, "30-40 Days", M1838&gt;=20, "20-30 Days", M1838&gt;=10, "10-20 Days", M1838&gt;=0, "0-10 Days")</f>
        <v>50-60 Days</v>
      </c>
    </row>
    <row r="1839" spans="1:14">
      <c r="A1839">
        <v>1838</v>
      </c>
      <c r="B1839" t="s">
        <v>29</v>
      </c>
      <c r="C1839" s="5">
        <v>45042</v>
      </c>
      <c r="D1839" s="8">
        <v>45042</v>
      </c>
      <c r="E1839" s="8" t="str">
        <f>IF(B1839="Inactive", EDATE(D1839,K1839), "")</f>
        <v/>
      </c>
      <c r="F1839" t="s">
        <v>10</v>
      </c>
      <c r="G1839">
        <v>16</v>
      </c>
      <c r="H1839" t="str" cm="1">
        <f t="array" ref="H1839">_xlfn.IFS(G1839&gt;=20,"20-25", G1839&gt;=15,"15-20", G1839&gt;=10,"10-15", G1839&gt;=5,"5-10", G1839&gt;=1,"1-5", G1839&lt;1,"Less than 1")</f>
        <v>15-20</v>
      </c>
      <c r="I1839">
        <v>1</v>
      </c>
      <c r="J1839">
        <v>4</v>
      </c>
      <c r="K1839" s="6">
        <v>8</v>
      </c>
      <c r="L1839" s="2">
        <v>6.99</v>
      </c>
      <c r="M1839" s="6">
        <v>5</v>
      </c>
      <c r="N1839" t="str" cm="1">
        <f t="array" ref="N1839">_xlfn.IFS(M1839&gt;=50,"50-60 Days", M1839&gt;=40,"40-50 Days", M1839&gt;=30, "30-40 Days", M1839&gt;=20, "20-30 Days", M1839&gt;=10, "10-20 Days", M1839&gt;=0, "0-10 Days")</f>
        <v>0-10 Days</v>
      </c>
    </row>
    <row r="1840" spans="1:14">
      <c r="A1840">
        <v>1839</v>
      </c>
      <c r="B1840" t="s">
        <v>28</v>
      </c>
      <c r="C1840" s="5">
        <v>45592</v>
      </c>
      <c r="D1840" s="8">
        <v>45592</v>
      </c>
      <c r="E1840" s="8">
        <f>IF(B1840="Inactive", EDATE(D1840,K1840), "")</f>
        <v>45715</v>
      </c>
      <c r="F1840" t="s">
        <v>10</v>
      </c>
      <c r="G1840">
        <v>20.100000000000001</v>
      </c>
      <c r="H1840" t="str" cm="1">
        <f t="array" ref="H1840">_xlfn.IFS(G1840&gt;=20,"20-25", G1840&gt;=15,"15-20", G1840&gt;=10,"10-15", G1840&gt;=5,"5-10", G1840&gt;=1,"1-5", G1840&lt;1,"Less than 1")</f>
        <v>20-25</v>
      </c>
      <c r="I1840">
        <v>1</v>
      </c>
      <c r="J1840">
        <v>4</v>
      </c>
      <c r="K1840" s="6">
        <v>4</v>
      </c>
      <c r="L1840" s="2">
        <v>6.99</v>
      </c>
      <c r="M1840" s="6">
        <v>59</v>
      </c>
      <c r="N1840" t="str" cm="1">
        <f t="array" ref="N1840">_xlfn.IFS(M1840&gt;=50,"50-60 Days", M1840&gt;=40,"40-50 Days", M1840&gt;=30, "30-40 Days", M1840&gt;=20, "20-30 Days", M1840&gt;=10, "10-20 Days", M1840&gt;=0, "0-10 Days")</f>
        <v>50-60 Days</v>
      </c>
    </row>
    <row r="1841" spans="1:14">
      <c r="A1841">
        <v>1840</v>
      </c>
      <c r="B1841" t="s">
        <v>28</v>
      </c>
      <c r="C1841" s="5">
        <v>45082</v>
      </c>
      <c r="D1841" s="8">
        <v>45082</v>
      </c>
      <c r="E1841" s="8">
        <f>IF(B1841="Inactive", EDATE(D1841,K1841), "")</f>
        <v>45143</v>
      </c>
      <c r="F1841" t="s">
        <v>12</v>
      </c>
      <c r="G1841">
        <v>19.3</v>
      </c>
      <c r="H1841" t="str" cm="1">
        <f t="array" ref="H1841">_xlfn.IFS(G1841&gt;=20,"20-25", G1841&gt;=15,"15-20", G1841&gt;=10,"10-15", G1841&gt;=5,"5-10", G1841&gt;=1,"1-5", G1841&lt;1,"Less than 1")</f>
        <v>15-20</v>
      </c>
      <c r="I1841">
        <v>6</v>
      </c>
      <c r="J1841">
        <v>2</v>
      </c>
      <c r="K1841" s="6">
        <v>2</v>
      </c>
      <c r="L1841" s="2">
        <v>1.99</v>
      </c>
      <c r="M1841" s="6">
        <v>29</v>
      </c>
      <c r="N1841" t="str" cm="1">
        <f t="array" ref="N1841">_xlfn.IFS(M1841&gt;=50,"50-60 Days", M1841&gt;=40,"40-50 Days", M1841&gt;=30, "30-40 Days", M1841&gt;=20, "20-30 Days", M1841&gt;=10, "10-20 Days", M1841&gt;=0, "0-10 Days")</f>
        <v>20-30 Days</v>
      </c>
    </row>
    <row r="1842" spans="1:14">
      <c r="A1842">
        <v>1841</v>
      </c>
      <c r="B1842" t="s">
        <v>28</v>
      </c>
      <c r="C1842" s="5">
        <v>45369</v>
      </c>
      <c r="D1842" s="8">
        <v>45369</v>
      </c>
      <c r="E1842" s="8">
        <f>IF(B1842="Inactive", EDATE(D1842,K1842), "")</f>
        <v>45614</v>
      </c>
      <c r="F1842" t="s">
        <v>10</v>
      </c>
      <c r="G1842">
        <v>2.2999999999999998</v>
      </c>
      <c r="H1842" t="str" cm="1">
        <f t="array" ref="H1842">_xlfn.IFS(G1842&gt;=20,"20-25", G1842&gt;=15,"15-20", G1842&gt;=10,"10-15", G1842&gt;=5,"5-10", G1842&gt;=1,"1-5", G1842&lt;1,"Less than 1")</f>
        <v>1-5</v>
      </c>
      <c r="I1842">
        <v>5</v>
      </c>
      <c r="J1842">
        <v>3</v>
      </c>
      <c r="K1842" s="6">
        <v>8</v>
      </c>
      <c r="L1842" s="2">
        <v>6.99</v>
      </c>
      <c r="M1842" s="6">
        <v>33</v>
      </c>
      <c r="N1842" t="str" cm="1">
        <f t="array" ref="N1842">_xlfn.IFS(M1842&gt;=50,"50-60 Days", M1842&gt;=40,"40-50 Days", M1842&gt;=30, "30-40 Days", M1842&gt;=20, "20-30 Days", M1842&gt;=10, "10-20 Days", M1842&gt;=0, "0-10 Days")</f>
        <v>30-40 Days</v>
      </c>
    </row>
    <row r="1843" spans="1:14">
      <c r="A1843">
        <v>1842</v>
      </c>
      <c r="B1843" t="s">
        <v>28</v>
      </c>
      <c r="C1843" s="5">
        <v>44935</v>
      </c>
      <c r="D1843" s="8">
        <v>44935</v>
      </c>
      <c r="E1843" s="8">
        <f>IF(B1843="Inactive", EDATE(D1843,K1843), "")</f>
        <v>45208</v>
      </c>
      <c r="F1843" t="s">
        <v>12</v>
      </c>
      <c r="G1843">
        <v>14.6</v>
      </c>
      <c r="H1843" t="str" cm="1">
        <f t="array" ref="H1843">_xlfn.IFS(G1843&gt;=20,"20-25", G1843&gt;=15,"15-20", G1843&gt;=10,"10-15", G1843&gt;=5,"5-10", G1843&gt;=1,"1-5", G1843&lt;1,"Less than 1")</f>
        <v>10-15</v>
      </c>
      <c r="I1843">
        <v>0</v>
      </c>
      <c r="J1843">
        <v>4</v>
      </c>
      <c r="K1843" s="6">
        <v>9</v>
      </c>
      <c r="L1843" s="2">
        <v>1.99</v>
      </c>
      <c r="M1843" s="6">
        <v>53</v>
      </c>
      <c r="N1843" t="str" cm="1">
        <f t="array" ref="N1843">_xlfn.IFS(M1843&gt;=50,"50-60 Days", M1843&gt;=40,"40-50 Days", M1843&gt;=30, "30-40 Days", M1843&gt;=20, "20-30 Days", M1843&gt;=10, "10-20 Days", M1843&gt;=0, "0-10 Days")</f>
        <v>50-60 Days</v>
      </c>
    </row>
    <row r="1844" spans="1:14">
      <c r="A1844">
        <v>1843</v>
      </c>
      <c r="B1844" t="s">
        <v>29</v>
      </c>
      <c r="C1844" s="5">
        <v>45261</v>
      </c>
      <c r="D1844" s="8">
        <v>45261</v>
      </c>
      <c r="E1844" s="8" t="str">
        <f>IF(B1844="Inactive", EDATE(D1844,K1844), "")</f>
        <v/>
      </c>
      <c r="F1844" t="s">
        <v>12</v>
      </c>
      <c r="G1844">
        <v>11</v>
      </c>
      <c r="H1844" t="str" cm="1">
        <f t="array" ref="H1844">_xlfn.IFS(G1844&gt;=20,"20-25", G1844&gt;=15,"15-20", G1844&gt;=10,"10-15", G1844&gt;=5,"5-10", G1844&gt;=1,"1-5", G1844&lt;1,"Less than 1")</f>
        <v>10-15</v>
      </c>
      <c r="I1844">
        <v>4</v>
      </c>
      <c r="J1844">
        <v>1</v>
      </c>
      <c r="K1844" s="6">
        <v>7</v>
      </c>
      <c r="L1844" s="2">
        <v>1.99</v>
      </c>
      <c r="M1844" s="6">
        <v>37</v>
      </c>
      <c r="N1844" t="str" cm="1">
        <f t="array" ref="N1844">_xlfn.IFS(M1844&gt;=50,"50-60 Days", M1844&gt;=40,"40-50 Days", M1844&gt;=30, "30-40 Days", M1844&gt;=20, "20-30 Days", M1844&gt;=10, "10-20 Days", M1844&gt;=0, "0-10 Days")</f>
        <v>30-40 Days</v>
      </c>
    </row>
    <row r="1845" spans="1:14">
      <c r="A1845">
        <v>1844</v>
      </c>
      <c r="B1845" t="s">
        <v>28</v>
      </c>
      <c r="C1845" s="5">
        <v>45517</v>
      </c>
      <c r="D1845" s="8">
        <v>45517</v>
      </c>
      <c r="E1845" s="8">
        <f>IF(B1845="Inactive", EDATE(D1845,K1845), "")</f>
        <v>45821</v>
      </c>
      <c r="F1845" t="s">
        <v>10</v>
      </c>
      <c r="G1845">
        <v>16.5</v>
      </c>
      <c r="H1845" t="str" cm="1">
        <f t="array" ref="H1845">_xlfn.IFS(G1845&gt;=20,"20-25", G1845&gt;=15,"15-20", G1845&gt;=10,"10-15", G1845&gt;=5,"5-10", G1845&gt;=1,"1-5", G1845&lt;1,"Less than 1")</f>
        <v>15-20</v>
      </c>
      <c r="I1845">
        <v>3</v>
      </c>
      <c r="J1845">
        <v>4</v>
      </c>
      <c r="K1845" s="6">
        <v>10</v>
      </c>
      <c r="L1845" s="2">
        <v>6.99</v>
      </c>
      <c r="M1845" s="6">
        <v>59</v>
      </c>
      <c r="N1845" t="str" cm="1">
        <f t="array" ref="N1845">_xlfn.IFS(M1845&gt;=50,"50-60 Days", M1845&gt;=40,"40-50 Days", M1845&gt;=30, "30-40 Days", M1845&gt;=20, "20-30 Days", M1845&gt;=10, "10-20 Days", M1845&gt;=0, "0-10 Days")</f>
        <v>50-60 Days</v>
      </c>
    </row>
    <row r="1846" spans="1:14">
      <c r="A1846">
        <v>1845</v>
      </c>
      <c r="B1846" t="s">
        <v>28</v>
      </c>
      <c r="C1846" s="5">
        <v>45473</v>
      </c>
      <c r="D1846" s="8">
        <v>45473</v>
      </c>
      <c r="E1846" s="8">
        <f>IF(B1846="Inactive", EDATE(D1846,K1846), "")</f>
        <v>45626</v>
      </c>
      <c r="F1846" t="s">
        <v>12</v>
      </c>
      <c r="G1846">
        <v>19.399999999999999</v>
      </c>
      <c r="H1846" t="str" cm="1">
        <f t="array" ref="H1846">_xlfn.IFS(G1846&gt;=20,"20-25", G1846&gt;=15,"15-20", G1846&gt;=10,"10-15", G1846&gt;=5,"5-10", G1846&gt;=1,"1-5", G1846&lt;1,"Less than 1")</f>
        <v>15-20</v>
      </c>
      <c r="I1846">
        <v>3</v>
      </c>
      <c r="J1846">
        <v>2</v>
      </c>
      <c r="K1846" s="6">
        <v>5</v>
      </c>
      <c r="L1846" s="2">
        <v>1.99</v>
      </c>
      <c r="M1846" s="6">
        <v>11</v>
      </c>
      <c r="N1846" t="str" cm="1">
        <f t="array" ref="N1846">_xlfn.IFS(M1846&gt;=50,"50-60 Days", M1846&gt;=40,"40-50 Days", M1846&gt;=30, "30-40 Days", M1846&gt;=20, "20-30 Days", M1846&gt;=10, "10-20 Days", M1846&gt;=0, "0-10 Days")</f>
        <v>10-20 Days</v>
      </c>
    </row>
    <row r="1847" spans="1:14">
      <c r="A1847">
        <v>1846</v>
      </c>
      <c r="B1847" t="s">
        <v>28</v>
      </c>
      <c r="C1847" s="5">
        <v>45249</v>
      </c>
      <c r="D1847" s="8">
        <v>45249</v>
      </c>
      <c r="E1847" s="8">
        <f>IF(B1847="Inactive", EDATE(D1847,K1847), "")</f>
        <v>45279</v>
      </c>
      <c r="F1847" t="s">
        <v>10</v>
      </c>
      <c r="G1847">
        <v>19.600000000000001</v>
      </c>
      <c r="H1847" t="str" cm="1">
        <f t="array" ref="H1847">_xlfn.IFS(G1847&gt;=20,"20-25", G1847&gt;=15,"15-20", G1847&gt;=10,"10-15", G1847&gt;=5,"5-10", G1847&gt;=1,"1-5", G1847&lt;1,"Less than 1")</f>
        <v>15-20</v>
      </c>
      <c r="I1847">
        <v>8</v>
      </c>
      <c r="J1847">
        <v>2</v>
      </c>
      <c r="K1847" s="6">
        <v>1</v>
      </c>
      <c r="L1847" s="2">
        <v>6.99</v>
      </c>
      <c r="M1847" s="6">
        <v>4</v>
      </c>
      <c r="N1847" t="str" cm="1">
        <f t="array" ref="N1847">_xlfn.IFS(M1847&gt;=50,"50-60 Days", M1847&gt;=40,"40-50 Days", M1847&gt;=30, "30-40 Days", M1847&gt;=20, "20-30 Days", M1847&gt;=10, "10-20 Days", M1847&gt;=0, "0-10 Days")</f>
        <v>0-10 Days</v>
      </c>
    </row>
    <row r="1848" spans="1:14">
      <c r="A1848">
        <v>1847</v>
      </c>
      <c r="B1848" t="s">
        <v>28</v>
      </c>
      <c r="C1848" s="5">
        <v>45149</v>
      </c>
      <c r="D1848" s="8">
        <v>45149</v>
      </c>
      <c r="E1848" s="8">
        <f>IF(B1848="Inactive", EDATE(D1848,K1848), "")</f>
        <v>45302</v>
      </c>
      <c r="F1848" t="s">
        <v>12</v>
      </c>
      <c r="G1848">
        <v>5.4</v>
      </c>
      <c r="H1848" t="str" cm="1">
        <f t="array" ref="H1848">_xlfn.IFS(G1848&gt;=20,"20-25", G1848&gt;=15,"15-20", G1848&gt;=10,"10-15", G1848&gt;=5,"5-10", G1848&gt;=1,"1-5", G1848&lt;1,"Less than 1")</f>
        <v>5-10</v>
      </c>
      <c r="I1848">
        <v>2</v>
      </c>
      <c r="J1848">
        <v>3</v>
      </c>
      <c r="K1848" s="6">
        <v>5</v>
      </c>
      <c r="L1848" s="2">
        <v>1.99</v>
      </c>
      <c r="M1848" s="6">
        <v>17</v>
      </c>
      <c r="N1848" t="str" cm="1">
        <f t="array" ref="N1848">_xlfn.IFS(M1848&gt;=50,"50-60 Days", M1848&gt;=40,"40-50 Days", M1848&gt;=30, "30-40 Days", M1848&gt;=20, "20-30 Days", M1848&gt;=10, "10-20 Days", M1848&gt;=0, "0-10 Days")</f>
        <v>10-20 Days</v>
      </c>
    </row>
    <row r="1849" spans="1:14">
      <c r="A1849">
        <v>1848</v>
      </c>
      <c r="B1849" t="s">
        <v>29</v>
      </c>
      <c r="C1849" s="5">
        <v>44953</v>
      </c>
      <c r="D1849" s="8">
        <v>44953</v>
      </c>
      <c r="E1849" s="8" t="str">
        <f>IF(B1849="Inactive", EDATE(D1849,K1849), "")</f>
        <v/>
      </c>
      <c r="F1849" t="s">
        <v>14</v>
      </c>
      <c r="G1849">
        <v>3.9</v>
      </c>
      <c r="H1849" t="str" cm="1">
        <f t="array" ref="H1849">_xlfn.IFS(G1849&gt;=20,"20-25", G1849&gt;=15,"15-20", G1849&gt;=10,"10-15", G1849&gt;=5,"5-10", G1849&gt;=1,"1-5", G1849&lt;1,"Less than 1")</f>
        <v>1-5</v>
      </c>
      <c r="I1849">
        <v>7</v>
      </c>
      <c r="J1849">
        <v>0</v>
      </c>
      <c r="K1849" s="6">
        <v>1</v>
      </c>
      <c r="L1849" s="2">
        <v>3.99</v>
      </c>
      <c r="M1849" s="6">
        <v>53</v>
      </c>
      <c r="N1849" t="str" cm="1">
        <f t="array" ref="N1849">_xlfn.IFS(M1849&gt;=50,"50-60 Days", M1849&gt;=40,"40-50 Days", M1849&gt;=30, "30-40 Days", M1849&gt;=20, "20-30 Days", M1849&gt;=10, "10-20 Days", M1849&gt;=0, "0-10 Days")</f>
        <v>50-60 Days</v>
      </c>
    </row>
    <row r="1850" spans="1:14">
      <c r="A1850">
        <v>1849</v>
      </c>
      <c r="B1850" t="s">
        <v>28</v>
      </c>
      <c r="C1850" s="5">
        <v>45316</v>
      </c>
      <c r="D1850" s="8">
        <v>45316</v>
      </c>
      <c r="E1850" s="8">
        <f>IF(B1850="Inactive", EDATE(D1850,K1850), "")</f>
        <v>45468</v>
      </c>
      <c r="F1850" t="s">
        <v>14</v>
      </c>
      <c r="G1850">
        <v>9.8000000000000007</v>
      </c>
      <c r="H1850" t="str" cm="1">
        <f t="array" ref="H1850">_xlfn.IFS(G1850&gt;=20,"20-25", G1850&gt;=15,"15-20", G1850&gt;=10,"10-15", G1850&gt;=5,"5-10", G1850&gt;=1,"1-5", G1850&lt;1,"Less than 1")</f>
        <v>5-10</v>
      </c>
      <c r="I1850">
        <v>7</v>
      </c>
      <c r="J1850">
        <v>3</v>
      </c>
      <c r="K1850" s="6">
        <v>5</v>
      </c>
      <c r="L1850" s="2">
        <v>3.99</v>
      </c>
      <c r="M1850" s="6">
        <v>25</v>
      </c>
      <c r="N1850" t="str" cm="1">
        <f t="array" ref="N1850">_xlfn.IFS(M1850&gt;=50,"50-60 Days", M1850&gt;=40,"40-50 Days", M1850&gt;=30, "30-40 Days", M1850&gt;=20, "20-30 Days", M1850&gt;=10, "10-20 Days", M1850&gt;=0, "0-10 Days")</f>
        <v>20-30 Days</v>
      </c>
    </row>
    <row r="1851" spans="1:14">
      <c r="A1851">
        <v>1850</v>
      </c>
      <c r="B1851" t="s">
        <v>28</v>
      </c>
      <c r="C1851" s="5">
        <v>45455</v>
      </c>
      <c r="D1851" s="8">
        <v>45455</v>
      </c>
      <c r="E1851" s="8">
        <f>IF(B1851="Inactive", EDATE(D1851,K1851), "")</f>
        <v>45547</v>
      </c>
      <c r="F1851" t="s">
        <v>10</v>
      </c>
      <c r="G1851">
        <v>2.8</v>
      </c>
      <c r="H1851" t="str" cm="1">
        <f t="array" ref="H1851">_xlfn.IFS(G1851&gt;=20,"20-25", G1851&gt;=15,"15-20", G1851&gt;=10,"10-15", G1851&gt;=5,"5-10", G1851&gt;=1,"1-5", G1851&lt;1,"Less than 1")</f>
        <v>1-5</v>
      </c>
      <c r="I1851">
        <v>2</v>
      </c>
      <c r="J1851">
        <v>4</v>
      </c>
      <c r="K1851" s="6">
        <v>3</v>
      </c>
      <c r="L1851" s="2">
        <v>6.99</v>
      </c>
      <c r="M1851" s="6">
        <v>58</v>
      </c>
      <c r="N1851" t="str" cm="1">
        <f t="array" ref="N1851">_xlfn.IFS(M1851&gt;=50,"50-60 Days", M1851&gt;=40,"40-50 Days", M1851&gt;=30, "30-40 Days", M1851&gt;=20, "20-30 Days", M1851&gt;=10, "10-20 Days", M1851&gt;=0, "0-10 Days")</f>
        <v>50-60 Days</v>
      </c>
    </row>
    <row r="1852" spans="1:14">
      <c r="A1852">
        <v>1851</v>
      </c>
      <c r="B1852" t="s">
        <v>29</v>
      </c>
      <c r="C1852" s="5">
        <v>45251</v>
      </c>
      <c r="D1852" s="8">
        <v>45251</v>
      </c>
      <c r="E1852" s="8" t="str">
        <f>IF(B1852="Inactive", EDATE(D1852,K1852), "")</f>
        <v/>
      </c>
      <c r="F1852" t="s">
        <v>12</v>
      </c>
      <c r="G1852">
        <v>19</v>
      </c>
      <c r="H1852" t="str" cm="1">
        <f t="array" ref="H1852">_xlfn.IFS(G1852&gt;=20,"20-25", G1852&gt;=15,"15-20", G1852&gt;=10,"10-15", G1852&gt;=5,"5-10", G1852&gt;=1,"1-5", G1852&lt;1,"Less than 1")</f>
        <v>15-20</v>
      </c>
      <c r="I1852">
        <v>1</v>
      </c>
      <c r="J1852">
        <v>3</v>
      </c>
      <c r="K1852" s="6">
        <v>4</v>
      </c>
      <c r="L1852" s="2">
        <v>1.99</v>
      </c>
      <c r="M1852" s="6">
        <v>47</v>
      </c>
      <c r="N1852" t="str" cm="1">
        <f t="array" ref="N1852">_xlfn.IFS(M1852&gt;=50,"50-60 Days", M1852&gt;=40,"40-50 Days", M1852&gt;=30, "30-40 Days", M1852&gt;=20, "20-30 Days", M1852&gt;=10, "10-20 Days", M1852&gt;=0, "0-10 Days")</f>
        <v>40-50 Days</v>
      </c>
    </row>
    <row r="1853" spans="1:14">
      <c r="A1853">
        <v>1852</v>
      </c>
      <c r="B1853" t="s">
        <v>28</v>
      </c>
      <c r="C1853" s="5">
        <v>45447</v>
      </c>
      <c r="D1853" s="8">
        <v>45447</v>
      </c>
      <c r="E1853" s="8">
        <f>IF(B1853="Inactive", EDATE(D1853,K1853), "")</f>
        <v>45600</v>
      </c>
      <c r="F1853" t="s">
        <v>14</v>
      </c>
      <c r="G1853">
        <v>5.7</v>
      </c>
      <c r="H1853" t="str" cm="1">
        <f t="array" ref="H1853">_xlfn.IFS(G1853&gt;=20,"20-25", G1853&gt;=15,"15-20", G1853&gt;=10,"10-15", G1853&gt;=5,"5-10", G1853&gt;=1,"1-5", G1853&lt;1,"Less than 1")</f>
        <v>5-10</v>
      </c>
      <c r="I1853">
        <v>1</v>
      </c>
      <c r="J1853">
        <v>4</v>
      </c>
      <c r="K1853" s="6">
        <v>5</v>
      </c>
      <c r="L1853" s="2">
        <v>3.99</v>
      </c>
      <c r="M1853" s="6">
        <v>23</v>
      </c>
      <c r="N1853" t="str" cm="1">
        <f t="array" ref="N1853">_xlfn.IFS(M1853&gt;=50,"50-60 Days", M1853&gt;=40,"40-50 Days", M1853&gt;=30, "30-40 Days", M1853&gt;=20, "20-30 Days", M1853&gt;=10, "10-20 Days", M1853&gt;=0, "0-10 Days")</f>
        <v>20-30 Days</v>
      </c>
    </row>
    <row r="1854" spans="1:14">
      <c r="A1854">
        <v>1853</v>
      </c>
      <c r="B1854" t="s">
        <v>28</v>
      </c>
      <c r="C1854" s="5">
        <v>45029</v>
      </c>
      <c r="D1854" s="8">
        <v>45029</v>
      </c>
      <c r="E1854" s="8">
        <f>IF(B1854="Inactive", EDATE(D1854,K1854), "")</f>
        <v>45335</v>
      </c>
      <c r="F1854" t="s">
        <v>12</v>
      </c>
      <c r="G1854">
        <v>0.9</v>
      </c>
      <c r="H1854" t="str" cm="1">
        <f t="array" ref="H1854">_xlfn.IFS(G1854&gt;=20,"20-25", G1854&gt;=15,"15-20", G1854&gt;=10,"10-15", G1854&gt;=5,"5-10", G1854&gt;=1,"1-5", G1854&lt;1,"Less than 1")</f>
        <v>Less than 1</v>
      </c>
      <c r="I1854">
        <v>6</v>
      </c>
      <c r="J1854">
        <v>3</v>
      </c>
      <c r="K1854" s="6">
        <v>10</v>
      </c>
      <c r="L1854" s="2">
        <v>1.99</v>
      </c>
      <c r="M1854" s="6">
        <v>25</v>
      </c>
      <c r="N1854" t="str" cm="1">
        <f t="array" ref="N1854">_xlfn.IFS(M1854&gt;=50,"50-60 Days", M1854&gt;=40,"40-50 Days", M1854&gt;=30, "30-40 Days", M1854&gt;=20, "20-30 Days", M1854&gt;=10, "10-20 Days", M1854&gt;=0, "0-10 Days")</f>
        <v>20-30 Days</v>
      </c>
    </row>
    <row r="1855" spans="1:14">
      <c r="A1855">
        <v>1854</v>
      </c>
      <c r="B1855" t="s">
        <v>29</v>
      </c>
      <c r="C1855" s="5">
        <v>45234</v>
      </c>
      <c r="D1855" s="8">
        <v>45234</v>
      </c>
      <c r="E1855" s="8" t="str">
        <f>IF(B1855="Inactive", EDATE(D1855,K1855), "")</f>
        <v/>
      </c>
      <c r="F1855" t="s">
        <v>14</v>
      </c>
      <c r="G1855">
        <v>23.7</v>
      </c>
      <c r="H1855" t="str" cm="1">
        <f t="array" ref="H1855">_xlfn.IFS(G1855&gt;=20,"20-25", G1855&gt;=15,"15-20", G1855&gt;=10,"10-15", G1855&gt;=5,"5-10", G1855&gt;=1,"1-5", G1855&lt;1,"Less than 1")</f>
        <v>20-25</v>
      </c>
      <c r="I1855">
        <v>1</v>
      </c>
      <c r="J1855">
        <v>3</v>
      </c>
      <c r="K1855" s="6">
        <v>8</v>
      </c>
      <c r="L1855" s="2">
        <v>3.99</v>
      </c>
      <c r="M1855" s="6">
        <v>60</v>
      </c>
      <c r="N1855" t="str" cm="1">
        <f t="array" ref="N1855">_xlfn.IFS(M1855&gt;=50,"50-60 Days", M1855&gt;=40,"40-50 Days", M1855&gt;=30, "30-40 Days", M1855&gt;=20, "20-30 Days", M1855&gt;=10, "10-20 Days", M1855&gt;=0, "0-10 Days")</f>
        <v>50-60 Days</v>
      </c>
    </row>
    <row r="1856" spans="1:14">
      <c r="A1856">
        <v>1855</v>
      </c>
      <c r="B1856" t="s">
        <v>29</v>
      </c>
      <c r="C1856" s="5">
        <v>45208</v>
      </c>
      <c r="D1856" s="8">
        <v>45208</v>
      </c>
      <c r="E1856" s="8" t="str">
        <f>IF(B1856="Inactive", EDATE(D1856,K1856), "")</f>
        <v/>
      </c>
      <c r="F1856" t="s">
        <v>12</v>
      </c>
      <c r="G1856">
        <v>16.399999999999999</v>
      </c>
      <c r="H1856" t="str" cm="1">
        <f t="array" ref="H1856">_xlfn.IFS(G1856&gt;=20,"20-25", G1856&gt;=15,"15-20", G1856&gt;=10,"10-15", G1856&gt;=5,"5-10", G1856&gt;=1,"1-5", G1856&lt;1,"Less than 1")</f>
        <v>15-20</v>
      </c>
      <c r="I1856">
        <v>6</v>
      </c>
      <c r="J1856">
        <v>3</v>
      </c>
      <c r="K1856" s="6">
        <v>2</v>
      </c>
      <c r="L1856" s="2">
        <v>1.99</v>
      </c>
      <c r="M1856" s="6">
        <v>1</v>
      </c>
      <c r="N1856" t="str" cm="1">
        <f t="array" ref="N1856">_xlfn.IFS(M1856&gt;=50,"50-60 Days", M1856&gt;=40,"40-50 Days", M1856&gt;=30, "30-40 Days", M1856&gt;=20, "20-30 Days", M1856&gt;=10, "10-20 Days", M1856&gt;=0, "0-10 Days")</f>
        <v>0-10 Days</v>
      </c>
    </row>
    <row r="1857" spans="1:14">
      <c r="A1857">
        <v>1856</v>
      </c>
      <c r="B1857" t="s">
        <v>28</v>
      </c>
      <c r="C1857" s="5">
        <v>45458</v>
      </c>
      <c r="D1857" s="8">
        <v>45458</v>
      </c>
      <c r="E1857" s="8">
        <f>IF(B1857="Inactive", EDATE(D1857,K1857), "")</f>
        <v>45672</v>
      </c>
      <c r="F1857" t="s">
        <v>10</v>
      </c>
      <c r="G1857">
        <v>1.6</v>
      </c>
      <c r="H1857" t="str" cm="1">
        <f t="array" ref="H1857">_xlfn.IFS(G1857&gt;=20,"20-25", G1857&gt;=15,"15-20", G1857&gt;=10,"10-15", G1857&gt;=5,"5-10", G1857&gt;=1,"1-5", G1857&lt;1,"Less than 1")</f>
        <v>1-5</v>
      </c>
      <c r="I1857">
        <v>3</v>
      </c>
      <c r="J1857">
        <v>1</v>
      </c>
      <c r="K1857" s="6">
        <v>7</v>
      </c>
      <c r="L1857" s="2">
        <v>6.99</v>
      </c>
      <c r="M1857" s="6">
        <v>36</v>
      </c>
      <c r="N1857" t="str" cm="1">
        <f t="array" ref="N1857">_xlfn.IFS(M1857&gt;=50,"50-60 Days", M1857&gt;=40,"40-50 Days", M1857&gt;=30, "30-40 Days", M1857&gt;=20, "20-30 Days", M1857&gt;=10, "10-20 Days", M1857&gt;=0, "0-10 Days")</f>
        <v>30-40 Days</v>
      </c>
    </row>
    <row r="1858" spans="1:14">
      <c r="A1858">
        <v>1857</v>
      </c>
      <c r="B1858" t="s">
        <v>29</v>
      </c>
      <c r="C1858" s="5">
        <v>45603</v>
      </c>
      <c r="D1858" s="8">
        <v>45603</v>
      </c>
      <c r="E1858" s="8" t="str">
        <f>IF(B1858="Inactive", EDATE(D1858,K1858), "")</f>
        <v/>
      </c>
      <c r="F1858" t="s">
        <v>12</v>
      </c>
      <c r="G1858">
        <v>17.5</v>
      </c>
      <c r="H1858" t="str" cm="1">
        <f t="array" ref="H1858">_xlfn.IFS(G1858&gt;=20,"20-25", G1858&gt;=15,"15-20", G1858&gt;=10,"10-15", G1858&gt;=5,"5-10", G1858&gt;=1,"1-5", G1858&lt;1,"Less than 1")</f>
        <v>15-20</v>
      </c>
      <c r="I1858">
        <v>0</v>
      </c>
      <c r="J1858">
        <v>0</v>
      </c>
      <c r="K1858" s="6">
        <v>3</v>
      </c>
      <c r="L1858" s="2">
        <v>1.99</v>
      </c>
      <c r="M1858" s="6">
        <v>38</v>
      </c>
      <c r="N1858" t="str" cm="1">
        <f t="array" ref="N1858">_xlfn.IFS(M1858&gt;=50,"50-60 Days", M1858&gt;=40,"40-50 Days", M1858&gt;=30, "30-40 Days", M1858&gt;=20, "20-30 Days", M1858&gt;=10, "10-20 Days", M1858&gt;=0, "0-10 Days")</f>
        <v>30-40 Days</v>
      </c>
    </row>
    <row r="1859" spans="1:14">
      <c r="A1859">
        <v>1858</v>
      </c>
      <c r="B1859" t="s">
        <v>28</v>
      </c>
      <c r="C1859" s="5">
        <v>45458</v>
      </c>
      <c r="D1859" s="8">
        <v>45458</v>
      </c>
      <c r="E1859" s="8">
        <f>IF(B1859="Inactive", EDATE(D1859,K1859), "")</f>
        <v>45703</v>
      </c>
      <c r="F1859" t="s">
        <v>14</v>
      </c>
      <c r="G1859">
        <v>15.6</v>
      </c>
      <c r="H1859" t="str" cm="1">
        <f t="array" ref="H1859">_xlfn.IFS(G1859&gt;=20,"20-25", G1859&gt;=15,"15-20", G1859&gt;=10,"10-15", G1859&gt;=5,"5-10", G1859&gt;=1,"1-5", G1859&lt;1,"Less than 1")</f>
        <v>15-20</v>
      </c>
      <c r="I1859">
        <v>2</v>
      </c>
      <c r="J1859">
        <v>3</v>
      </c>
      <c r="K1859" s="6">
        <v>8</v>
      </c>
      <c r="L1859" s="2">
        <v>3.99</v>
      </c>
      <c r="M1859" s="6">
        <v>11</v>
      </c>
      <c r="N1859" t="str" cm="1">
        <f t="array" ref="N1859">_xlfn.IFS(M1859&gt;=50,"50-60 Days", M1859&gt;=40,"40-50 Days", M1859&gt;=30, "30-40 Days", M1859&gt;=20, "20-30 Days", M1859&gt;=10, "10-20 Days", M1859&gt;=0, "0-10 Days")</f>
        <v>10-20 Days</v>
      </c>
    </row>
    <row r="1860" spans="1:14">
      <c r="A1860">
        <v>1859</v>
      </c>
      <c r="B1860" t="s">
        <v>29</v>
      </c>
      <c r="C1860" s="5">
        <v>45240</v>
      </c>
      <c r="D1860" s="8">
        <v>45240</v>
      </c>
      <c r="E1860" s="8" t="str">
        <f>IF(B1860="Inactive", EDATE(D1860,K1860), "")</f>
        <v/>
      </c>
      <c r="F1860" t="s">
        <v>12</v>
      </c>
      <c r="G1860">
        <v>9.4</v>
      </c>
      <c r="H1860" t="str" cm="1">
        <f t="array" ref="H1860">_xlfn.IFS(G1860&gt;=20,"20-25", G1860&gt;=15,"15-20", G1860&gt;=10,"10-15", G1860&gt;=5,"5-10", G1860&gt;=1,"1-5", G1860&lt;1,"Less than 1")</f>
        <v>5-10</v>
      </c>
      <c r="I1860">
        <v>1</v>
      </c>
      <c r="J1860">
        <v>1</v>
      </c>
      <c r="K1860" s="6">
        <v>4</v>
      </c>
      <c r="L1860" s="2">
        <v>1.99</v>
      </c>
      <c r="M1860" s="6">
        <v>1</v>
      </c>
      <c r="N1860" t="str" cm="1">
        <f t="array" ref="N1860">_xlfn.IFS(M1860&gt;=50,"50-60 Days", M1860&gt;=40,"40-50 Days", M1860&gt;=30, "30-40 Days", M1860&gt;=20, "20-30 Days", M1860&gt;=10, "10-20 Days", M1860&gt;=0, "0-10 Days")</f>
        <v>0-10 Days</v>
      </c>
    </row>
    <row r="1861" spans="1:14">
      <c r="A1861">
        <v>1860</v>
      </c>
      <c r="B1861" t="s">
        <v>28</v>
      </c>
      <c r="C1861" s="5">
        <v>44953</v>
      </c>
      <c r="D1861" s="8">
        <v>44953</v>
      </c>
      <c r="E1861" s="8">
        <f>IF(B1861="Inactive", EDATE(D1861,K1861), "")</f>
        <v>45196</v>
      </c>
      <c r="F1861" t="s">
        <v>14</v>
      </c>
      <c r="G1861">
        <v>22.8</v>
      </c>
      <c r="H1861" t="str" cm="1">
        <f t="array" ref="H1861">_xlfn.IFS(G1861&gt;=20,"20-25", G1861&gt;=15,"15-20", G1861&gt;=10,"10-15", G1861&gt;=5,"5-10", G1861&gt;=1,"1-5", G1861&lt;1,"Less than 1")</f>
        <v>20-25</v>
      </c>
      <c r="I1861">
        <v>4</v>
      </c>
      <c r="J1861">
        <v>4</v>
      </c>
      <c r="K1861" s="6">
        <v>8</v>
      </c>
      <c r="L1861" s="2">
        <v>3.99</v>
      </c>
      <c r="M1861" s="6">
        <v>20</v>
      </c>
      <c r="N1861" t="str" cm="1">
        <f t="array" ref="N1861">_xlfn.IFS(M1861&gt;=50,"50-60 Days", M1861&gt;=40,"40-50 Days", M1861&gt;=30, "30-40 Days", M1861&gt;=20, "20-30 Days", M1861&gt;=10, "10-20 Days", M1861&gt;=0, "0-10 Days")</f>
        <v>20-30 Days</v>
      </c>
    </row>
    <row r="1862" spans="1:14">
      <c r="A1862">
        <v>1861</v>
      </c>
      <c r="B1862" t="s">
        <v>28</v>
      </c>
      <c r="C1862" s="5">
        <v>45344</v>
      </c>
      <c r="D1862" s="8">
        <v>45344</v>
      </c>
      <c r="E1862" s="8">
        <f>IF(B1862="Inactive", EDATE(D1862,K1862), "")</f>
        <v>45373</v>
      </c>
      <c r="F1862" t="s">
        <v>14</v>
      </c>
      <c r="G1862">
        <v>22.3</v>
      </c>
      <c r="H1862" t="str" cm="1">
        <f t="array" ref="H1862">_xlfn.IFS(G1862&gt;=20,"20-25", G1862&gt;=15,"15-20", G1862&gt;=10,"10-15", G1862&gt;=5,"5-10", G1862&gt;=1,"1-5", G1862&lt;1,"Less than 1")</f>
        <v>20-25</v>
      </c>
      <c r="I1862">
        <v>0</v>
      </c>
      <c r="J1862">
        <v>5</v>
      </c>
      <c r="K1862" s="6">
        <v>1</v>
      </c>
      <c r="L1862" s="2">
        <v>3.99</v>
      </c>
      <c r="M1862" s="6">
        <v>55</v>
      </c>
      <c r="N1862" t="str" cm="1">
        <f t="array" ref="N1862">_xlfn.IFS(M1862&gt;=50,"50-60 Days", M1862&gt;=40,"40-50 Days", M1862&gt;=30, "30-40 Days", M1862&gt;=20, "20-30 Days", M1862&gt;=10, "10-20 Days", M1862&gt;=0, "0-10 Days")</f>
        <v>50-60 Days</v>
      </c>
    </row>
    <row r="1863" spans="1:14">
      <c r="A1863">
        <v>1862</v>
      </c>
      <c r="B1863" t="s">
        <v>28</v>
      </c>
      <c r="C1863" s="5">
        <v>45284</v>
      </c>
      <c r="D1863" s="8">
        <v>45284</v>
      </c>
      <c r="E1863" s="8">
        <f>IF(B1863="Inactive", EDATE(D1863,K1863), "")</f>
        <v>45650</v>
      </c>
      <c r="F1863" t="s">
        <v>12</v>
      </c>
      <c r="G1863">
        <v>9.6999999999999993</v>
      </c>
      <c r="H1863" t="str" cm="1">
        <f t="array" ref="H1863">_xlfn.IFS(G1863&gt;=20,"20-25", G1863&gt;=15,"15-20", G1863&gt;=10,"10-15", G1863&gt;=5,"5-10", G1863&gt;=1,"1-5", G1863&lt;1,"Less than 1")</f>
        <v>5-10</v>
      </c>
      <c r="I1863">
        <v>8</v>
      </c>
      <c r="J1863">
        <v>1</v>
      </c>
      <c r="K1863" s="6">
        <v>12</v>
      </c>
      <c r="L1863" s="2">
        <v>1.99</v>
      </c>
      <c r="M1863" s="6">
        <v>10</v>
      </c>
      <c r="N1863" t="str" cm="1">
        <f t="array" ref="N1863">_xlfn.IFS(M1863&gt;=50,"50-60 Days", M1863&gt;=40,"40-50 Days", M1863&gt;=30, "30-40 Days", M1863&gt;=20, "20-30 Days", M1863&gt;=10, "10-20 Days", M1863&gt;=0, "0-10 Days")</f>
        <v>10-20 Days</v>
      </c>
    </row>
    <row r="1864" spans="1:14">
      <c r="A1864">
        <v>1863</v>
      </c>
      <c r="B1864" t="s">
        <v>29</v>
      </c>
      <c r="C1864" s="5">
        <v>45352</v>
      </c>
      <c r="D1864" s="8">
        <v>45352</v>
      </c>
      <c r="E1864" s="8" t="str">
        <f>IF(B1864="Inactive", EDATE(D1864,K1864), "")</f>
        <v/>
      </c>
      <c r="F1864" t="s">
        <v>12</v>
      </c>
      <c r="G1864">
        <v>10.8</v>
      </c>
      <c r="H1864" t="str" cm="1">
        <f t="array" ref="H1864">_xlfn.IFS(G1864&gt;=20,"20-25", G1864&gt;=15,"15-20", G1864&gt;=10,"10-15", G1864&gt;=5,"5-10", G1864&gt;=1,"1-5", G1864&lt;1,"Less than 1")</f>
        <v>10-15</v>
      </c>
      <c r="I1864">
        <v>1</v>
      </c>
      <c r="J1864">
        <v>0</v>
      </c>
      <c r="K1864" s="6">
        <v>2</v>
      </c>
      <c r="L1864" s="2">
        <v>1.99</v>
      </c>
      <c r="M1864" s="6">
        <v>30</v>
      </c>
      <c r="N1864" t="str" cm="1">
        <f t="array" ref="N1864">_xlfn.IFS(M1864&gt;=50,"50-60 Days", M1864&gt;=40,"40-50 Days", M1864&gt;=30, "30-40 Days", M1864&gt;=20, "20-30 Days", M1864&gt;=10, "10-20 Days", M1864&gt;=0, "0-10 Days")</f>
        <v>30-40 Days</v>
      </c>
    </row>
    <row r="1865" spans="1:14">
      <c r="A1865">
        <v>1864</v>
      </c>
      <c r="B1865" t="s">
        <v>28</v>
      </c>
      <c r="C1865" s="5">
        <v>45190</v>
      </c>
      <c r="D1865" s="8">
        <v>45190</v>
      </c>
      <c r="E1865" s="8">
        <f>IF(B1865="Inactive", EDATE(D1865,K1865), "")</f>
        <v>45494</v>
      </c>
      <c r="F1865" t="s">
        <v>10</v>
      </c>
      <c r="G1865">
        <v>3.8</v>
      </c>
      <c r="H1865" t="str" cm="1">
        <f t="array" ref="H1865">_xlfn.IFS(G1865&gt;=20,"20-25", G1865&gt;=15,"15-20", G1865&gt;=10,"10-15", G1865&gt;=5,"5-10", G1865&gt;=1,"1-5", G1865&lt;1,"Less than 1")</f>
        <v>1-5</v>
      </c>
      <c r="I1865">
        <v>0</v>
      </c>
      <c r="J1865">
        <v>2</v>
      </c>
      <c r="K1865" s="6">
        <v>10</v>
      </c>
      <c r="L1865" s="2">
        <v>6.99</v>
      </c>
      <c r="M1865" s="6">
        <v>30</v>
      </c>
      <c r="N1865" t="str" cm="1">
        <f t="array" ref="N1865">_xlfn.IFS(M1865&gt;=50,"50-60 Days", M1865&gt;=40,"40-50 Days", M1865&gt;=30, "30-40 Days", M1865&gt;=20, "20-30 Days", M1865&gt;=10, "10-20 Days", M1865&gt;=0, "0-10 Days")</f>
        <v>30-40 Days</v>
      </c>
    </row>
    <row r="1866" spans="1:14">
      <c r="A1866">
        <v>1865</v>
      </c>
      <c r="B1866" t="s">
        <v>28</v>
      </c>
      <c r="C1866" s="5">
        <v>45416</v>
      </c>
      <c r="D1866" s="8">
        <v>45416</v>
      </c>
      <c r="E1866" s="8">
        <f>IF(B1866="Inactive", EDATE(D1866,K1866), "")</f>
        <v>45630</v>
      </c>
      <c r="F1866" t="s">
        <v>12</v>
      </c>
      <c r="G1866">
        <v>16.600000000000001</v>
      </c>
      <c r="H1866" t="str" cm="1">
        <f t="array" ref="H1866">_xlfn.IFS(G1866&gt;=20,"20-25", G1866&gt;=15,"15-20", G1866&gt;=10,"10-15", G1866&gt;=5,"5-10", G1866&gt;=1,"1-5", G1866&lt;1,"Less than 1")</f>
        <v>15-20</v>
      </c>
      <c r="I1866">
        <v>5</v>
      </c>
      <c r="J1866">
        <v>4</v>
      </c>
      <c r="K1866" s="6">
        <v>7</v>
      </c>
      <c r="L1866" s="2">
        <v>1.99</v>
      </c>
      <c r="M1866" s="6">
        <v>42</v>
      </c>
      <c r="N1866" t="str" cm="1">
        <f t="array" ref="N1866">_xlfn.IFS(M1866&gt;=50,"50-60 Days", M1866&gt;=40,"40-50 Days", M1866&gt;=30, "30-40 Days", M1866&gt;=20, "20-30 Days", M1866&gt;=10, "10-20 Days", M1866&gt;=0, "0-10 Days")</f>
        <v>40-50 Days</v>
      </c>
    </row>
    <row r="1867" spans="1:14">
      <c r="A1867">
        <v>1866</v>
      </c>
      <c r="B1867" t="s">
        <v>29</v>
      </c>
      <c r="C1867" s="5">
        <v>45157</v>
      </c>
      <c r="D1867" s="8">
        <v>45157</v>
      </c>
      <c r="E1867" s="8" t="str">
        <f>IF(B1867="Inactive", EDATE(D1867,K1867), "")</f>
        <v/>
      </c>
      <c r="F1867" t="s">
        <v>14</v>
      </c>
      <c r="G1867">
        <v>3.6</v>
      </c>
      <c r="H1867" t="str" cm="1">
        <f t="array" ref="H1867">_xlfn.IFS(G1867&gt;=20,"20-25", G1867&gt;=15,"15-20", G1867&gt;=10,"10-15", G1867&gt;=5,"5-10", G1867&gt;=1,"1-5", G1867&lt;1,"Less than 1")</f>
        <v>1-5</v>
      </c>
      <c r="I1867">
        <v>8</v>
      </c>
      <c r="J1867">
        <v>1</v>
      </c>
      <c r="K1867" s="6">
        <v>5</v>
      </c>
      <c r="L1867" s="2">
        <v>3.99</v>
      </c>
      <c r="M1867" s="6">
        <v>51</v>
      </c>
      <c r="N1867" t="str" cm="1">
        <f t="array" ref="N1867">_xlfn.IFS(M1867&gt;=50,"50-60 Days", M1867&gt;=40,"40-50 Days", M1867&gt;=30, "30-40 Days", M1867&gt;=20, "20-30 Days", M1867&gt;=10, "10-20 Days", M1867&gt;=0, "0-10 Days")</f>
        <v>50-60 Days</v>
      </c>
    </row>
    <row r="1868" spans="1:14">
      <c r="A1868">
        <v>1867</v>
      </c>
      <c r="B1868" t="s">
        <v>28</v>
      </c>
      <c r="C1868" s="5">
        <v>45182</v>
      </c>
      <c r="D1868" s="8">
        <v>45182</v>
      </c>
      <c r="E1868" s="8">
        <f>IF(B1868="Inactive", EDATE(D1868,K1868), "")</f>
        <v>45243</v>
      </c>
      <c r="F1868" t="s">
        <v>10</v>
      </c>
      <c r="G1868">
        <v>18.7</v>
      </c>
      <c r="H1868" t="str" cm="1">
        <f t="array" ref="H1868">_xlfn.IFS(G1868&gt;=20,"20-25", G1868&gt;=15,"15-20", G1868&gt;=10,"10-15", G1868&gt;=5,"5-10", G1868&gt;=1,"1-5", G1868&lt;1,"Less than 1")</f>
        <v>15-20</v>
      </c>
      <c r="I1868">
        <v>6</v>
      </c>
      <c r="J1868">
        <v>2</v>
      </c>
      <c r="K1868" s="6">
        <v>2</v>
      </c>
      <c r="L1868" s="2">
        <v>6.99</v>
      </c>
      <c r="M1868" s="6">
        <v>56</v>
      </c>
      <c r="N1868" t="str" cm="1">
        <f t="array" ref="N1868">_xlfn.IFS(M1868&gt;=50,"50-60 Days", M1868&gt;=40,"40-50 Days", M1868&gt;=30, "30-40 Days", M1868&gt;=20, "20-30 Days", M1868&gt;=10, "10-20 Days", M1868&gt;=0, "0-10 Days")</f>
        <v>50-60 Days</v>
      </c>
    </row>
    <row r="1869" spans="1:14">
      <c r="A1869">
        <v>1868</v>
      </c>
      <c r="B1869" t="s">
        <v>29</v>
      </c>
      <c r="C1869" s="5">
        <v>45611</v>
      </c>
      <c r="D1869" s="8">
        <v>45611</v>
      </c>
      <c r="E1869" s="8" t="str">
        <f>IF(B1869="Inactive", EDATE(D1869,K1869), "")</f>
        <v/>
      </c>
      <c r="F1869" t="s">
        <v>12</v>
      </c>
      <c r="G1869">
        <v>5</v>
      </c>
      <c r="H1869" t="str" cm="1">
        <f t="array" ref="H1869">_xlfn.IFS(G1869&gt;=20,"20-25", G1869&gt;=15,"15-20", G1869&gt;=10,"10-15", G1869&gt;=5,"5-10", G1869&gt;=1,"1-5", G1869&lt;1,"Less than 1")</f>
        <v>5-10</v>
      </c>
      <c r="I1869">
        <v>4</v>
      </c>
      <c r="J1869">
        <v>2</v>
      </c>
      <c r="K1869" s="6">
        <v>6</v>
      </c>
      <c r="L1869" s="2">
        <v>1.99</v>
      </c>
      <c r="M1869" s="6">
        <v>45</v>
      </c>
      <c r="N1869" t="str" cm="1">
        <f t="array" ref="N1869">_xlfn.IFS(M1869&gt;=50,"50-60 Days", M1869&gt;=40,"40-50 Days", M1869&gt;=30, "30-40 Days", M1869&gt;=20, "20-30 Days", M1869&gt;=10, "10-20 Days", M1869&gt;=0, "0-10 Days")</f>
        <v>40-50 Days</v>
      </c>
    </row>
    <row r="1870" spans="1:14">
      <c r="A1870">
        <v>1869</v>
      </c>
      <c r="B1870" t="s">
        <v>29</v>
      </c>
      <c r="C1870" s="5">
        <v>45604</v>
      </c>
      <c r="D1870" s="8">
        <v>45604</v>
      </c>
      <c r="E1870" s="8" t="str">
        <f>IF(B1870="Inactive", EDATE(D1870,K1870), "")</f>
        <v/>
      </c>
      <c r="F1870" t="s">
        <v>10</v>
      </c>
      <c r="G1870">
        <v>13.2</v>
      </c>
      <c r="H1870" t="str" cm="1">
        <f t="array" ref="H1870">_xlfn.IFS(G1870&gt;=20,"20-25", G1870&gt;=15,"15-20", G1870&gt;=10,"10-15", G1870&gt;=5,"5-10", G1870&gt;=1,"1-5", G1870&lt;1,"Less than 1")</f>
        <v>10-15</v>
      </c>
      <c r="I1870">
        <v>4</v>
      </c>
      <c r="J1870">
        <v>1</v>
      </c>
      <c r="K1870" s="6">
        <v>12</v>
      </c>
      <c r="L1870" s="2">
        <v>6.99</v>
      </c>
      <c r="M1870" s="6">
        <v>20</v>
      </c>
      <c r="N1870" t="str" cm="1">
        <f t="array" ref="N1870">_xlfn.IFS(M1870&gt;=50,"50-60 Days", M1870&gt;=40,"40-50 Days", M1870&gt;=30, "30-40 Days", M1870&gt;=20, "20-30 Days", M1870&gt;=10, "10-20 Days", M1870&gt;=0, "0-10 Days")</f>
        <v>20-30 Days</v>
      </c>
    </row>
    <row r="1871" spans="1:14">
      <c r="A1871">
        <v>1870</v>
      </c>
      <c r="B1871" t="s">
        <v>29</v>
      </c>
      <c r="C1871" s="5">
        <v>45113</v>
      </c>
      <c r="D1871" s="8">
        <v>45113</v>
      </c>
      <c r="E1871" s="8" t="str">
        <f>IF(B1871="Inactive", EDATE(D1871,K1871), "")</f>
        <v/>
      </c>
      <c r="F1871" t="s">
        <v>12</v>
      </c>
      <c r="G1871">
        <v>18.8</v>
      </c>
      <c r="H1871" t="str" cm="1">
        <f t="array" ref="H1871">_xlfn.IFS(G1871&gt;=20,"20-25", G1871&gt;=15,"15-20", G1871&gt;=10,"10-15", G1871&gt;=5,"5-10", G1871&gt;=1,"1-5", G1871&lt;1,"Less than 1")</f>
        <v>15-20</v>
      </c>
      <c r="I1871">
        <v>6</v>
      </c>
      <c r="J1871">
        <v>5</v>
      </c>
      <c r="K1871" s="6">
        <v>1</v>
      </c>
      <c r="L1871" s="2">
        <v>1.99</v>
      </c>
      <c r="M1871" s="6">
        <v>3</v>
      </c>
      <c r="N1871" t="str" cm="1">
        <f t="array" ref="N1871">_xlfn.IFS(M1871&gt;=50,"50-60 Days", M1871&gt;=40,"40-50 Days", M1871&gt;=30, "30-40 Days", M1871&gt;=20, "20-30 Days", M1871&gt;=10, "10-20 Days", M1871&gt;=0, "0-10 Days")</f>
        <v>0-10 Days</v>
      </c>
    </row>
    <row r="1872" spans="1:14">
      <c r="A1872">
        <v>1871</v>
      </c>
      <c r="B1872" t="s">
        <v>28</v>
      </c>
      <c r="C1872" s="5">
        <v>45512</v>
      </c>
      <c r="D1872" s="8">
        <v>45512</v>
      </c>
      <c r="E1872" s="8">
        <f>IF(B1872="Inactive", EDATE(D1872,K1872), "")</f>
        <v>45634</v>
      </c>
      <c r="F1872" t="s">
        <v>12</v>
      </c>
      <c r="G1872">
        <v>16</v>
      </c>
      <c r="H1872" t="str" cm="1">
        <f t="array" ref="H1872">_xlfn.IFS(G1872&gt;=20,"20-25", G1872&gt;=15,"15-20", G1872&gt;=10,"10-15", G1872&gt;=5,"5-10", G1872&gt;=1,"1-5", G1872&lt;1,"Less than 1")</f>
        <v>15-20</v>
      </c>
      <c r="I1872">
        <v>3</v>
      </c>
      <c r="J1872">
        <v>1</v>
      </c>
      <c r="K1872" s="6">
        <v>4</v>
      </c>
      <c r="L1872" s="2">
        <v>1.99</v>
      </c>
      <c r="M1872" s="6">
        <v>25</v>
      </c>
      <c r="N1872" t="str" cm="1">
        <f t="array" ref="N1872">_xlfn.IFS(M1872&gt;=50,"50-60 Days", M1872&gt;=40,"40-50 Days", M1872&gt;=30, "30-40 Days", M1872&gt;=20, "20-30 Days", M1872&gt;=10, "10-20 Days", M1872&gt;=0, "0-10 Days")</f>
        <v>20-30 Days</v>
      </c>
    </row>
    <row r="1873" spans="1:14">
      <c r="A1873">
        <v>1872</v>
      </c>
      <c r="B1873" t="s">
        <v>29</v>
      </c>
      <c r="C1873" s="5">
        <v>45518</v>
      </c>
      <c r="D1873" s="8">
        <v>45518</v>
      </c>
      <c r="E1873" s="8" t="str">
        <f>IF(B1873="Inactive", EDATE(D1873,K1873), "")</f>
        <v/>
      </c>
      <c r="F1873" t="s">
        <v>14</v>
      </c>
      <c r="G1873">
        <v>21.5</v>
      </c>
      <c r="H1873" t="str" cm="1">
        <f t="array" ref="H1873">_xlfn.IFS(G1873&gt;=20,"20-25", G1873&gt;=15,"15-20", G1873&gt;=10,"10-15", G1873&gt;=5,"5-10", G1873&gt;=1,"1-5", G1873&lt;1,"Less than 1")</f>
        <v>20-25</v>
      </c>
      <c r="I1873">
        <v>3</v>
      </c>
      <c r="J1873">
        <v>5</v>
      </c>
      <c r="K1873" s="6">
        <v>11</v>
      </c>
      <c r="L1873" s="2">
        <v>3.99</v>
      </c>
      <c r="M1873" s="6">
        <v>55</v>
      </c>
      <c r="N1873" t="str" cm="1">
        <f t="array" ref="N1873">_xlfn.IFS(M1873&gt;=50,"50-60 Days", M1873&gt;=40,"40-50 Days", M1873&gt;=30, "30-40 Days", M1873&gt;=20, "20-30 Days", M1873&gt;=10, "10-20 Days", M1873&gt;=0, "0-10 Days")</f>
        <v>50-60 Days</v>
      </c>
    </row>
    <row r="1874" spans="1:14">
      <c r="A1874">
        <v>1873</v>
      </c>
      <c r="B1874" t="s">
        <v>29</v>
      </c>
      <c r="C1874" s="5">
        <v>45047</v>
      </c>
      <c r="D1874" s="8">
        <v>45047</v>
      </c>
      <c r="E1874" s="8" t="str">
        <f>IF(B1874="Inactive", EDATE(D1874,K1874), "")</f>
        <v/>
      </c>
      <c r="F1874" t="s">
        <v>14</v>
      </c>
      <c r="G1874">
        <v>24.8</v>
      </c>
      <c r="H1874" t="str" cm="1">
        <f t="array" ref="H1874">_xlfn.IFS(G1874&gt;=20,"20-25", G1874&gt;=15,"15-20", G1874&gt;=10,"10-15", G1874&gt;=5,"5-10", G1874&gt;=1,"1-5", G1874&lt;1,"Less than 1")</f>
        <v>20-25</v>
      </c>
      <c r="I1874">
        <v>7</v>
      </c>
      <c r="J1874">
        <v>4</v>
      </c>
      <c r="K1874" s="6">
        <v>10</v>
      </c>
      <c r="L1874" s="2">
        <v>3.99</v>
      </c>
      <c r="M1874" s="6">
        <v>16</v>
      </c>
      <c r="N1874" t="str" cm="1">
        <f t="array" ref="N1874">_xlfn.IFS(M1874&gt;=50,"50-60 Days", M1874&gt;=40,"40-50 Days", M1874&gt;=30, "30-40 Days", M1874&gt;=20, "20-30 Days", M1874&gt;=10, "10-20 Days", M1874&gt;=0, "0-10 Days")</f>
        <v>10-20 Days</v>
      </c>
    </row>
    <row r="1875" spans="1:14">
      <c r="A1875">
        <v>1874</v>
      </c>
      <c r="B1875" t="s">
        <v>29</v>
      </c>
      <c r="C1875" s="5">
        <v>45117</v>
      </c>
      <c r="D1875" s="8">
        <v>45117</v>
      </c>
      <c r="E1875" s="8" t="str">
        <f>IF(B1875="Inactive", EDATE(D1875,K1875), "")</f>
        <v/>
      </c>
      <c r="F1875" t="s">
        <v>10</v>
      </c>
      <c r="G1875">
        <v>16.600000000000001</v>
      </c>
      <c r="H1875" t="str" cm="1">
        <f t="array" ref="H1875">_xlfn.IFS(G1875&gt;=20,"20-25", G1875&gt;=15,"15-20", G1875&gt;=10,"10-15", G1875&gt;=5,"5-10", G1875&gt;=1,"1-5", G1875&lt;1,"Less than 1")</f>
        <v>15-20</v>
      </c>
      <c r="I1875">
        <v>8</v>
      </c>
      <c r="J1875">
        <v>2</v>
      </c>
      <c r="K1875" s="6">
        <v>6</v>
      </c>
      <c r="L1875" s="2">
        <v>6.99</v>
      </c>
      <c r="M1875" s="6">
        <v>21</v>
      </c>
      <c r="N1875" t="str" cm="1">
        <f t="array" ref="N1875">_xlfn.IFS(M1875&gt;=50,"50-60 Days", M1875&gt;=40,"40-50 Days", M1875&gt;=30, "30-40 Days", M1875&gt;=20, "20-30 Days", M1875&gt;=10, "10-20 Days", M1875&gt;=0, "0-10 Days")</f>
        <v>20-30 Days</v>
      </c>
    </row>
    <row r="1876" spans="1:14">
      <c r="A1876">
        <v>1875</v>
      </c>
      <c r="B1876" t="s">
        <v>28</v>
      </c>
      <c r="C1876" s="5">
        <v>45611</v>
      </c>
      <c r="D1876" s="8">
        <v>45611</v>
      </c>
      <c r="E1876" s="8">
        <f>IF(B1876="Inactive", EDATE(D1876,K1876), "")</f>
        <v>45853</v>
      </c>
      <c r="F1876" t="s">
        <v>14</v>
      </c>
      <c r="G1876">
        <v>20.3</v>
      </c>
      <c r="H1876" t="str" cm="1">
        <f t="array" ref="H1876">_xlfn.IFS(G1876&gt;=20,"20-25", G1876&gt;=15,"15-20", G1876&gt;=10,"10-15", G1876&gt;=5,"5-10", G1876&gt;=1,"1-5", G1876&lt;1,"Less than 1")</f>
        <v>20-25</v>
      </c>
      <c r="I1876">
        <v>7</v>
      </c>
      <c r="J1876">
        <v>4</v>
      </c>
      <c r="K1876" s="6">
        <v>8</v>
      </c>
      <c r="L1876" s="2">
        <v>3.99</v>
      </c>
      <c r="M1876" s="6">
        <v>29</v>
      </c>
      <c r="N1876" t="str" cm="1">
        <f t="array" ref="N1876">_xlfn.IFS(M1876&gt;=50,"50-60 Days", M1876&gt;=40,"40-50 Days", M1876&gt;=30, "30-40 Days", M1876&gt;=20, "20-30 Days", M1876&gt;=10, "10-20 Days", M1876&gt;=0, "0-10 Days")</f>
        <v>20-30 Days</v>
      </c>
    </row>
    <row r="1877" spans="1:14">
      <c r="A1877">
        <v>1876</v>
      </c>
      <c r="B1877" t="s">
        <v>28</v>
      </c>
      <c r="C1877" s="5">
        <v>45483</v>
      </c>
      <c r="D1877" s="8">
        <v>45483</v>
      </c>
      <c r="E1877" s="8">
        <f>IF(B1877="Inactive", EDATE(D1877,K1877), "")</f>
        <v>45848</v>
      </c>
      <c r="F1877" t="s">
        <v>14</v>
      </c>
      <c r="G1877">
        <v>6.9</v>
      </c>
      <c r="H1877" t="str" cm="1">
        <f t="array" ref="H1877">_xlfn.IFS(G1877&gt;=20,"20-25", G1877&gt;=15,"15-20", G1877&gt;=10,"10-15", G1877&gt;=5,"5-10", G1877&gt;=1,"1-5", G1877&lt;1,"Less than 1")</f>
        <v>5-10</v>
      </c>
      <c r="I1877">
        <v>5</v>
      </c>
      <c r="J1877">
        <v>3</v>
      </c>
      <c r="K1877" s="6">
        <v>12</v>
      </c>
      <c r="L1877" s="2">
        <v>3.99</v>
      </c>
      <c r="M1877" s="6">
        <v>41</v>
      </c>
      <c r="N1877" t="str" cm="1">
        <f t="array" ref="N1877">_xlfn.IFS(M1877&gt;=50,"50-60 Days", M1877&gt;=40,"40-50 Days", M1877&gt;=30, "30-40 Days", M1877&gt;=20, "20-30 Days", M1877&gt;=10, "10-20 Days", M1877&gt;=0, "0-10 Days")</f>
        <v>40-50 Days</v>
      </c>
    </row>
    <row r="1878" spans="1:14">
      <c r="A1878">
        <v>1877</v>
      </c>
      <c r="B1878" t="s">
        <v>29</v>
      </c>
      <c r="C1878" s="5">
        <v>45229</v>
      </c>
      <c r="D1878" s="8">
        <v>45229</v>
      </c>
      <c r="E1878" s="8" t="str">
        <f>IF(B1878="Inactive", EDATE(D1878,K1878), "")</f>
        <v/>
      </c>
      <c r="F1878" t="s">
        <v>12</v>
      </c>
      <c r="G1878">
        <v>6.1</v>
      </c>
      <c r="H1878" t="str" cm="1">
        <f t="array" ref="H1878">_xlfn.IFS(G1878&gt;=20,"20-25", G1878&gt;=15,"15-20", G1878&gt;=10,"10-15", G1878&gt;=5,"5-10", G1878&gt;=1,"1-5", G1878&lt;1,"Less than 1")</f>
        <v>5-10</v>
      </c>
      <c r="I1878">
        <v>7</v>
      </c>
      <c r="J1878">
        <v>0</v>
      </c>
      <c r="K1878" s="6">
        <v>3</v>
      </c>
      <c r="L1878" s="2">
        <v>1.99</v>
      </c>
      <c r="M1878" s="6">
        <v>7</v>
      </c>
      <c r="N1878" t="str" cm="1">
        <f t="array" ref="N1878">_xlfn.IFS(M1878&gt;=50,"50-60 Days", M1878&gt;=40,"40-50 Days", M1878&gt;=30, "30-40 Days", M1878&gt;=20, "20-30 Days", M1878&gt;=10, "10-20 Days", M1878&gt;=0, "0-10 Days")</f>
        <v>0-10 Days</v>
      </c>
    </row>
    <row r="1879" spans="1:14">
      <c r="A1879">
        <v>1878</v>
      </c>
      <c r="B1879" t="s">
        <v>28</v>
      </c>
      <c r="C1879" s="5">
        <v>45443</v>
      </c>
      <c r="D1879" s="8">
        <v>45443</v>
      </c>
      <c r="E1879" s="8">
        <f>IF(B1879="Inactive", EDATE(D1879,K1879), "")</f>
        <v>45688</v>
      </c>
      <c r="F1879" t="s">
        <v>12</v>
      </c>
      <c r="G1879">
        <v>8</v>
      </c>
      <c r="H1879" t="str" cm="1">
        <f t="array" ref="H1879">_xlfn.IFS(G1879&gt;=20,"20-25", G1879&gt;=15,"15-20", G1879&gt;=10,"10-15", G1879&gt;=5,"5-10", G1879&gt;=1,"1-5", G1879&lt;1,"Less than 1")</f>
        <v>5-10</v>
      </c>
      <c r="I1879">
        <v>6</v>
      </c>
      <c r="J1879">
        <v>4</v>
      </c>
      <c r="K1879" s="6">
        <v>8</v>
      </c>
      <c r="L1879" s="2">
        <v>1.99</v>
      </c>
      <c r="M1879" s="6">
        <v>60</v>
      </c>
      <c r="N1879" t="str" cm="1">
        <f t="array" ref="N1879">_xlfn.IFS(M1879&gt;=50,"50-60 Days", M1879&gt;=40,"40-50 Days", M1879&gt;=30, "30-40 Days", M1879&gt;=20, "20-30 Days", M1879&gt;=10, "10-20 Days", M1879&gt;=0, "0-10 Days")</f>
        <v>50-60 Days</v>
      </c>
    </row>
    <row r="1880" spans="1:14">
      <c r="A1880">
        <v>1879</v>
      </c>
      <c r="B1880" t="s">
        <v>29</v>
      </c>
      <c r="C1880" s="5">
        <v>45154</v>
      </c>
      <c r="D1880" s="8">
        <v>45154</v>
      </c>
      <c r="E1880" s="8" t="str">
        <f>IF(B1880="Inactive", EDATE(D1880,K1880), "")</f>
        <v/>
      </c>
      <c r="F1880" t="s">
        <v>12</v>
      </c>
      <c r="G1880">
        <v>20.6</v>
      </c>
      <c r="H1880" t="str" cm="1">
        <f t="array" ref="H1880">_xlfn.IFS(G1880&gt;=20,"20-25", G1880&gt;=15,"15-20", G1880&gt;=10,"10-15", G1880&gt;=5,"5-10", G1880&gt;=1,"1-5", G1880&lt;1,"Less than 1")</f>
        <v>20-25</v>
      </c>
      <c r="I1880">
        <v>8</v>
      </c>
      <c r="J1880">
        <v>1</v>
      </c>
      <c r="K1880" s="6">
        <v>9</v>
      </c>
      <c r="L1880" s="2">
        <v>1.99</v>
      </c>
      <c r="M1880" s="6">
        <v>9</v>
      </c>
      <c r="N1880" t="str" cm="1">
        <f t="array" ref="N1880">_xlfn.IFS(M1880&gt;=50,"50-60 Days", M1880&gt;=40,"40-50 Days", M1880&gt;=30, "30-40 Days", M1880&gt;=20, "20-30 Days", M1880&gt;=10, "10-20 Days", M1880&gt;=0, "0-10 Days")</f>
        <v>0-10 Days</v>
      </c>
    </row>
    <row r="1881" spans="1:14">
      <c r="A1881">
        <v>1880</v>
      </c>
      <c r="B1881" t="s">
        <v>29</v>
      </c>
      <c r="C1881" s="5">
        <v>45503</v>
      </c>
      <c r="D1881" s="8">
        <v>45503</v>
      </c>
      <c r="E1881" s="8" t="str">
        <f>IF(B1881="Inactive", EDATE(D1881,K1881), "")</f>
        <v/>
      </c>
      <c r="F1881" t="s">
        <v>12</v>
      </c>
      <c r="G1881">
        <v>18.5</v>
      </c>
      <c r="H1881" t="str" cm="1">
        <f t="array" ref="H1881">_xlfn.IFS(G1881&gt;=20,"20-25", G1881&gt;=15,"15-20", G1881&gt;=10,"10-15", G1881&gt;=5,"5-10", G1881&gt;=1,"1-5", G1881&lt;1,"Less than 1")</f>
        <v>15-20</v>
      </c>
      <c r="I1881">
        <v>5</v>
      </c>
      <c r="J1881">
        <v>4</v>
      </c>
      <c r="K1881" s="6">
        <v>5</v>
      </c>
      <c r="L1881" s="2">
        <v>1.99</v>
      </c>
      <c r="M1881" s="6">
        <v>38</v>
      </c>
      <c r="N1881" t="str" cm="1">
        <f t="array" ref="N1881">_xlfn.IFS(M1881&gt;=50,"50-60 Days", M1881&gt;=40,"40-50 Days", M1881&gt;=30, "30-40 Days", M1881&gt;=20, "20-30 Days", M1881&gt;=10, "10-20 Days", M1881&gt;=0, "0-10 Days")</f>
        <v>30-40 Days</v>
      </c>
    </row>
    <row r="1882" spans="1:14">
      <c r="A1882">
        <v>1881</v>
      </c>
      <c r="B1882" t="s">
        <v>28</v>
      </c>
      <c r="C1882" s="5">
        <v>45470</v>
      </c>
      <c r="D1882" s="8">
        <v>45470</v>
      </c>
      <c r="E1882" s="8">
        <f>IF(B1882="Inactive", EDATE(D1882,K1882), "")</f>
        <v>45835</v>
      </c>
      <c r="F1882" t="s">
        <v>10</v>
      </c>
      <c r="G1882">
        <v>1.7</v>
      </c>
      <c r="H1882" t="str" cm="1">
        <f t="array" ref="H1882">_xlfn.IFS(G1882&gt;=20,"20-25", G1882&gt;=15,"15-20", G1882&gt;=10,"10-15", G1882&gt;=5,"5-10", G1882&gt;=1,"1-5", G1882&lt;1,"Less than 1")</f>
        <v>1-5</v>
      </c>
      <c r="I1882">
        <v>8</v>
      </c>
      <c r="J1882">
        <v>2</v>
      </c>
      <c r="K1882" s="6">
        <v>12</v>
      </c>
      <c r="L1882" s="2">
        <v>6.99</v>
      </c>
      <c r="M1882" s="6">
        <v>34</v>
      </c>
      <c r="N1882" t="str" cm="1">
        <f t="array" ref="N1882">_xlfn.IFS(M1882&gt;=50,"50-60 Days", M1882&gt;=40,"40-50 Days", M1882&gt;=30, "30-40 Days", M1882&gt;=20, "20-30 Days", M1882&gt;=10, "10-20 Days", M1882&gt;=0, "0-10 Days")</f>
        <v>30-40 Days</v>
      </c>
    </row>
    <row r="1883" spans="1:14">
      <c r="A1883">
        <v>1882</v>
      </c>
      <c r="B1883" t="s">
        <v>29</v>
      </c>
      <c r="C1883" s="5">
        <v>45158</v>
      </c>
      <c r="D1883" s="8">
        <v>45158</v>
      </c>
      <c r="E1883" s="8" t="str">
        <f>IF(B1883="Inactive", EDATE(D1883,K1883), "")</f>
        <v/>
      </c>
      <c r="F1883" t="s">
        <v>12</v>
      </c>
      <c r="G1883">
        <v>4.4000000000000004</v>
      </c>
      <c r="H1883" t="str" cm="1">
        <f t="array" ref="H1883">_xlfn.IFS(G1883&gt;=20,"20-25", G1883&gt;=15,"15-20", G1883&gt;=10,"10-15", G1883&gt;=5,"5-10", G1883&gt;=1,"1-5", G1883&lt;1,"Less than 1")</f>
        <v>1-5</v>
      </c>
      <c r="I1883">
        <v>2</v>
      </c>
      <c r="J1883">
        <v>5</v>
      </c>
      <c r="K1883" s="6">
        <v>8</v>
      </c>
      <c r="L1883" s="2">
        <v>1.99</v>
      </c>
      <c r="M1883" s="6">
        <v>40</v>
      </c>
      <c r="N1883" t="str" cm="1">
        <f t="array" ref="N1883">_xlfn.IFS(M1883&gt;=50,"50-60 Days", M1883&gt;=40,"40-50 Days", M1883&gt;=30, "30-40 Days", M1883&gt;=20, "20-30 Days", M1883&gt;=10, "10-20 Days", M1883&gt;=0, "0-10 Days")</f>
        <v>40-50 Days</v>
      </c>
    </row>
    <row r="1884" spans="1:14">
      <c r="A1884">
        <v>1883</v>
      </c>
      <c r="B1884" t="s">
        <v>28</v>
      </c>
      <c r="C1884" s="5">
        <v>45337</v>
      </c>
      <c r="D1884" s="8">
        <v>45337</v>
      </c>
      <c r="E1884" s="8">
        <f>IF(B1884="Inactive", EDATE(D1884,K1884), "")</f>
        <v>45458</v>
      </c>
      <c r="F1884" t="s">
        <v>10</v>
      </c>
      <c r="G1884">
        <v>13.8</v>
      </c>
      <c r="H1884" t="str" cm="1">
        <f t="array" ref="H1884">_xlfn.IFS(G1884&gt;=20,"20-25", G1884&gt;=15,"15-20", G1884&gt;=10,"10-15", G1884&gt;=5,"5-10", G1884&gt;=1,"1-5", G1884&lt;1,"Less than 1")</f>
        <v>10-15</v>
      </c>
      <c r="I1884">
        <v>6</v>
      </c>
      <c r="J1884">
        <v>1</v>
      </c>
      <c r="K1884" s="6">
        <v>4</v>
      </c>
      <c r="L1884" s="2">
        <v>6.99</v>
      </c>
      <c r="M1884" s="6">
        <v>17</v>
      </c>
      <c r="N1884" t="str" cm="1">
        <f t="array" ref="N1884">_xlfn.IFS(M1884&gt;=50,"50-60 Days", M1884&gt;=40,"40-50 Days", M1884&gt;=30, "30-40 Days", M1884&gt;=20, "20-30 Days", M1884&gt;=10, "10-20 Days", M1884&gt;=0, "0-10 Days")</f>
        <v>10-20 Days</v>
      </c>
    </row>
    <row r="1885" spans="1:14">
      <c r="A1885">
        <v>1884</v>
      </c>
      <c r="B1885" t="s">
        <v>28</v>
      </c>
      <c r="C1885" s="5">
        <v>45234</v>
      </c>
      <c r="D1885" s="8">
        <v>45234</v>
      </c>
      <c r="E1885" s="8">
        <f>IF(B1885="Inactive", EDATE(D1885,K1885), "")</f>
        <v>45508</v>
      </c>
      <c r="F1885" t="s">
        <v>14</v>
      </c>
      <c r="G1885">
        <v>22.6</v>
      </c>
      <c r="H1885" t="str" cm="1">
        <f t="array" ref="H1885">_xlfn.IFS(G1885&gt;=20,"20-25", G1885&gt;=15,"15-20", G1885&gt;=10,"10-15", G1885&gt;=5,"5-10", G1885&gt;=1,"1-5", G1885&lt;1,"Less than 1")</f>
        <v>20-25</v>
      </c>
      <c r="I1885">
        <v>6</v>
      </c>
      <c r="J1885">
        <v>3</v>
      </c>
      <c r="K1885" s="6">
        <v>9</v>
      </c>
      <c r="L1885" s="2">
        <v>3.99</v>
      </c>
      <c r="M1885" s="6">
        <v>29</v>
      </c>
      <c r="N1885" t="str" cm="1">
        <f t="array" ref="N1885">_xlfn.IFS(M1885&gt;=50,"50-60 Days", M1885&gt;=40,"40-50 Days", M1885&gt;=30, "30-40 Days", M1885&gt;=20, "20-30 Days", M1885&gt;=10, "10-20 Days", M1885&gt;=0, "0-10 Days")</f>
        <v>20-30 Days</v>
      </c>
    </row>
    <row r="1886" spans="1:14">
      <c r="A1886">
        <v>1885</v>
      </c>
      <c r="B1886" t="s">
        <v>28</v>
      </c>
      <c r="C1886" s="5">
        <v>45554</v>
      </c>
      <c r="D1886" s="8">
        <v>45554</v>
      </c>
      <c r="E1886" s="8">
        <f>IF(B1886="Inactive", EDATE(D1886,K1886), "")</f>
        <v>45615</v>
      </c>
      <c r="F1886" t="s">
        <v>12</v>
      </c>
      <c r="G1886">
        <v>6.7</v>
      </c>
      <c r="H1886" t="str" cm="1">
        <f t="array" ref="H1886">_xlfn.IFS(G1886&gt;=20,"20-25", G1886&gt;=15,"15-20", G1886&gt;=10,"10-15", G1886&gt;=5,"5-10", G1886&gt;=1,"1-5", G1886&lt;1,"Less than 1")</f>
        <v>5-10</v>
      </c>
      <c r="I1886">
        <v>8</v>
      </c>
      <c r="J1886">
        <v>5</v>
      </c>
      <c r="K1886" s="6">
        <v>2</v>
      </c>
      <c r="L1886" s="2">
        <v>1.99</v>
      </c>
      <c r="M1886" s="6">
        <v>19</v>
      </c>
      <c r="N1886" t="str" cm="1">
        <f t="array" ref="N1886">_xlfn.IFS(M1886&gt;=50,"50-60 Days", M1886&gt;=40,"40-50 Days", M1886&gt;=30, "30-40 Days", M1886&gt;=20, "20-30 Days", M1886&gt;=10, "10-20 Days", M1886&gt;=0, "0-10 Days")</f>
        <v>10-20 Days</v>
      </c>
    </row>
    <row r="1887" spans="1:14">
      <c r="A1887">
        <v>1886</v>
      </c>
      <c r="B1887" t="s">
        <v>28</v>
      </c>
      <c r="C1887" s="5">
        <v>45091</v>
      </c>
      <c r="D1887" s="8">
        <v>45091</v>
      </c>
      <c r="E1887" s="8">
        <f>IF(B1887="Inactive", EDATE(D1887,K1887), "")</f>
        <v>45152</v>
      </c>
      <c r="F1887" t="s">
        <v>10</v>
      </c>
      <c r="G1887">
        <v>2</v>
      </c>
      <c r="H1887" t="str" cm="1">
        <f t="array" ref="H1887">_xlfn.IFS(G1887&gt;=20,"20-25", G1887&gt;=15,"15-20", G1887&gt;=10,"10-15", G1887&gt;=5,"5-10", G1887&gt;=1,"1-5", G1887&lt;1,"Less than 1")</f>
        <v>1-5</v>
      </c>
      <c r="I1887">
        <v>6</v>
      </c>
      <c r="J1887">
        <v>1</v>
      </c>
      <c r="K1887" s="6">
        <v>2</v>
      </c>
      <c r="L1887" s="2">
        <v>6.99</v>
      </c>
      <c r="M1887" s="6">
        <v>9</v>
      </c>
      <c r="N1887" t="str" cm="1">
        <f t="array" ref="N1887">_xlfn.IFS(M1887&gt;=50,"50-60 Days", M1887&gt;=40,"40-50 Days", M1887&gt;=30, "30-40 Days", M1887&gt;=20, "20-30 Days", M1887&gt;=10, "10-20 Days", M1887&gt;=0, "0-10 Days")</f>
        <v>0-10 Days</v>
      </c>
    </row>
    <row r="1888" spans="1:14">
      <c r="A1888">
        <v>1887</v>
      </c>
      <c r="B1888" t="s">
        <v>28</v>
      </c>
      <c r="C1888" s="5">
        <v>45285</v>
      </c>
      <c r="D1888" s="8">
        <v>45285</v>
      </c>
      <c r="E1888" s="8">
        <f>IF(B1888="Inactive", EDATE(D1888,K1888), "")</f>
        <v>45560</v>
      </c>
      <c r="F1888" t="s">
        <v>12</v>
      </c>
      <c r="G1888">
        <v>19.8</v>
      </c>
      <c r="H1888" t="str" cm="1">
        <f t="array" ref="H1888">_xlfn.IFS(G1888&gt;=20,"20-25", G1888&gt;=15,"15-20", G1888&gt;=10,"10-15", G1888&gt;=5,"5-10", G1888&gt;=1,"1-5", G1888&lt;1,"Less than 1")</f>
        <v>15-20</v>
      </c>
      <c r="I1888">
        <v>6</v>
      </c>
      <c r="J1888">
        <v>3</v>
      </c>
      <c r="K1888" s="6">
        <v>9</v>
      </c>
      <c r="L1888" s="2">
        <v>1.99</v>
      </c>
      <c r="M1888" s="6">
        <v>37</v>
      </c>
      <c r="N1888" t="str" cm="1">
        <f t="array" ref="N1888">_xlfn.IFS(M1888&gt;=50,"50-60 Days", M1888&gt;=40,"40-50 Days", M1888&gt;=30, "30-40 Days", M1888&gt;=20, "20-30 Days", M1888&gt;=10, "10-20 Days", M1888&gt;=0, "0-10 Days")</f>
        <v>30-40 Days</v>
      </c>
    </row>
    <row r="1889" spans="1:14">
      <c r="A1889">
        <v>1888</v>
      </c>
      <c r="B1889" t="s">
        <v>28</v>
      </c>
      <c r="C1889" s="5">
        <v>45526</v>
      </c>
      <c r="D1889" s="8">
        <v>45526</v>
      </c>
      <c r="E1889" s="8">
        <f>IF(B1889="Inactive", EDATE(D1889,K1889), "")</f>
        <v>45679</v>
      </c>
      <c r="F1889" t="s">
        <v>12</v>
      </c>
      <c r="G1889">
        <v>24.1</v>
      </c>
      <c r="H1889" t="str" cm="1">
        <f t="array" ref="H1889">_xlfn.IFS(G1889&gt;=20,"20-25", G1889&gt;=15,"15-20", G1889&gt;=10,"10-15", G1889&gt;=5,"5-10", G1889&gt;=1,"1-5", G1889&lt;1,"Less than 1")</f>
        <v>20-25</v>
      </c>
      <c r="I1889">
        <v>4</v>
      </c>
      <c r="J1889">
        <v>1</v>
      </c>
      <c r="K1889" s="6">
        <v>5</v>
      </c>
      <c r="L1889" s="2">
        <v>1.99</v>
      </c>
      <c r="M1889" s="6">
        <v>57</v>
      </c>
      <c r="N1889" t="str" cm="1">
        <f t="array" ref="N1889">_xlfn.IFS(M1889&gt;=50,"50-60 Days", M1889&gt;=40,"40-50 Days", M1889&gt;=30, "30-40 Days", M1889&gt;=20, "20-30 Days", M1889&gt;=10, "10-20 Days", M1889&gt;=0, "0-10 Days")</f>
        <v>50-60 Days</v>
      </c>
    </row>
    <row r="1890" spans="1:14">
      <c r="A1890">
        <v>1889</v>
      </c>
      <c r="B1890" t="s">
        <v>29</v>
      </c>
      <c r="C1890" s="5">
        <v>44938</v>
      </c>
      <c r="D1890" s="8">
        <v>44938</v>
      </c>
      <c r="E1890" s="8" t="str">
        <f>IF(B1890="Inactive", EDATE(D1890,K1890), "")</f>
        <v/>
      </c>
      <c r="F1890" t="s">
        <v>10</v>
      </c>
      <c r="G1890">
        <v>5.5</v>
      </c>
      <c r="H1890" t="str" cm="1">
        <f t="array" ref="H1890">_xlfn.IFS(G1890&gt;=20,"20-25", G1890&gt;=15,"15-20", G1890&gt;=10,"10-15", G1890&gt;=5,"5-10", G1890&gt;=1,"1-5", G1890&lt;1,"Less than 1")</f>
        <v>5-10</v>
      </c>
      <c r="I1890">
        <v>2</v>
      </c>
      <c r="J1890">
        <v>5</v>
      </c>
      <c r="K1890" s="6">
        <v>4</v>
      </c>
      <c r="L1890" s="2">
        <v>6.99</v>
      </c>
      <c r="M1890" s="6">
        <v>17</v>
      </c>
      <c r="N1890" t="str" cm="1">
        <f t="array" ref="N1890">_xlfn.IFS(M1890&gt;=50,"50-60 Days", M1890&gt;=40,"40-50 Days", M1890&gt;=30, "30-40 Days", M1890&gt;=20, "20-30 Days", M1890&gt;=10, "10-20 Days", M1890&gt;=0, "0-10 Days")</f>
        <v>10-20 Days</v>
      </c>
    </row>
    <row r="1891" spans="1:14">
      <c r="A1891">
        <v>1890</v>
      </c>
      <c r="B1891" t="s">
        <v>29</v>
      </c>
      <c r="C1891" s="5">
        <v>45409</v>
      </c>
      <c r="D1891" s="8">
        <v>45409</v>
      </c>
      <c r="E1891" s="8" t="str">
        <f>IF(B1891="Inactive", EDATE(D1891,K1891), "")</f>
        <v/>
      </c>
      <c r="F1891" t="s">
        <v>10</v>
      </c>
      <c r="G1891">
        <v>13.3</v>
      </c>
      <c r="H1891" t="str" cm="1">
        <f t="array" ref="H1891">_xlfn.IFS(G1891&gt;=20,"20-25", G1891&gt;=15,"15-20", G1891&gt;=10,"10-15", G1891&gt;=5,"5-10", G1891&gt;=1,"1-5", G1891&lt;1,"Less than 1")</f>
        <v>10-15</v>
      </c>
      <c r="I1891">
        <v>8</v>
      </c>
      <c r="J1891">
        <v>0</v>
      </c>
      <c r="K1891" s="6">
        <v>3</v>
      </c>
      <c r="L1891" s="2">
        <v>6.99</v>
      </c>
      <c r="M1891" s="6">
        <v>49</v>
      </c>
      <c r="N1891" t="str" cm="1">
        <f t="array" ref="N1891">_xlfn.IFS(M1891&gt;=50,"50-60 Days", M1891&gt;=40,"40-50 Days", M1891&gt;=30, "30-40 Days", M1891&gt;=20, "20-30 Days", M1891&gt;=10, "10-20 Days", M1891&gt;=0, "0-10 Days")</f>
        <v>40-50 Days</v>
      </c>
    </row>
    <row r="1892" spans="1:14">
      <c r="A1892">
        <v>1891</v>
      </c>
      <c r="B1892" t="s">
        <v>29</v>
      </c>
      <c r="C1892" s="5">
        <v>45084</v>
      </c>
      <c r="D1892" s="8">
        <v>45084</v>
      </c>
      <c r="E1892" s="8" t="str">
        <f>IF(B1892="Inactive", EDATE(D1892,K1892), "")</f>
        <v/>
      </c>
      <c r="F1892" t="s">
        <v>12</v>
      </c>
      <c r="G1892">
        <v>7.8</v>
      </c>
      <c r="H1892" t="str" cm="1">
        <f t="array" ref="H1892">_xlfn.IFS(G1892&gt;=20,"20-25", G1892&gt;=15,"15-20", G1892&gt;=10,"10-15", G1892&gt;=5,"5-10", G1892&gt;=1,"1-5", G1892&lt;1,"Less than 1")</f>
        <v>5-10</v>
      </c>
      <c r="I1892">
        <v>1</v>
      </c>
      <c r="J1892">
        <v>4</v>
      </c>
      <c r="K1892" s="6">
        <v>10</v>
      </c>
      <c r="L1892" s="2">
        <v>1.99</v>
      </c>
      <c r="M1892" s="6">
        <v>47</v>
      </c>
      <c r="N1892" t="str" cm="1">
        <f t="array" ref="N1892">_xlfn.IFS(M1892&gt;=50,"50-60 Days", M1892&gt;=40,"40-50 Days", M1892&gt;=30, "30-40 Days", M1892&gt;=20, "20-30 Days", M1892&gt;=10, "10-20 Days", M1892&gt;=0, "0-10 Days")</f>
        <v>40-50 Days</v>
      </c>
    </row>
    <row r="1893" spans="1:14">
      <c r="A1893">
        <v>1892</v>
      </c>
      <c r="B1893" t="s">
        <v>29</v>
      </c>
      <c r="C1893" s="5">
        <v>45042</v>
      </c>
      <c r="D1893" s="8">
        <v>45042</v>
      </c>
      <c r="E1893" s="8" t="str">
        <f>IF(B1893="Inactive", EDATE(D1893,K1893), "")</f>
        <v/>
      </c>
      <c r="F1893" t="s">
        <v>12</v>
      </c>
      <c r="G1893">
        <v>21.9</v>
      </c>
      <c r="H1893" t="str" cm="1">
        <f t="array" ref="H1893">_xlfn.IFS(G1893&gt;=20,"20-25", G1893&gt;=15,"15-20", G1893&gt;=10,"10-15", G1893&gt;=5,"5-10", G1893&gt;=1,"1-5", G1893&lt;1,"Less than 1")</f>
        <v>20-25</v>
      </c>
      <c r="I1893">
        <v>0</v>
      </c>
      <c r="J1893">
        <v>3</v>
      </c>
      <c r="K1893" s="6">
        <v>8</v>
      </c>
      <c r="L1893" s="2">
        <v>1.99</v>
      </c>
      <c r="M1893" s="6">
        <v>53</v>
      </c>
      <c r="N1893" t="str" cm="1">
        <f t="array" ref="N1893">_xlfn.IFS(M1893&gt;=50,"50-60 Days", M1893&gt;=40,"40-50 Days", M1893&gt;=30, "30-40 Days", M1893&gt;=20, "20-30 Days", M1893&gt;=10, "10-20 Days", M1893&gt;=0, "0-10 Days")</f>
        <v>50-60 Days</v>
      </c>
    </row>
    <row r="1894" spans="1:14">
      <c r="A1894">
        <v>1893</v>
      </c>
      <c r="B1894" t="s">
        <v>29</v>
      </c>
      <c r="C1894" s="5">
        <v>45425</v>
      </c>
      <c r="D1894" s="8">
        <v>45425</v>
      </c>
      <c r="E1894" s="8" t="str">
        <f>IF(B1894="Inactive", EDATE(D1894,K1894), "")</f>
        <v/>
      </c>
      <c r="F1894" t="s">
        <v>10</v>
      </c>
      <c r="G1894">
        <v>10.9</v>
      </c>
      <c r="H1894" t="str" cm="1">
        <f t="array" ref="H1894">_xlfn.IFS(G1894&gt;=20,"20-25", G1894&gt;=15,"15-20", G1894&gt;=10,"10-15", G1894&gt;=5,"5-10", G1894&gt;=1,"1-5", G1894&lt;1,"Less than 1")</f>
        <v>10-15</v>
      </c>
      <c r="I1894">
        <v>2</v>
      </c>
      <c r="J1894">
        <v>5</v>
      </c>
      <c r="K1894" s="6">
        <v>10</v>
      </c>
      <c r="L1894" s="2">
        <v>6.99</v>
      </c>
      <c r="M1894" s="6">
        <v>44</v>
      </c>
      <c r="N1894" t="str" cm="1">
        <f t="array" ref="N1894">_xlfn.IFS(M1894&gt;=50,"50-60 Days", M1894&gt;=40,"40-50 Days", M1894&gt;=30, "30-40 Days", M1894&gt;=20, "20-30 Days", M1894&gt;=10, "10-20 Days", M1894&gt;=0, "0-10 Days")</f>
        <v>40-50 Days</v>
      </c>
    </row>
    <row r="1895" spans="1:14">
      <c r="A1895">
        <v>1894</v>
      </c>
      <c r="B1895" t="s">
        <v>29</v>
      </c>
      <c r="C1895" s="5">
        <v>45298</v>
      </c>
      <c r="D1895" s="8">
        <v>45298</v>
      </c>
      <c r="E1895" s="8" t="str">
        <f>IF(B1895="Inactive", EDATE(D1895,K1895), "")</f>
        <v/>
      </c>
      <c r="F1895" t="s">
        <v>14</v>
      </c>
      <c r="G1895">
        <v>13.3</v>
      </c>
      <c r="H1895" t="str" cm="1">
        <f t="array" ref="H1895">_xlfn.IFS(G1895&gt;=20,"20-25", G1895&gt;=15,"15-20", G1895&gt;=10,"10-15", G1895&gt;=5,"5-10", G1895&gt;=1,"1-5", G1895&lt;1,"Less than 1")</f>
        <v>10-15</v>
      </c>
      <c r="I1895">
        <v>1</v>
      </c>
      <c r="J1895">
        <v>5</v>
      </c>
      <c r="K1895" s="6">
        <v>5</v>
      </c>
      <c r="L1895" s="2">
        <v>3.99</v>
      </c>
      <c r="M1895" s="6">
        <v>38</v>
      </c>
      <c r="N1895" t="str" cm="1">
        <f t="array" ref="N1895">_xlfn.IFS(M1895&gt;=50,"50-60 Days", M1895&gt;=40,"40-50 Days", M1895&gt;=30, "30-40 Days", M1895&gt;=20, "20-30 Days", M1895&gt;=10, "10-20 Days", M1895&gt;=0, "0-10 Days")</f>
        <v>30-40 Days</v>
      </c>
    </row>
    <row r="1896" spans="1:14">
      <c r="A1896">
        <v>1895</v>
      </c>
      <c r="B1896" t="s">
        <v>29</v>
      </c>
      <c r="C1896" s="5">
        <v>45213</v>
      </c>
      <c r="D1896" s="8">
        <v>45213</v>
      </c>
      <c r="E1896" s="8" t="str">
        <f>IF(B1896="Inactive", EDATE(D1896,K1896), "")</f>
        <v/>
      </c>
      <c r="F1896" t="s">
        <v>12</v>
      </c>
      <c r="G1896">
        <v>21</v>
      </c>
      <c r="H1896" t="str" cm="1">
        <f t="array" ref="H1896">_xlfn.IFS(G1896&gt;=20,"20-25", G1896&gt;=15,"15-20", G1896&gt;=10,"10-15", G1896&gt;=5,"5-10", G1896&gt;=1,"1-5", G1896&lt;1,"Less than 1")</f>
        <v>20-25</v>
      </c>
      <c r="I1896">
        <v>6</v>
      </c>
      <c r="J1896">
        <v>3</v>
      </c>
      <c r="K1896" s="6">
        <v>11</v>
      </c>
      <c r="L1896" s="2">
        <v>1.99</v>
      </c>
      <c r="M1896" s="6">
        <v>3</v>
      </c>
      <c r="N1896" t="str" cm="1">
        <f t="array" ref="N1896">_xlfn.IFS(M1896&gt;=50,"50-60 Days", M1896&gt;=40,"40-50 Days", M1896&gt;=30, "30-40 Days", M1896&gt;=20, "20-30 Days", M1896&gt;=10, "10-20 Days", M1896&gt;=0, "0-10 Days")</f>
        <v>0-10 Days</v>
      </c>
    </row>
    <row r="1897" spans="1:14">
      <c r="A1897">
        <v>1896</v>
      </c>
      <c r="B1897" t="s">
        <v>28</v>
      </c>
      <c r="C1897" s="5">
        <v>45184</v>
      </c>
      <c r="D1897" s="8">
        <v>45184</v>
      </c>
      <c r="E1897" s="8">
        <f>IF(B1897="Inactive", EDATE(D1897,K1897), "")</f>
        <v>45366</v>
      </c>
      <c r="F1897" t="s">
        <v>10</v>
      </c>
      <c r="G1897">
        <v>22.7</v>
      </c>
      <c r="H1897" t="str" cm="1">
        <f t="array" ref="H1897">_xlfn.IFS(G1897&gt;=20,"20-25", G1897&gt;=15,"15-20", G1897&gt;=10,"10-15", G1897&gt;=5,"5-10", G1897&gt;=1,"1-5", G1897&lt;1,"Less than 1")</f>
        <v>20-25</v>
      </c>
      <c r="I1897">
        <v>8</v>
      </c>
      <c r="J1897">
        <v>2</v>
      </c>
      <c r="K1897" s="6">
        <v>6</v>
      </c>
      <c r="L1897" s="2">
        <v>6.99</v>
      </c>
      <c r="M1897" s="6">
        <v>26</v>
      </c>
      <c r="N1897" t="str" cm="1">
        <f t="array" ref="N1897">_xlfn.IFS(M1897&gt;=50,"50-60 Days", M1897&gt;=40,"40-50 Days", M1897&gt;=30, "30-40 Days", M1897&gt;=20, "20-30 Days", M1897&gt;=10, "10-20 Days", M1897&gt;=0, "0-10 Days")</f>
        <v>20-30 Days</v>
      </c>
    </row>
    <row r="1898" spans="1:14">
      <c r="A1898">
        <v>1897</v>
      </c>
      <c r="B1898" t="s">
        <v>28</v>
      </c>
      <c r="C1898" s="5">
        <v>45532</v>
      </c>
      <c r="D1898" s="8">
        <v>45532</v>
      </c>
      <c r="E1898" s="8">
        <f>IF(B1898="Inactive", EDATE(D1898,K1898), "")</f>
        <v>45593</v>
      </c>
      <c r="F1898" t="s">
        <v>14</v>
      </c>
      <c r="G1898">
        <v>0.8</v>
      </c>
      <c r="H1898" t="str" cm="1">
        <f t="array" ref="H1898">_xlfn.IFS(G1898&gt;=20,"20-25", G1898&gt;=15,"15-20", G1898&gt;=10,"10-15", G1898&gt;=5,"5-10", G1898&gt;=1,"1-5", G1898&lt;1,"Less than 1")</f>
        <v>Less than 1</v>
      </c>
      <c r="I1898">
        <v>7</v>
      </c>
      <c r="J1898">
        <v>1</v>
      </c>
      <c r="K1898" s="6">
        <v>2</v>
      </c>
      <c r="L1898" s="2">
        <v>3.99</v>
      </c>
      <c r="M1898" s="6">
        <v>37</v>
      </c>
      <c r="N1898" t="str" cm="1">
        <f t="array" ref="N1898">_xlfn.IFS(M1898&gt;=50,"50-60 Days", M1898&gt;=40,"40-50 Days", M1898&gt;=30, "30-40 Days", M1898&gt;=20, "20-30 Days", M1898&gt;=10, "10-20 Days", M1898&gt;=0, "0-10 Days")</f>
        <v>30-40 Days</v>
      </c>
    </row>
    <row r="1899" spans="1:14">
      <c r="A1899">
        <v>1898</v>
      </c>
      <c r="B1899" t="s">
        <v>28</v>
      </c>
      <c r="C1899" s="5">
        <v>45311</v>
      </c>
      <c r="D1899" s="8">
        <v>45311</v>
      </c>
      <c r="E1899" s="8">
        <f>IF(B1899="Inactive", EDATE(D1899,K1899), "")</f>
        <v>45493</v>
      </c>
      <c r="F1899" t="s">
        <v>14</v>
      </c>
      <c r="G1899">
        <v>3</v>
      </c>
      <c r="H1899" t="str" cm="1">
        <f t="array" ref="H1899">_xlfn.IFS(G1899&gt;=20,"20-25", G1899&gt;=15,"15-20", G1899&gt;=10,"10-15", G1899&gt;=5,"5-10", G1899&gt;=1,"1-5", G1899&lt;1,"Less than 1")</f>
        <v>1-5</v>
      </c>
      <c r="I1899">
        <v>7</v>
      </c>
      <c r="J1899">
        <v>4</v>
      </c>
      <c r="K1899" s="6">
        <v>6</v>
      </c>
      <c r="L1899" s="2">
        <v>3.99</v>
      </c>
      <c r="M1899" s="6">
        <v>38</v>
      </c>
      <c r="N1899" t="str" cm="1">
        <f t="array" ref="N1899">_xlfn.IFS(M1899&gt;=50,"50-60 Days", M1899&gt;=40,"40-50 Days", M1899&gt;=30, "30-40 Days", M1899&gt;=20, "20-30 Days", M1899&gt;=10, "10-20 Days", M1899&gt;=0, "0-10 Days")</f>
        <v>30-40 Days</v>
      </c>
    </row>
    <row r="1900" spans="1:14">
      <c r="A1900">
        <v>1899</v>
      </c>
      <c r="B1900" t="s">
        <v>28</v>
      </c>
      <c r="C1900" s="5">
        <v>45585</v>
      </c>
      <c r="D1900" s="8">
        <v>45585</v>
      </c>
      <c r="E1900" s="8">
        <f>IF(B1900="Inactive", EDATE(D1900,K1900), "")</f>
        <v>45950</v>
      </c>
      <c r="F1900" t="s">
        <v>10</v>
      </c>
      <c r="G1900">
        <v>21.8</v>
      </c>
      <c r="H1900" t="str" cm="1">
        <f t="array" ref="H1900">_xlfn.IFS(G1900&gt;=20,"20-25", G1900&gt;=15,"15-20", G1900&gt;=10,"10-15", G1900&gt;=5,"5-10", G1900&gt;=1,"1-5", G1900&lt;1,"Less than 1")</f>
        <v>20-25</v>
      </c>
      <c r="I1900">
        <v>6</v>
      </c>
      <c r="J1900">
        <v>0</v>
      </c>
      <c r="K1900" s="6">
        <v>12</v>
      </c>
      <c r="L1900" s="2">
        <v>6.99</v>
      </c>
      <c r="M1900" s="6">
        <v>38</v>
      </c>
      <c r="N1900" t="str" cm="1">
        <f t="array" ref="N1900">_xlfn.IFS(M1900&gt;=50,"50-60 Days", M1900&gt;=40,"40-50 Days", M1900&gt;=30, "30-40 Days", M1900&gt;=20, "20-30 Days", M1900&gt;=10, "10-20 Days", M1900&gt;=0, "0-10 Days")</f>
        <v>30-40 Days</v>
      </c>
    </row>
    <row r="1901" spans="1:14">
      <c r="A1901">
        <v>1900</v>
      </c>
      <c r="B1901" t="s">
        <v>28</v>
      </c>
      <c r="C1901" s="5">
        <v>45545</v>
      </c>
      <c r="D1901" s="8">
        <v>45545</v>
      </c>
      <c r="E1901" s="8">
        <f>IF(B1901="Inactive", EDATE(D1901,K1901), "")</f>
        <v>45636</v>
      </c>
      <c r="F1901" t="s">
        <v>12</v>
      </c>
      <c r="G1901">
        <v>3.4</v>
      </c>
      <c r="H1901" t="str" cm="1">
        <f t="array" ref="H1901">_xlfn.IFS(G1901&gt;=20,"20-25", G1901&gt;=15,"15-20", G1901&gt;=10,"10-15", G1901&gt;=5,"5-10", G1901&gt;=1,"1-5", G1901&lt;1,"Less than 1")</f>
        <v>1-5</v>
      </c>
      <c r="I1901">
        <v>3</v>
      </c>
      <c r="J1901">
        <v>2</v>
      </c>
      <c r="K1901" s="6">
        <v>3</v>
      </c>
      <c r="L1901" s="2">
        <v>1.99</v>
      </c>
      <c r="M1901" s="6">
        <v>37</v>
      </c>
      <c r="N1901" t="str" cm="1">
        <f t="array" ref="N1901">_xlfn.IFS(M1901&gt;=50,"50-60 Days", M1901&gt;=40,"40-50 Days", M1901&gt;=30, "30-40 Days", M1901&gt;=20, "20-30 Days", M1901&gt;=10, "10-20 Days", M1901&gt;=0, "0-10 Days")</f>
        <v>30-40 Days</v>
      </c>
    </row>
    <row r="1902" spans="1:14">
      <c r="A1902">
        <v>1901</v>
      </c>
      <c r="B1902" t="s">
        <v>29</v>
      </c>
      <c r="C1902" s="5">
        <v>45398</v>
      </c>
      <c r="D1902" s="8">
        <v>45398</v>
      </c>
      <c r="E1902" s="8" t="str">
        <f>IF(B1902="Inactive", EDATE(D1902,K1902), "")</f>
        <v/>
      </c>
      <c r="F1902" t="s">
        <v>14</v>
      </c>
      <c r="G1902">
        <v>18.100000000000001</v>
      </c>
      <c r="H1902" t="str" cm="1">
        <f t="array" ref="H1902">_xlfn.IFS(G1902&gt;=20,"20-25", G1902&gt;=15,"15-20", G1902&gt;=10,"10-15", G1902&gt;=5,"5-10", G1902&gt;=1,"1-5", G1902&lt;1,"Less than 1")</f>
        <v>15-20</v>
      </c>
      <c r="I1902">
        <v>0</v>
      </c>
      <c r="J1902">
        <v>2</v>
      </c>
      <c r="K1902" s="6">
        <v>9</v>
      </c>
      <c r="L1902" s="2">
        <v>3.99</v>
      </c>
      <c r="M1902" s="6">
        <v>41</v>
      </c>
      <c r="N1902" t="str" cm="1">
        <f t="array" ref="N1902">_xlfn.IFS(M1902&gt;=50,"50-60 Days", M1902&gt;=40,"40-50 Days", M1902&gt;=30, "30-40 Days", M1902&gt;=20, "20-30 Days", M1902&gt;=10, "10-20 Days", M1902&gt;=0, "0-10 Days")</f>
        <v>40-50 Days</v>
      </c>
    </row>
    <row r="1903" spans="1:14">
      <c r="A1903">
        <v>1902</v>
      </c>
      <c r="B1903" t="s">
        <v>28</v>
      </c>
      <c r="C1903" s="5">
        <v>45612</v>
      </c>
      <c r="D1903" s="8">
        <v>45612</v>
      </c>
      <c r="E1903" s="8">
        <f>IF(B1903="Inactive", EDATE(D1903,K1903), "")</f>
        <v>45977</v>
      </c>
      <c r="F1903" t="s">
        <v>10</v>
      </c>
      <c r="G1903">
        <v>1.4</v>
      </c>
      <c r="H1903" t="str" cm="1">
        <f t="array" ref="H1903">_xlfn.IFS(G1903&gt;=20,"20-25", G1903&gt;=15,"15-20", G1903&gt;=10,"10-15", G1903&gt;=5,"5-10", G1903&gt;=1,"1-5", G1903&lt;1,"Less than 1")</f>
        <v>1-5</v>
      </c>
      <c r="I1903">
        <v>6</v>
      </c>
      <c r="J1903">
        <v>5</v>
      </c>
      <c r="K1903" s="6">
        <v>12</v>
      </c>
      <c r="L1903" s="2">
        <v>6.99</v>
      </c>
      <c r="M1903" s="6">
        <v>47</v>
      </c>
      <c r="N1903" t="str" cm="1">
        <f t="array" ref="N1903">_xlfn.IFS(M1903&gt;=50,"50-60 Days", M1903&gt;=40,"40-50 Days", M1903&gt;=30, "30-40 Days", M1903&gt;=20, "20-30 Days", M1903&gt;=10, "10-20 Days", M1903&gt;=0, "0-10 Days")</f>
        <v>40-50 Days</v>
      </c>
    </row>
    <row r="1904" spans="1:14">
      <c r="A1904">
        <v>1903</v>
      </c>
      <c r="B1904" t="s">
        <v>28</v>
      </c>
      <c r="C1904" s="5">
        <v>45226</v>
      </c>
      <c r="D1904" s="8">
        <v>45226</v>
      </c>
      <c r="E1904" s="8">
        <f>IF(B1904="Inactive", EDATE(D1904,K1904), "")</f>
        <v>45378</v>
      </c>
      <c r="F1904" t="s">
        <v>12</v>
      </c>
      <c r="G1904">
        <v>14.4</v>
      </c>
      <c r="H1904" t="str" cm="1">
        <f t="array" ref="H1904">_xlfn.IFS(G1904&gt;=20,"20-25", G1904&gt;=15,"15-20", G1904&gt;=10,"10-15", G1904&gt;=5,"5-10", G1904&gt;=1,"1-5", G1904&lt;1,"Less than 1")</f>
        <v>10-15</v>
      </c>
      <c r="I1904">
        <v>0</v>
      </c>
      <c r="J1904">
        <v>5</v>
      </c>
      <c r="K1904" s="6">
        <v>5</v>
      </c>
      <c r="L1904" s="2">
        <v>1.99</v>
      </c>
      <c r="M1904" s="6">
        <v>60</v>
      </c>
      <c r="N1904" t="str" cm="1">
        <f t="array" ref="N1904">_xlfn.IFS(M1904&gt;=50,"50-60 Days", M1904&gt;=40,"40-50 Days", M1904&gt;=30, "30-40 Days", M1904&gt;=20, "20-30 Days", M1904&gt;=10, "10-20 Days", M1904&gt;=0, "0-10 Days")</f>
        <v>50-60 Days</v>
      </c>
    </row>
    <row r="1905" spans="1:14">
      <c r="A1905">
        <v>1904</v>
      </c>
      <c r="B1905" t="s">
        <v>28</v>
      </c>
      <c r="C1905" s="5">
        <v>45287</v>
      </c>
      <c r="D1905" s="8">
        <v>45287</v>
      </c>
      <c r="E1905" s="8">
        <f>IF(B1905="Inactive", EDATE(D1905,K1905), "")</f>
        <v>45318</v>
      </c>
      <c r="F1905" t="s">
        <v>14</v>
      </c>
      <c r="G1905">
        <v>18.399999999999999</v>
      </c>
      <c r="H1905" t="str" cm="1">
        <f t="array" ref="H1905">_xlfn.IFS(G1905&gt;=20,"20-25", G1905&gt;=15,"15-20", G1905&gt;=10,"10-15", G1905&gt;=5,"5-10", G1905&gt;=1,"1-5", G1905&lt;1,"Less than 1")</f>
        <v>15-20</v>
      </c>
      <c r="I1905">
        <v>4</v>
      </c>
      <c r="J1905">
        <v>2</v>
      </c>
      <c r="K1905" s="6">
        <v>1</v>
      </c>
      <c r="L1905" s="2">
        <v>3.99</v>
      </c>
      <c r="M1905" s="6">
        <v>52</v>
      </c>
      <c r="N1905" t="str" cm="1">
        <f t="array" ref="N1905">_xlfn.IFS(M1905&gt;=50,"50-60 Days", M1905&gt;=40,"40-50 Days", M1905&gt;=30, "30-40 Days", M1905&gt;=20, "20-30 Days", M1905&gt;=10, "10-20 Days", M1905&gt;=0, "0-10 Days")</f>
        <v>50-60 Days</v>
      </c>
    </row>
    <row r="1906" spans="1:14">
      <c r="A1906">
        <v>1905</v>
      </c>
      <c r="B1906" t="s">
        <v>29</v>
      </c>
      <c r="C1906" s="5">
        <v>45577</v>
      </c>
      <c r="D1906" s="8">
        <v>45577</v>
      </c>
      <c r="E1906" s="8" t="str">
        <f>IF(B1906="Inactive", EDATE(D1906,K1906), "")</f>
        <v/>
      </c>
      <c r="F1906" t="s">
        <v>12</v>
      </c>
      <c r="G1906">
        <v>11.4</v>
      </c>
      <c r="H1906" t="str" cm="1">
        <f t="array" ref="H1906">_xlfn.IFS(G1906&gt;=20,"20-25", G1906&gt;=15,"15-20", G1906&gt;=10,"10-15", G1906&gt;=5,"5-10", G1906&gt;=1,"1-5", G1906&lt;1,"Less than 1")</f>
        <v>10-15</v>
      </c>
      <c r="I1906">
        <v>0</v>
      </c>
      <c r="J1906">
        <v>2</v>
      </c>
      <c r="K1906" s="6">
        <v>6</v>
      </c>
      <c r="L1906" s="2">
        <v>1.99</v>
      </c>
      <c r="M1906" s="6">
        <v>29</v>
      </c>
      <c r="N1906" t="str" cm="1">
        <f t="array" ref="N1906">_xlfn.IFS(M1906&gt;=50,"50-60 Days", M1906&gt;=40,"40-50 Days", M1906&gt;=30, "30-40 Days", M1906&gt;=20, "20-30 Days", M1906&gt;=10, "10-20 Days", M1906&gt;=0, "0-10 Days")</f>
        <v>20-30 Days</v>
      </c>
    </row>
    <row r="1907" spans="1:14">
      <c r="A1907">
        <v>1906</v>
      </c>
      <c r="B1907" t="s">
        <v>29</v>
      </c>
      <c r="C1907" s="5">
        <v>45283</v>
      </c>
      <c r="D1907" s="8">
        <v>45283</v>
      </c>
      <c r="E1907" s="8" t="str">
        <f>IF(B1907="Inactive", EDATE(D1907,K1907), "")</f>
        <v/>
      </c>
      <c r="F1907" t="s">
        <v>14</v>
      </c>
      <c r="G1907">
        <v>5.6</v>
      </c>
      <c r="H1907" t="str" cm="1">
        <f t="array" ref="H1907">_xlfn.IFS(G1907&gt;=20,"20-25", G1907&gt;=15,"15-20", G1907&gt;=10,"10-15", G1907&gt;=5,"5-10", G1907&gt;=1,"1-5", G1907&lt;1,"Less than 1")</f>
        <v>5-10</v>
      </c>
      <c r="I1907">
        <v>8</v>
      </c>
      <c r="J1907">
        <v>5</v>
      </c>
      <c r="K1907" s="6">
        <v>4</v>
      </c>
      <c r="L1907" s="2">
        <v>3.99</v>
      </c>
      <c r="M1907" s="6">
        <v>20</v>
      </c>
      <c r="N1907" t="str" cm="1">
        <f t="array" ref="N1907">_xlfn.IFS(M1907&gt;=50,"50-60 Days", M1907&gt;=40,"40-50 Days", M1907&gt;=30, "30-40 Days", M1907&gt;=20, "20-30 Days", M1907&gt;=10, "10-20 Days", M1907&gt;=0, "0-10 Days")</f>
        <v>20-30 Days</v>
      </c>
    </row>
    <row r="1908" spans="1:14">
      <c r="A1908">
        <v>1907</v>
      </c>
      <c r="B1908" t="s">
        <v>28</v>
      </c>
      <c r="C1908" s="5">
        <v>45160</v>
      </c>
      <c r="D1908" s="8">
        <v>45160</v>
      </c>
      <c r="E1908" s="8">
        <f>IF(B1908="Inactive", EDATE(D1908,K1908), "")</f>
        <v>45495</v>
      </c>
      <c r="F1908" t="s">
        <v>12</v>
      </c>
      <c r="G1908">
        <v>21.5</v>
      </c>
      <c r="H1908" t="str" cm="1">
        <f t="array" ref="H1908">_xlfn.IFS(G1908&gt;=20,"20-25", G1908&gt;=15,"15-20", G1908&gt;=10,"10-15", G1908&gt;=5,"5-10", G1908&gt;=1,"1-5", G1908&lt;1,"Less than 1")</f>
        <v>20-25</v>
      </c>
      <c r="I1908">
        <v>5</v>
      </c>
      <c r="J1908">
        <v>2</v>
      </c>
      <c r="K1908" s="6">
        <v>11</v>
      </c>
      <c r="L1908" s="2">
        <v>1.99</v>
      </c>
      <c r="M1908" s="6">
        <v>39</v>
      </c>
      <c r="N1908" t="str" cm="1">
        <f t="array" ref="N1908">_xlfn.IFS(M1908&gt;=50,"50-60 Days", M1908&gt;=40,"40-50 Days", M1908&gt;=30, "30-40 Days", M1908&gt;=20, "20-30 Days", M1908&gt;=10, "10-20 Days", M1908&gt;=0, "0-10 Days")</f>
        <v>30-40 Days</v>
      </c>
    </row>
    <row r="1909" spans="1:14">
      <c r="A1909">
        <v>1908</v>
      </c>
      <c r="B1909" t="s">
        <v>28</v>
      </c>
      <c r="C1909" s="5">
        <v>45436</v>
      </c>
      <c r="D1909" s="8">
        <v>45436</v>
      </c>
      <c r="E1909" s="8">
        <f>IF(B1909="Inactive", EDATE(D1909,K1909), "")</f>
        <v>45650</v>
      </c>
      <c r="F1909" t="s">
        <v>14</v>
      </c>
      <c r="G1909">
        <v>3</v>
      </c>
      <c r="H1909" t="str" cm="1">
        <f t="array" ref="H1909">_xlfn.IFS(G1909&gt;=20,"20-25", G1909&gt;=15,"15-20", G1909&gt;=10,"10-15", G1909&gt;=5,"5-10", G1909&gt;=1,"1-5", G1909&lt;1,"Less than 1")</f>
        <v>1-5</v>
      </c>
      <c r="I1909">
        <v>1</v>
      </c>
      <c r="J1909">
        <v>5</v>
      </c>
      <c r="K1909" s="6">
        <v>7</v>
      </c>
      <c r="L1909" s="2">
        <v>3.99</v>
      </c>
      <c r="M1909" s="6">
        <v>25</v>
      </c>
      <c r="N1909" t="str" cm="1">
        <f t="array" ref="N1909">_xlfn.IFS(M1909&gt;=50,"50-60 Days", M1909&gt;=40,"40-50 Days", M1909&gt;=30, "30-40 Days", M1909&gt;=20, "20-30 Days", M1909&gt;=10, "10-20 Days", M1909&gt;=0, "0-10 Days")</f>
        <v>20-30 Days</v>
      </c>
    </row>
    <row r="1910" spans="1:14">
      <c r="A1910">
        <v>1909</v>
      </c>
      <c r="B1910" t="s">
        <v>29</v>
      </c>
      <c r="C1910" s="5">
        <v>45286</v>
      </c>
      <c r="D1910" s="8">
        <v>45286</v>
      </c>
      <c r="E1910" s="8" t="str">
        <f>IF(B1910="Inactive", EDATE(D1910,K1910), "")</f>
        <v/>
      </c>
      <c r="F1910" t="s">
        <v>10</v>
      </c>
      <c r="G1910">
        <v>19</v>
      </c>
      <c r="H1910" t="str" cm="1">
        <f t="array" ref="H1910">_xlfn.IFS(G1910&gt;=20,"20-25", G1910&gt;=15,"15-20", G1910&gt;=10,"10-15", G1910&gt;=5,"5-10", G1910&gt;=1,"1-5", G1910&lt;1,"Less than 1")</f>
        <v>15-20</v>
      </c>
      <c r="I1910">
        <v>3</v>
      </c>
      <c r="J1910">
        <v>2</v>
      </c>
      <c r="K1910" s="6">
        <v>4</v>
      </c>
      <c r="L1910" s="2">
        <v>6.99</v>
      </c>
      <c r="M1910" s="6">
        <v>54</v>
      </c>
      <c r="N1910" t="str" cm="1">
        <f t="array" ref="N1910">_xlfn.IFS(M1910&gt;=50,"50-60 Days", M1910&gt;=40,"40-50 Days", M1910&gt;=30, "30-40 Days", M1910&gt;=20, "20-30 Days", M1910&gt;=10, "10-20 Days", M1910&gt;=0, "0-10 Days")</f>
        <v>50-60 Days</v>
      </c>
    </row>
    <row r="1911" spans="1:14">
      <c r="A1911">
        <v>1910</v>
      </c>
      <c r="B1911" t="s">
        <v>28</v>
      </c>
      <c r="C1911" s="5">
        <v>45121</v>
      </c>
      <c r="D1911" s="8">
        <v>45121</v>
      </c>
      <c r="E1911" s="8">
        <f>IF(B1911="Inactive", EDATE(D1911,K1911), "")</f>
        <v>45426</v>
      </c>
      <c r="F1911" t="s">
        <v>14</v>
      </c>
      <c r="G1911">
        <v>22.4</v>
      </c>
      <c r="H1911" t="str" cm="1">
        <f t="array" ref="H1911">_xlfn.IFS(G1911&gt;=20,"20-25", G1911&gt;=15,"15-20", G1911&gt;=10,"10-15", G1911&gt;=5,"5-10", G1911&gt;=1,"1-5", G1911&lt;1,"Less than 1")</f>
        <v>20-25</v>
      </c>
      <c r="I1911">
        <v>2</v>
      </c>
      <c r="J1911">
        <v>1</v>
      </c>
      <c r="K1911" s="6">
        <v>10</v>
      </c>
      <c r="L1911" s="2">
        <v>3.99</v>
      </c>
      <c r="M1911" s="6">
        <v>20</v>
      </c>
      <c r="N1911" t="str" cm="1">
        <f t="array" ref="N1911">_xlfn.IFS(M1911&gt;=50,"50-60 Days", M1911&gt;=40,"40-50 Days", M1911&gt;=30, "30-40 Days", M1911&gt;=20, "20-30 Days", M1911&gt;=10, "10-20 Days", M1911&gt;=0, "0-10 Days")</f>
        <v>20-30 Days</v>
      </c>
    </row>
    <row r="1912" spans="1:14">
      <c r="A1912">
        <v>1911</v>
      </c>
      <c r="B1912" t="s">
        <v>28</v>
      </c>
      <c r="C1912" s="5">
        <v>45109</v>
      </c>
      <c r="D1912" s="8">
        <v>45109</v>
      </c>
      <c r="E1912" s="8">
        <f>IF(B1912="Inactive", EDATE(D1912,K1912), "")</f>
        <v>45324</v>
      </c>
      <c r="F1912" t="s">
        <v>10</v>
      </c>
      <c r="G1912">
        <v>22.8</v>
      </c>
      <c r="H1912" t="str" cm="1">
        <f t="array" ref="H1912">_xlfn.IFS(G1912&gt;=20,"20-25", G1912&gt;=15,"15-20", G1912&gt;=10,"10-15", G1912&gt;=5,"5-10", G1912&gt;=1,"1-5", G1912&lt;1,"Less than 1")</f>
        <v>20-25</v>
      </c>
      <c r="I1912">
        <v>8</v>
      </c>
      <c r="J1912">
        <v>2</v>
      </c>
      <c r="K1912" s="6">
        <v>7</v>
      </c>
      <c r="L1912" s="2">
        <v>6.99</v>
      </c>
      <c r="M1912" s="6">
        <v>48</v>
      </c>
      <c r="N1912" t="str" cm="1">
        <f t="array" ref="N1912">_xlfn.IFS(M1912&gt;=50,"50-60 Days", M1912&gt;=40,"40-50 Days", M1912&gt;=30, "30-40 Days", M1912&gt;=20, "20-30 Days", M1912&gt;=10, "10-20 Days", M1912&gt;=0, "0-10 Days")</f>
        <v>40-50 Days</v>
      </c>
    </row>
    <row r="1913" spans="1:14">
      <c r="A1913">
        <v>1912</v>
      </c>
      <c r="B1913" t="s">
        <v>29</v>
      </c>
      <c r="C1913" s="5">
        <v>45606</v>
      </c>
      <c r="D1913" s="8">
        <v>45606</v>
      </c>
      <c r="E1913" s="8" t="str">
        <f>IF(B1913="Inactive", EDATE(D1913,K1913), "")</f>
        <v/>
      </c>
      <c r="F1913" t="s">
        <v>14</v>
      </c>
      <c r="G1913">
        <v>5.4</v>
      </c>
      <c r="H1913" t="str" cm="1">
        <f t="array" ref="H1913">_xlfn.IFS(G1913&gt;=20,"20-25", G1913&gt;=15,"15-20", G1913&gt;=10,"10-15", G1913&gt;=5,"5-10", G1913&gt;=1,"1-5", G1913&lt;1,"Less than 1")</f>
        <v>5-10</v>
      </c>
      <c r="I1913">
        <v>1</v>
      </c>
      <c r="J1913">
        <v>5</v>
      </c>
      <c r="K1913" s="6">
        <v>2</v>
      </c>
      <c r="L1913" s="2">
        <v>3.99</v>
      </c>
      <c r="M1913" s="6">
        <v>38</v>
      </c>
      <c r="N1913" t="str" cm="1">
        <f t="array" ref="N1913">_xlfn.IFS(M1913&gt;=50,"50-60 Days", M1913&gt;=40,"40-50 Days", M1913&gt;=30, "30-40 Days", M1913&gt;=20, "20-30 Days", M1913&gt;=10, "10-20 Days", M1913&gt;=0, "0-10 Days")</f>
        <v>30-40 Days</v>
      </c>
    </row>
    <row r="1914" spans="1:14">
      <c r="A1914">
        <v>1913</v>
      </c>
      <c r="B1914" t="s">
        <v>28</v>
      </c>
      <c r="C1914" s="5">
        <v>45321</v>
      </c>
      <c r="D1914" s="8">
        <v>45321</v>
      </c>
      <c r="E1914" s="8">
        <f>IF(B1914="Inactive", EDATE(D1914,K1914), "")</f>
        <v>45503</v>
      </c>
      <c r="F1914" t="s">
        <v>14</v>
      </c>
      <c r="G1914">
        <v>4.0999999999999996</v>
      </c>
      <c r="H1914" t="str" cm="1">
        <f t="array" ref="H1914">_xlfn.IFS(G1914&gt;=20,"20-25", G1914&gt;=15,"15-20", G1914&gt;=10,"10-15", G1914&gt;=5,"5-10", G1914&gt;=1,"1-5", G1914&lt;1,"Less than 1")</f>
        <v>1-5</v>
      </c>
      <c r="I1914">
        <v>5</v>
      </c>
      <c r="J1914">
        <v>4</v>
      </c>
      <c r="K1914" s="6">
        <v>6</v>
      </c>
      <c r="L1914" s="2">
        <v>3.99</v>
      </c>
      <c r="M1914" s="6">
        <v>22</v>
      </c>
      <c r="N1914" t="str" cm="1">
        <f t="array" ref="N1914">_xlfn.IFS(M1914&gt;=50,"50-60 Days", M1914&gt;=40,"40-50 Days", M1914&gt;=30, "30-40 Days", M1914&gt;=20, "20-30 Days", M1914&gt;=10, "10-20 Days", M1914&gt;=0, "0-10 Days")</f>
        <v>20-30 Days</v>
      </c>
    </row>
    <row r="1915" spans="1:14">
      <c r="A1915">
        <v>1914</v>
      </c>
      <c r="B1915" t="s">
        <v>29</v>
      </c>
      <c r="C1915" s="5">
        <v>44968</v>
      </c>
      <c r="D1915" s="8">
        <v>44968</v>
      </c>
      <c r="E1915" s="8" t="str">
        <f>IF(B1915="Inactive", EDATE(D1915,K1915), "")</f>
        <v/>
      </c>
      <c r="F1915" t="s">
        <v>12</v>
      </c>
      <c r="G1915">
        <v>15.5</v>
      </c>
      <c r="H1915" t="str" cm="1">
        <f t="array" ref="H1915">_xlfn.IFS(G1915&gt;=20,"20-25", G1915&gt;=15,"15-20", G1915&gt;=10,"10-15", G1915&gt;=5,"5-10", G1915&gt;=1,"1-5", G1915&lt;1,"Less than 1")</f>
        <v>15-20</v>
      </c>
      <c r="I1915">
        <v>1</v>
      </c>
      <c r="J1915">
        <v>2</v>
      </c>
      <c r="K1915" s="6">
        <v>7</v>
      </c>
      <c r="L1915" s="2">
        <v>1.99</v>
      </c>
      <c r="M1915" s="6">
        <v>14</v>
      </c>
      <c r="N1915" t="str" cm="1">
        <f t="array" ref="N1915">_xlfn.IFS(M1915&gt;=50,"50-60 Days", M1915&gt;=40,"40-50 Days", M1915&gt;=30, "30-40 Days", M1915&gt;=20, "20-30 Days", M1915&gt;=10, "10-20 Days", M1915&gt;=0, "0-10 Days")</f>
        <v>10-20 Days</v>
      </c>
    </row>
    <row r="1916" spans="1:14">
      <c r="A1916">
        <v>1915</v>
      </c>
      <c r="B1916" t="s">
        <v>28</v>
      </c>
      <c r="C1916" s="5">
        <v>45638</v>
      </c>
      <c r="D1916" s="8">
        <v>45638</v>
      </c>
      <c r="E1916" s="8">
        <f>IF(B1916="Inactive", EDATE(D1916,K1916), "")</f>
        <v>46003</v>
      </c>
      <c r="F1916" t="s">
        <v>12</v>
      </c>
      <c r="G1916">
        <v>4.3</v>
      </c>
      <c r="H1916" t="str" cm="1">
        <f t="array" ref="H1916">_xlfn.IFS(G1916&gt;=20,"20-25", G1916&gt;=15,"15-20", G1916&gt;=10,"10-15", G1916&gt;=5,"5-10", G1916&gt;=1,"1-5", G1916&lt;1,"Less than 1")</f>
        <v>1-5</v>
      </c>
      <c r="I1916">
        <v>4</v>
      </c>
      <c r="J1916">
        <v>0</v>
      </c>
      <c r="K1916" s="6">
        <v>12</v>
      </c>
      <c r="L1916" s="2">
        <v>1.99</v>
      </c>
      <c r="M1916" s="6">
        <v>31</v>
      </c>
      <c r="N1916" t="str" cm="1">
        <f t="array" ref="N1916">_xlfn.IFS(M1916&gt;=50,"50-60 Days", M1916&gt;=40,"40-50 Days", M1916&gt;=30, "30-40 Days", M1916&gt;=20, "20-30 Days", M1916&gt;=10, "10-20 Days", M1916&gt;=0, "0-10 Days")</f>
        <v>30-40 Days</v>
      </c>
    </row>
    <row r="1917" spans="1:14">
      <c r="A1917">
        <v>1916</v>
      </c>
      <c r="B1917" t="s">
        <v>28</v>
      </c>
      <c r="C1917" s="5">
        <v>44939</v>
      </c>
      <c r="D1917" s="8">
        <v>44939</v>
      </c>
      <c r="E1917" s="8">
        <f>IF(B1917="Inactive", EDATE(D1917,K1917), "")</f>
        <v>45120</v>
      </c>
      <c r="F1917" t="s">
        <v>12</v>
      </c>
      <c r="G1917">
        <v>21.9</v>
      </c>
      <c r="H1917" t="str" cm="1">
        <f t="array" ref="H1917">_xlfn.IFS(G1917&gt;=20,"20-25", G1917&gt;=15,"15-20", G1917&gt;=10,"10-15", G1917&gt;=5,"5-10", G1917&gt;=1,"1-5", G1917&lt;1,"Less than 1")</f>
        <v>20-25</v>
      </c>
      <c r="I1917">
        <v>7</v>
      </c>
      <c r="J1917">
        <v>5</v>
      </c>
      <c r="K1917" s="6">
        <v>6</v>
      </c>
      <c r="L1917" s="2">
        <v>1.99</v>
      </c>
      <c r="M1917" s="6">
        <v>51</v>
      </c>
      <c r="N1917" t="str" cm="1">
        <f t="array" ref="N1917">_xlfn.IFS(M1917&gt;=50,"50-60 Days", M1917&gt;=40,"40-50 Days", M1917&gt;=30, "30-40 Days", M1917&gt;=20, "20-30 Days", M1917&gt;=10, "10-20 Days", M1917&gt;=0, "0-10 Days")</f>
        <v>50-60 Days</v>
      </c>
    </row>
    <row r="1918" spans="1:14">
      <c r="A1918">
        <v>1917</v>
      </c>
      <c r="B1918" t="s">
        <v>28</v>
      </c>
      <c r="C1918" s="5">
        <v>45508</v>
      </c>
      <c r="D1918" s="8">
        <v>45508</v>
      </c>
      <c r="E1918" s="8">
        <f>IF(B1918="Inactive", EDATE(D1918,K1918), "")</f>
        <v>45692</v>
      </c>
      <c r="F1918" t="s">
        <v>14</v>
      </c>
      <c r="G1918">
        <v>24.1</v>
      </c>
      <c r="H1918" t="str" cm="1">
        <f t="array" ref="H1918">_xlfn.IFS(G1918&gt;=20,"20-25", G1918&gt;=15,"15-20", G1918&gt;=10,"10-15", G1918&gt;=5,"5-10", G1918&gt;=1,"1-5", G1918&lt;1,"Less than 1")</f>
        <v>20-25</v>
      </c>
      <c r="I1918">
        <v>7</v>
      </c>
      <c r="J1918">
        <v>3</v>
      </c>
      <c r="K1918" s="6">
        <v>6</v>
      </c>
      <c r="L1918" s="2">
        <v>3.99</v>
      </c>
      <c r="M1918" s="6">
        <v>26</v>
      </c>
      <c r="N1918" t="str" cm="1">
        <f t="array" ref="N1918">_xlfn.IFS(M1918&gt;=50,"50-60 Days", M1918&gt;=40,"40-50 Days", M1918&gt;=30, "30-40 Days", M1918&gt;=20, "20-30 Days", M1918&gt;=10, "10-20 Days", M1918&gt;=0, "0-10 Days")</f>
        <v>20-30 Days</v>
      </c>
    </row>
    <row r="1919" spans="1:14">
      <c r="A1919">
        <v>1918</v>
      </c>
      <c r="B1919" t="s">
        <v>28</v>
      </c>
      <c r="C1919" s="5">
        <v>45323</v>
      </c>
      <c r="D1919" s="8">
        <v>45323</v>
      </c>
      <c r="E1919" s="8">
        <f>IF(B1919="Inactive", EDATE(D1919,K1919), "")</f>
        <v>45597</v>
      </c>
      <c r="F1919" t="s">
        <v>12</v>
      </c>
      <c r="G1919">
        <v>5.0999999999999996</v>
      </c>
      <c r="H1919" t="str" cm="1">
        <f t="array" ref="H1919">_xlfn.IFS(G1919&gt;=20,"20-25", G1919&gt;=15,"15-20", G1919&gt;=10,"10-15", G1919&gt;=5,"5-10", G1919&gt;=1,"1-5", G1919&lt;1,"Less than 1")</f>
        <v>5-10</v>
      </c>
      <c r="I1919">
        <v>8</v>
      </c>
      <c r="J1919">
        <v>4</v>
      </c>
      <c r="K1919" s="6">
        <v>9</v>
      </c>
      <c r="L1919" s="2">
        <v>1.99</v>
      </c>
      <c r="M1919" s="6">
        <v>25</v>
      </c>
      <c r="N1919" t="str" cm="1">
        <f t="array" ref="N1919">_xlfn.IFS(M1919&gt;=50,"50-60 Days", M1919&gt;=40,"40-50 Days", M1919&gt;=30, "30-40 Days", M1919&gt;=20, "20-30 Days", M1919&gt;=10, "10-20 Days", M1919&gt;=0, "0-10 Days")</f>
        <v>20-30 Days</v>
      </c>
    </row>
    <row r="1920" spans="1:14">
      <c r="A1920">
        <v>1919</v>
      </c>
      <c r="B1920" t="s">
        <v>28</v>
      </c>
      <c r="C1920" s="5">
        <v>45167</v>
      </c>
      <c r="D1920" s="8">
        <v>45167</v>
      </c>
      <c r="E1920" s="8">
        <f>IF(B1920="Inactive", EDATE(D1920,K1920), "")</f>
        <v>45351</v>
      </c>
      <c r="F1920" t="s">
        <v>10</v>
      </c>
      <c r="G1920">
        <v>17.8</v>
      </c>
      <c r="H1920" t="str" cm="1">
        <f t="array" ref="H1920">_xlfn.IFS(G1920&gt;=20,"20-25", G1920&gt;=15,"15-20", G1920&gt;=10,"10-15", G1920&gt;=5,"5-10", G1920&gt;=1,"1-5", G1920&lt;1,"Less than 1")</f>
        <v>15-20</v>
      </c>
      <c r="I1920">
        <v>5</v>
      </c>
      <c r="J1920">
        <v>2</v>
      </c>
      <c r="K1920" s="6">
        <v>6</v>
      </c>
      <c r="L1920" s="2">
        <v>6.99</v>
      </c>
      <c r="M1920" s="6">
        <v>27</v>
      </c>
      <c r="N1920" t="str" cm="1">
        <f t="array" ref="N1920">_xlfn.IFS(M1920&gt;=50,"50-60 Days", M1920&gt;=40,"40-50 Days", M1920&gt;=30, "30-40 Days", M1920&gt;=20, "20-30 Days", M1920&gt;=10, "10-20 Days", M1920&gt;=0, "0-10 Days")</f>
        <v>20-30 Days</v>
      </c>
    </row>
    <row r="1921" spans="1:14">
      <c r="A1921">
        <v>1920</v>
      </c>
      <c r="B1921" t="s">
        <v>29</v>
      </c>
      <c r="C1921" s="5">
        <v>45646</v>
      </c>
      <c r="D1921" s="8">
        <v>45646</v>
      </c>
      <c r="E1921" s="8" t="str">
        <f>IF(B1921="Inactive", EDATE(D1921,K1921), "")</f>
        <v/>
      </c>
      <c r="F1921" t="s">
        <v>14</v>
      </c>
      <c r="G1921">
        <v>9.1999999999999993</v>
      </c>
      <c r="H1921" t="str" cm="1">
        <f t="array" ref="H1921">_xlfn.IFS(G1921&gt;=20,"20-25", G1921&gt;=15,"15-20", G1921&gt;=10,"10-15", G1921&gt;=5,"5-10", G1921&gt;=1,"1-5", G1921&lt;1,"Less than 1")</f>
        <v>5-10</v>
      </c>
      <c r="I1921">
        <v>2</v>
      </c>
      <c r="J1921">
        <v>2</v>
      </c>
      <c r="K1921" s="6">
        <v>12</v>
      </c>
      <c r="L1921" s="2">
        <v>3.99</v>
      </c>
      <c r="M1921" s="6">
        <v>55</v>
      </c>
      <c r="N1921" t="str" cm="1">
        <f t="array" ref="N1921">_xlfn.IFS(M1921&gt;=50,"50-60 Days", M1921&gt;=40,"40-50 Days", M1921&gt;=30, "30-40 Days", M1921&gt;=20, "20-30 Days", M1921&gt;=10, "10-20 Days", M1921&gt;=0, "0-10 Days")</f>
        <v>50-60 Days</v>
      </c>
    </row>
    <row r="1922" spans="1:14">
      <c r="A1922">
        <v>1921</v>
      </c>
      <c r="B1922" t="s">
        <v>28</v>
      </c>
      <c r="C1922" s="5">
        <v>45248</v>
      </c>
      <c r="D1922" s="8">
        <v>45248</v>
      </c>
      <c r="E1922" s="8">
        <f>IF(B1922="Inactive", EDATE(D1922,K1922), "")</f>
        <v>45614</v>
      </c>
      <c r="F1922" t="s">
        <v>12</v>
      </c>
      <c r="G1922">
        <v>14.7</v>
      </c>
      <c r="H1922" t="str" cm="1">
        <f t="array" ref="H1922">_xlfn.IFS(G1922&gt;=20,"20-25", G1922&gt;=15,"15-20", G1922&gt;=10,"10-15", G1922&gt;=5,"5-10", G1922&gt;=1,"1-5", G1922&lt;1,"Less than 1")</f>
        <v>10-15</v>
      </c>
      <c r="I1922">
        <v>1</v>
      </c>
      <c r="J1922">
        <v>4</v>
      </c>
      <c r="K1922" s="6">
        <v>12</v>
      </c>
      <c r="L1922" s="2">
        <v>1.99</v>
      </c>
      <c r="M1922" s="6">
        <v>45</v>
      </c>
      <c r="N1922" t="str" cm="1">
        <f t="array" ref="N1922">_xlfn.IFS(M1922&gt;=50,"50-60 Days", M1922&gt;=40,"40-50 Days", M1922&gt;=30, "30-40 Days", M1922&gt;=20, "20-30 Days", M1922&gt;=10, "10-20 Days", M1922&gt;=0, "0-10 Days")</f>
        <v>40-50 Days</v>
      </c>
    </row>
    <row r="1923" spans="1:14">
      <c r="A1923">
        <v>1922</v>
      </c>
      <c r="B1923" t="s">
        <v>28</v>
      </c>
      <c r="C1923" s="5">
        <v>44981</v>
      </c>
      <c r="D1923" s="8">
        <v>44981</v>
      </c>
      <c r="E1923" s="8">
        <f>IF(B1923="Inactive", EDATE(D1923,K1923), "")</f>
        <v>45131</v>
      </c>
      <c r="F1923" t="s">
        <v>12</v>
      </c>
      <c r="G1923">
        <v>18.100000000000001</v>
      </c>
      <c r="H1923" t="str" cm="1">
        <f t="array" ref="H1923">_xlfn.IFS(G1923&gt;=20,"20-25", G1923&gt;=15,"15-20", G1923&gt;=10,"10-15", G1923&gt;=5,"5-10", G1923&gt;=1,"1-5", G1923&lt;1,"Less than 1")</f>
        <v>15-20</v>
      </c>
      <c r="I1923">
        <v>8</v>
      </c>
      <c r="J1923">
        <v>1</v>
      </c>
      <c r="K1923" s="6">
        <v>5</v>
      </c>
      <c r="L1923" s="2">
        <v>1.99</v>
      </c>
      <c r="M1923" s="6">
        <v>29</v>
      </c>
      <c r="N1923" t="str" cm="1">
        <f t="array" ref="N1923">_xlfn.IFS(M1923&gt;=50,"50-60 Days", M1923&gt;=40,"40-50 Days", M1923&gt;=30, "30-40 Days", M1923&gt;=20, "20-30 Days", M1923&gt;=10, "10-20 Days", M1923&gt;=0, "0-10 Days")</f>
        <v>20-30 Days</v>
      </c>
    </row>
    <row r="1924" spans="1:14">
      <c r="A1924">
        <v>1923</v>
      </c>
      <c r="B1924" t="s">
        <v>28</v>
      </c>
      <c r="C1924" s="5">
        <v>45386</v>
      </c>
      <c r="D1924" s="8">
        <v>45386</v>
      </c>
      <c r="E1924" s="8">
        <f>IF(B1924="Inactive", EDATE(D1924,K1924), "")</f>
        <v>45692</v>
      </c>
      <c r="F1924" t="s">
        <v>14</v>
      </c>
      <c r="G1924">
        <v>12.7</v>
      </c>
      <c r="H1924" t="str" cm="1">
        <f t="array" ref="H1924">_xlfn.IFS(G1924&gt;=20,"20-25", G1924&gt;=15,"15-20", G1924&gt;=10,"10-15", G1924&gt;=5,"5-10", G1924&gt;=1,"1-5", G1924&lt;1,"Less than 1")</f>
        <v>10-15</v>
      </c>
      <c r="I1924">
        <v>6</v>
      </c>
      <c r="J1924">
        <v>0</v>
      </c>
      <c r="K1924" s="6">
        <v>10</v>
      </c>
      <c r="L1924" s="2">
        <v>3.99</v>
      </c>
      <c r="M1924" s="6">
        <v>10</v>
      </c>
      <c r="N1924" t="str" cm="1">
        <f t="array" ref="N1924">_xlfn.IFS(M1924&gt;=50,"50-60 Days", M1924&gt;=40,"40-50 Days", M1924&gt;=30, "30-40 Days", M1924&gt;=20, "20-30 Days", M1924&gt;=10, "10-20 Days", M1924&gt;=0, "0-10 Days")</f>
        <v>10-20 Days</v>
      </c>
    </row>
    <row r="1925" spans="1:14">
      <c r="A1925">
        <v>1924</v>
      </c>
      <c r="B1925" t="s">
        <v>28</v>
      </c>
      <c r="C1925" s="5">
        <v>45289</v>
      </c>
      <c r="D1925" s="8">
        <v>45289</v>
      </c>
      <c r="E1925" s="8">
        <f>IF(B1925="Inactive", EDATE(D1925,K1925), "")</f>
        <v>45351</v>
      </c>
      <c r="F1925" t="s">
        <v>10</v>
      </c>
      <c r="G1925">
        <v>22.4</v>
      </c>
      <c r="H1925" t="str" cm="1">
        <f t="array" ref="H1925">_xlfn.IFS(G1925&gt;=20,"20-25", G1925&gt;=15,"15-20", G1925&gt;=10,"10-15", G1925&gt;=5,"5-10", G1925&gt;=1,"1-5", G1925&lt;1,"Less than 1")</f>
        <v>20-25</v>
      </c>
      <c r="I1925">
        <v>7</v>
      </c>
      <c r="J1925">
        <v>5</v>
      </c>
      <c r="K1925" s="6">
        <v>2</v>
      </c>
      <c r="L1925" s="2">
        <v>6.99</v>
      </c>
      <c r="M1925" s="6">
        <v>9</v>
      </c>
      <c r="N1925" t="str" cm="1">
        <f t="array" ref="N1925">_xlfn.IFS(M1925&gt;=50,"50-60 Days", M1925&gt;=40,"40-50 Days", M1925&gt;=30, "30-40 Days", M1925&gt;=20, "20-30 Days", M1925&gt;=10, "10-20 Days", M1925&gt;=0, "0-10 Days")</f>
        <v>0-10 Days</v>
      </c>
    </row>
    <row r="1926" spans="1:14">
      <c r="A1926">
        <v>1925</v>
      </c>
      <c r="B1926" t="s">
        <v>28</v>
      </c>
      <c r="C1926" s="5">
        <v>45648</v>
      </c>
      <c r="D1926" s="8">
        <v>45648</v>
      </c>
      <c r="E1926" s="8">
        <f>IF(B1926="Inactive", EDATE(D1926,K1926), "")</f>
        <v>45830</v>
      </c>
      <c r="F1926" t="s">
        <v>12</v>
      </c>
      <c r="G1926">
        <v>14.5</v>
      </c>
      <c r="H1926" t="str" cm="1">
        <f t="array" ref="H1926">_xlfn.IFS(G1926&gt;=20,"20-25", G1926&gt;=15,"15-20", G1926&gt;=10,"10-15", G1926&gt;=5,"5-10", G1926&gt;=1,"1-5", G1926&lt;1,"Less than 1")</f>
        <v>10-15</v>
      </c>
      <c r="I1926">
        <v>0</v>
      </c>
      <c r="J1926">
        <v>5</v>
      </c>
      <c r="K1926" s="6">
        <v>6</v>
      </c>
      <c r="L1926" s="2">
        <v>1.99</v>
      </c>
      <c r="M1926" s="6">
        <v>38</v>
      </c>
      <c r="N1926" t="str" cm="1">
        <f t="array" ref="N1926">_xlfn.IFS(M1926&gt;=50,"50-60 Days", M1926&gt;=40,"40-50 Days", M1926&gt;=30, "30-40 Days", M1926&gt;=20, "20-30 Days", M1926&gt;=10, "10-20 Days", M1926&gt;=0, "0-10 Days")</f>
        <v>30-40 Days</v>
      </c>
    </row>
    <row r="1927" spans="1:14">
      <c r="A1927">
        <v>1926</v>
      </c>
      <c r="B1927" t="s">
        <v>28</v>
      </c>
      <c r="C1927" s="5">
        <v>45238</v>
      </c>
      <c r="D1927" s="8">
        <v>45238</v>
      </c>
      <c r="E1927" s="8">
        <f>IF(B1927="Inactive", EDATE(D1927,K1927), "")</f>
        <v>45512</v>
      </c>
      <c r="F1927" t="s">
        <v>12</v>
      </c>
      <c r="G1927">
        <v>5.8</v>
      </c>
      <c r="H1927" t="str" cm="1">
        <f t="array" ref="H1927">_xlfn.IFS(G1927&gt;=20,"20-25", G1927&gt;=15,"15-20", G1927&gt;=10,"10-15", G1927&gt;=5,"5-10", G1927&gt;=1,"1-5", G1927&lt;1,"Less than 1")</f>
        <v>5-10</v>
      </c>
      <c r="I1927">
        <v>7</v>
      </c>
      <c r="J1927">
        <v>2</v>
      </c>
      <c r="K1927" s="6">
        <v>9</v>
      </c>
      <c r="L1927" s="2">
        <v>1.99</v>
      </c>
      <c r="M1927" s="6">
        <v>34</v>
      </c>
      <c r="N1927" t="str" cm="1">
        <f t="array" ref="N1927">_xlfn.IFS(M1927&gt;=50,"50-60 Days", M1927&gt;=40,"40-50 Days", M1927&gt;=30, "30-40 Days", M1927&gt;=20, "20-30 Days", M1927&gt;=10, "10-20 Days", M1927&gt;=0, "0-10 Days")</f>
        <v>30-40 Days</v>
      </c>
    </row>
    <row r="1928" spans="1:14">
      <c r="A1928">
        <v>1927</v>
      </c>
      <c r="B1928" t="s">
        <v>29</v>
      </c>
      <c r="C1928" s="5">
        <v>45624</v>
      </c>
      <c r="D1928" s="8">
        <v>45624</v>
      </c>
      <c r="E1928" s="8" t="str">
        <f>IF(B1928="Inactive", EDATE(D1928,K1928), "")</f>
        <v/>
      </c>
      <c r="F1928" t="s">
        <v>14</v>
      </c>
      <c r="G1928">
        <v>14.5</v>
      </c>
      <c r="H1928" t="str" cm="1">
        <f t="array" ref="H1928">_xlfn.IFS(G1928&gt;=20,"20-25", G1928&gt;=15,"15-20", G1928&gt;=10,"10-15", G1928&gt;=5,"5-10", G1928&gt;=1,"1-5", G1928&lt;1,"Less than 1")</f>
        <v>10-15</v>
      </c>
      <c r="I1928">
        <v>8</v>
      </c>
      <c r="J1928">
        <v>3</v>
      </c>
      <c r="K1928" s="6">
        <v>5</v>
      </c>
      <c r="L1928" s="2">
        <v>3.99</v>
      </c>
      <c r="M1928" s="6">
        <v>9</v>
      </c>
      <c r="N1928" t="str" cm="1">
        <f t="array" ref="N1928">_xlfn.IFS(M1928&gt;=50,"50-60 Days", M1928&gt;=40,"40-50 Days", M1928&gt;=30, "30-40 Days", M1928&gt;=20, "20-30 Days", M1928&gt;=10, "10-20 Days", M1928&gt;=0, "0-10 Days")</f>
        <v>0-10 Days</v>
      </c>
    </row>
    <row r="1929" spans="1:14">
      <c r="A1929">
        <v>1928</v>
      </c>
      <c r="B1929" t="s">
        <v>28</v>
      </c>
      <c r="C1929" s="5">
        <v>45049</v>
      </c>
      <c r="D1929" s="8">
        <v>45049</v>
      </c>
      <c r="E1929" s="8">
        <f>IF(B1929="Inactive", EDATE(D1929,K1929), "")</f>
        <v>45263</v>
      </c>
      <c r="F1929" t="s">
        <v>10</v>
      </c>
      <c r="G1929">
        <v>21.6</v>
      </c>
      <c r="H1929" t="str" cm="1">
        <f t="array" ref="H1929">_xlfn.IFS(G1929&gt;=20,"20-25", G1929&gt;=15,"15-20", G1929&gt;=10,"10-15", G1929&gt;=5,"5-10", G1929&gt;=1,"1-5", G1929&lt;1,"Less than 1")</f>
        <v>20-25</v>
      </c>
      <c r="I1929">
        <v>0</v>
      </c>
      <c r="J1929">
        <v>5</v>
      </c>
      <c r="K1929" s="6">
        <v>7</v>
      </c>
      <c r="L1929" s="2">
        <v>6.99</v>
      </c>
      <c r="M1929" s="6">
        <v>48</v>
      </c>
      <c r="N1929" t="str" cm="1">
        <f t="array" ref="N1929">_xlfn.IFS(M1929&gt;=50,"50-60 Days", M1929&gt;=40,"40-50 Days", M1929&gt;=30, "30-40 Days", M1929&gt;=20, "20-30 Days", M1929&gt;=10, "10-20 Days", M1929&gt;=0, "0-10 Days")</f>
        <v>40-50 Days</v>
      </c>
    </row>
    <row r="1930" spans="1:14">
      <c r="A1930">
        <v>1929</v>
      </c>
      <c r="B1930" t="s">
        <v>28</v>
      </c>
      <c r="C1930" s="5">
        <v>45542</v>
      </c>
      <c r="D1930" s="8">
        <v>45542</v>
      </c>
      <c r="E1930" s="8">
        <f>IF(B1930="Inactive", EDATE(D1930,K1930), "")</f>
        <v>45603</v>
      </c>
      <c r="F1930" t="s">
        <v>12</v>
      </c>
      <c r="G1930">
        <v>13.5</v>
      </c>
      <c r="H1930" t="str" cm="1">
        <f t="array" ref="H1930">_xlfn.IFS(G1930&gt;=20,"20-25", G1930&gt;=15,"15-20", G1930&gt;=10,"10-15", G1930&gt;=5,"5-10", G1930&gt;=1,"1-5", G1930&lt;1,"Less than 1")</f>
        <v>10-15</v>
      </c>
      <c r="I1930">
        <v>2</v>
      </c>
      <c r="J1930">
        <v>5</v>
      </c>
      <c r="K1930" s="6">
        <v>2</v>
      </c>
      <c r="L1930" s="2">
        <v>1.99</v>
      </c>
      <c r="M1930" s="6">
        <v>12</v>
      </c>
      <c r="N1930" t="str" cm="1">
        <f t="array" ref="N1930">_xlfn.IFS(M1930&gt;=50,"50-60 Days", M1930&gt;=40,"40-50 Days", M1930&gt;=30, "30-40 Days", M1930&gt;=20, "20-30 Days", M1930&gt;=10, "10-20 Days", M1930&gt;=0, "0-10 Days")</f>
        <v>10-20 Days</v>
      </c>
    </row>
    <row r="1931" spans="1:14">
      <c r="A1931">
        <v>1930</v>
      </c>
      <c r="B1931" t="s">
        <v>28</v>
      </c>
      <c r="C1931" s="5">
        <v>45023</v>
      </c>
      <c r="D1931" s="8">
        <v>45023</v>
      </c>
      <c r="E1931" s="8">
        <f>IF(B1931="Inactive", EDATE(D1931,K1931), "")</f>
        <v>45145</v>
      </c>
      <c r="F1931" t="s">
        <v>12</v>
      </c>
      <c r="G1931">
        <v>1.2</v>
      </c>
      <c r="H1931" t="str" cm="1">
        <f t="array" ref="H1931">_xlfn.IFS(G1931&gt;=20,"20-25", G1931&gt;=15,"15-20", G1931&gt;=10,"10-15", G1931&gt;=5,"5-10", G1931&gt;=1,"1-5", G1931&lt;1,"Less than 1")</f>
        <v>1-5</v>
      </c>
      <c r="I1931">
        <v>7</v>
      </c>
      <c r="J1931">
        <v>5</v>
      </c>
      <c r="K1931" s="6">
        <v>4</v>
      </c>
      <c r="L1931" s="2">
        <v>1.99</v>
      </c>
      <c r="M1931" s="6">
        <v>7</v>
      </c>
      <c r="N1931" t="str" cm="1">
        <f t="array" ref="N1931">_xlfn.IFS(M1931&gt;=50,"50-60 Days", M1931&gt;=40,"40-50 Days", M1931&gt;=30, "30-40 Days", M1931&gt;=20, "20-30 Days", M1931&gt;=10, "10-20 Days", M1931&gt;=0, "0-10 Days")</f>
        <v>0-10 Days</v>
      </c>
    </row>
    <row r="1932" spans="1:14">
      <c r="A1932">
        <v>1931</v>
      </c>
      <c r="B1932" t="s">
        <v>28</v>
      </c>
      <c r="C1932" s="5">
        <v>45278</v>
      </c>
      <c r="D1932" s="8">
        <v>45278</v>
      </c>
      <c r="E1932" s="8">
        <f>IF(B1932="Inactive", EDATE(D1932,K1932), "")</f>
        <v>45553</v>
      </c>
      <c r="F1932" t="s">
        <v>14</v>
      </c>
      <c r="G1932">
        <v>20.2</v>
      </c>
      <c r="H1932" t="str" cm="1">
        <f t="array" ref="H1932">_xlfn.IFS(G1932&gt;=20,"20-25", G1932&gt;=15,"15-20", G1932&gt;=10,"10-15", G1932&gt;=5,"5-10", G1932&gt;=1,"1-5", G1932&lt;1,"Less than 1")</f>
        <v>20-25</v>
      </c>
      <c r="I1932">
        <v>6</v>
      </c>
      <c r="J1932">
        <v>5</v>
      </c>
      <c r="K1932" s="6">
        <v>9</v>
      </c>
      <c r="L1932" s="2">
        <v>3.99</v>
      </c>
      <c r="M1932" s="6">
        <v>30</v>
      </c>
      <c r="N1932" t="str" cm="1">
        <f t="array" ref="N1932">_xlfn.IFS(M1932&gt;=50,"50-60 Days", M1932&gt;=40,"40-50 Days", M1932&gt;=30, "30-40 Days", M1932&gt;=20, "20-30 Days", M1932&gt;=10, "10-20 Days", M1932&gt;=0, "0-10 Days")</f>
        <v>30-40 Days</v>
      </c>
    </row>
    <row r="1933" spans="1:14">
      <c r="A1933">
        <v>1932</v>
      </c>
      <c r="B1933" t="s">
        <v>29</v>
      </c>
      <c r="C1933" s="5">
        <v>45438</v>
      </c>
      <c r="D1933" s="8">
        <v>45438</v>
      </c>
      <c r="E1933" s="8" t="str">
        <f>IF(B1933="Inactive", EDATE(D1933,K1933), "")</f>
        <v/>
      </c>
      <c r="F1933" t="s">
        <v>12</v>
      </c>
      <c r="G1933">
        <v>8.1</v>
      </c>
      <c r="H1933" t="str" cm="1">
        <f t="array" ref="H1933">_xlfn.IFS(G1933&gt;=20,"20-25", G1933&gt;=15,"15-20", G1933&gt;=10,"10-15", G1933&gt;=5,"5-10", G1933&gt;=1,"1-5", G1933&lt;1,"Less than 1")</f>
        <v>5-10</v>
      </c>
      <c r="I1933">
        <v>2</v>
      </c>
      <c r="J1933">
        <v>5</v>
      </c>
      <c r="K1933" s="6">
        <v>3</v>
      </c>
      <c r="L1933" s="2">
        <v>1.99</v>
      </c>
      <c r="M1933" s="6">
        <v>27</v>
      </c>
      <c r="N1933" t="str" cm="1">
        <f t="array" ref="N1933">_xlfn.IFS(M1933&gt;=50,"50-60 Days", M1933&gt;=40,"40-50 Days", M1933&gt;=30, "30-40 Days", M1933&gt;=20, "20-30 Days", M1933&gt;=10, "10-20 Days", M1933&gt;=0, "0-10 Days")</f>
        <v>20-30 Days</v>
      </c>
    </row>
    <row r="1934" spans="1:14">
      <c r="A1934">
        <v>1933</v>
      </c>
      <c r="B1934" t="s">
        <v>29</v>
      </c>
      <c r="C1934" s="5">
        <v>45575</v>
      </c>
      <c r="D1934" s="8">
        <v>45575</v>
      </c>
      <c r="E1934" s="8" t="str">
        <f>IF(B1934="Inactive", EDATE(D1934,K1934), "")</f>
        <v/>
      </c>
      <c r="F1934" t="s">
        <v>12</v>
      </c>
      <c r="G1934">
        <v>6.9</v>
      </c>
      <c r="H1934" t="str" cm="1">
        <f t="array" ref="H1934">_xlfn.IFS(G1934&gt;=20,"20-25", G1934&gt;=15,"15-20", G1934&gt;=10,"10-15", G1934&gt;=5,"5-10", G1934&gt;=1,"1-5", G1934&lt;1,"Less than 1")</f>
        <v>5-10</v>
      </c>
      <c r="I1934">
        <v>3</v>
      </c>
      <c r="J1934">
        <v>1</v>
      </c>
      <c r="K1934" s="6">
        <v>4</v>
      </c>
      <c r="L1934" s="2">
        <v>1.99</v>
      </c>
      <c r="M1934" s="6">
        <v>22</v>
      </c>
      <c r="N1934" t="str" cm="1">
        <f t="array" ref="N1934">_xlfn.IFS(M1934&gt;=50,"50-60 Days", M1934&gt;=40,"40-50 Days", M1934&gt;=30, "30-40 Days", M1934&gt;=20, "20-30 Days", M1934&gt;=10, "10-20 Days", M1934&gt;=0, "0-10 Days")</f>
        <v>20-30 Days</v>
      </c>
    </row>
    <row r="1935" spans="1:14">
      <c r="A1935">
        <v>1934</v>
      </c>
      <c r="B1935" t="s">
        <v>28</v>
      </c>
      <c r="C1935" s="5">
        <v>45547</v>
      </c>
      <c r="D1935" s="8">
        <v>45547</v>
      </c>
      <c r="E1935" s="8">
        <f>IF(B1935="Inactive", EDATE(D1935,K1935), "")</f>
        <v>45789</v>
      </c>
      <c r="F1935" t="s">
        <v>12</v>
      </c>
      <c r="G1935">
        <v>11.6</v>
      </c>
      <c r="H1935" t="str" cm="1">
        <f t="array" ref="H1935">_xlfn.IFS(G1935&gt;=20,"20-25", G1935&gt;=15,"15-20", G1935&gt;=10,"10-15", G1935&gt;=5,"5-10", G1935&gt;=1,"1-5", G1935&lt;1,"Less than 1")</f>
        <v>10-15</v>
      </c>
      <c r="I1935">
        <v>1</v>
      </c>
      <c r="J1935">
        <v>4</v>
      </c>
      <c r="K1935" s="6">
        <v>8</v>
      </c>
      <c r="L1935" s="2">
        <v>1.99</v>
      </c>
      <c r="M1935" s="6">
        <v>16</v>
      </c>
      <c r="N1935" t="str" cm="1">
        <f t="array" ref="N1935">_xlfn.IFS(M1935&gt;=50,"50-60 Days", M1935&gt;=40,"40-50 Days", M1935&gt;=30, "30-40 Days", M1935&gt;=20, "20-30 Days", M1935&gt;=10, "10-20 Days", M1935&gt;=0, "0-10 Days")</f>
        <v>10-20 Days</v>
      </c>
    </row>
    <row r="1936" spans="1:14">
      <c r="A1936">
        <v>1935</v>
      </c>
      <c r="B1936" t="s">
        <v>28</v>
      </c>
      <c r="C1936" s="5">
        <v>45468</v>
      </c>
      <c r="D1936" s="8">
        <v>45468</v>
      </c>
      <c r="E1936" s="8">
        <f>IF(B1936="Inactive", EDATE(D1936,K1936), "")</f>
        <v>45833</v>
      </c>
      <c r="F1936" t="s">
        <v>12</v>
      </c>
      <c r="G1936">
        <v>1.9</v>
      </c>
      <c r="H1936" t="str" cm="1">
        <f t="array" ref="H1936">_xlfn.IFS(G1936&gt;=20,"20-25", G1936&gt;=15,"15-20", G1936&gt;=10,"10-15", G1936&gt;=5,"5-10", G1936&gt;=1,"1-5", G1936&lt;1,"Less than 1")</f>
        <v>1-5</v>
      </c>
      <c r="I1936">
        <v>5</v>
      </c>
      <c r="J1936">
        <v>0</v>
      </c>
      <c r="K1936" s="6">
        <v>12</v>
      </c>
      <c r="L1936" s="2">
        <v>1.99</v>
      </c>
      <c r="M1936" s="6">
        <v>10</v>
      </c>
      <c r="N1936" t="str" cm="1">
        <f t="array" ref="N1936">_xlfn.IFS(M1936&gt;=50,"50-60 Days", M1936&gt;=40,"40-50 Days", M1936&gt;=30, "30-40 Days", M1936&gt;=20, "20-30 Days", M1936&gt;=10, "10-20 Days", M1936&gt;=0, "0-10 Days")</f>
        <v>10-20 Days</v>
      </c>
    </row>
    <row r="1937" spans="1:14">
      <c r="A1937">
        <v>1936</v>
      </c>
      <c r="B1937" t="s">
        <v>29</v>
      </c>
      <c r="C1937" s="5">
        <v>45503</v>
      </c>
      <c r="D1937" s="8">
        <v>45503</v>
      </c>
      <c r="E1937" s="8" t="str">
        <f>IF(B1937="Inactive", EDATE(D1937,K1937), "")</f>
        <v/>
      </c>
      <c r="F1937" t="s">
        <v>12</v>
      </c>
      <c r="G1937">
        <v>8.5</v>
      </c>
      <c r="H1937" t="str" cm="1">
        <f t="array" ref="H1937">_xlfn.IFS(G1937&gt;=20,"20-25", G1937&gt;=15,"15-20", G1937&gt;=10,"10-15", G1937&gt;=5,"5-10", G1937&gt;=1,"1-5", G1937&lt;1,"Less than 1")</f>
        <v>5-10</v>
      </c>
      <c r="I1937">
        <v>4</v>
      </c>
      <c r="J1937">
        <v>0</v>
      </c>
      <c r="K1937" s="6">
        <v>1</v>
      </c>
      <c r="L1937" s="2">
        <v>1.99</v>
      </c>
      <c r="M1937" s="6">
        <v>51</v>
      </c>
      <c r="N1937" t="str" cm="1">
        <f t="array" ref="N1937">_xlfn.IFS(M1937&gt;=50,"50-60 Days", M1937&gt;=40,"40-50 Days", M1937&gt;=30, "30-40 Days", M1937&gt;=20, "20-30 Days", M1937&gt;=10, "10-20 Days", M1937&gt;=0, "0-10 Days")</f>
        <v>50-60 Days</v>
      </c>
    </row>
    <row r="1938" spans="1:14">
      <c r="A1938">
        <v>1937</v>
      </c>
      <c r="B1938" t="s">
        <v>28</v>
      </c>
      <c r="C1938" s="5">
        <v>45475</v>
      </c>
      <c r="D1938" s="8">
        <v>45475</v>
      </c>
      <c r="E1938" s="8">
        <f>IF(B1938="Inactive", EDATE(D1938,K1938), "")</f>
        <v>45537</v>
      </c>
      <c r="F1938" t="s">
        <v>14</v>
      </c>
      <c r="G1938">
        <v>23.9</v>
      </c>
      <c r="H1938" t="str" cm="1">
        <f t="array" ref="H1938">_xlfn.IFS(G1938&gt;=20,"20-25", G1938&gt;=15,"15-20", G1938&gt;=10,"10-15", G1938&gt;=5,"5-10", G1938&gt;=1,"1-5", G1938&lt;1,"Less than 1")</f>
        <v>20-25</v>
      </c>
      <c r="I1938">
        <v>3</v>
      </c>
      <c r="J1938">
        <v>5</v>
      </c>
      <c r="K1938" s="6">
        <v>2</v>
      </c>
      <c r="L1938" s="2">
        <v>3.99</v>
      </c>
      <c r="M1938" s="6">
        <v>39</v>
      </c>
      <c r="N1938" t="str" cm="1">
        <f t="array" ref="N1938">_xlfn.IFS(M1938&gt;=50,"50-60 Days", M1938&gt;=40,"40-50 Days", M1938&gt;=30, "30-40 Days", M1938&gt;=20, "20-30 Days", M1938&gt;=10, "10-20 Days", M1938&gt;=0, "0-10 Days")</f>
        <v>30-40 Days</v>
      </c>
    </row>
    <row r="1939" spans="1:14">
      <c r="A1939">
        <v>1938</v>
      </c>
      <c r="B1939" t="s">
        <v>28</v>
      </c>
      <c r="C1939" s="5">
        <v>45378</v>
      </c>
      <c r="D1939" s="8">
        <v>45378</v>
      </c>
      <c r="E1939" s="8">
        <f>IF(B1939="Inactive", EDATE(D1939,K1939), "")</f>
        <v>45623</v>
      </c>
      <c r="F1939" t="s">
        <v>12</v>
      </c>
      <c r="G1939">
        <v>2.9</v>
      </c>
      <c r="H1939" t="str" cm="1">
        <f t="array" ref="H1939">_xlfn.IFS(G1939&gt;=20,"20-25", G1939&gt;=15,"15-20", G1939&gt;=10,"10-15", G1939&gt;=5,"5-10", G1939&gt;=1,"1-5", G1939&lt;1,"Less than 1")</f>
        <v>1-5</v>
      </c>
      <c r="I1939">
        <v>2</v>
      </c>
      <c r="J1939">
        <v>4</v>
      </c>
      <c r="K1939" s="6">
        <v>8</v>
      </c>
      <c r="L1939" s="2">
        <v>1.99</v>
      </c>
      <c r="M1939" s="6">
        <v>23</v>
      </c>
      <c r="N1939" t="str" cm="1">
        <f t="array" ref="N1939">_xlfn.IFS(M1939&gt;=50,"50-60 Days", M1939&gt;=40,"40-50 Days", M1939&gt;=30, "30-40 Days", M1939&gt;=20, "20-30 Days", M1939&gt;=10, "10-20 Days", M1939&gt;=0, "0-10 Days")</f>
        <v>20-30 Days</v>
      </c>
    </row>
    <row r="1940" spans="1:14">
      <c r="A1940">
        <v>1939</v>
      </c>
      <c r="B1940" t="s">
        <v>28</v>
      </c>
      <c r="C1940" s="5">
        <v>45477</v>
      </c>
      <c r="D1940" s="8">
        <v>45477</v>
      </c>
      <c r="E1940" s="8">
        <f>IF(B1940="Inactive", EDATE(D1940,K1940), "")</f>
        <v>45600</v>
      </c>
      <c r="F1940" t="s">
        <v>10</v>
      </c>
      <c r="G1940">
        <v>12.9</v>
      </c>
      <c r="H1940" t="str" cm="1">
        <f t="array" ref="H1940">_xlfn.IFS(G1940&gt;=20,"20-25", G1940&gt;=15,"15-20", G1940&gt;=10,"10-15", G1940&gt;=5,"5-10", G1940&gt;=1,"1-5", G1940&lt;1,"Less than 1")</f>
        <v>10-15</v>
      </c>
      <c r="I1940">
        <v>7</v>
      </c>
      <c r="J1940">
        <v>0</v>
      </c>
      <c r="K1940" s="6">
        <v>4</v>
      </c>
      <c r="L1940" s="2">
        <v>6.99</v>
      </c>
      <c r="M1940" s="6">
        <v>39</v>
      </c>
      <c r="N1940" t="str" cm="1">
        <f t="array" ref="N1940">_xlfn.IFS(M1940&gt;=50,"50-60 Days", M1940&gt;=40,"40-50 Days", M1940&gt;=30, "30-40 Days", M1940&gt;=20, "20-30 Days", M1940&gt;=10, "10-20 Days", M1940&gt;=0, "0-10 Days")</f>
        <v>30-40 Days</v>
      </c>
    </row>
    <row r="1941" spans="1:14">
      <c r="A1941">
        <v>1940</v>
      </c>
      <c r="B1941" t="s">
        <v>28</v>
      </c>
      <c r="C1941" s="5">
        <v>45457</v>
      </c>
      <c r="D1941" s="8">
        <v>45457</v>
      </c>
      <c r="E1941" s="8">
        <f>IF(B1941="Inactive", EDATE(D1941,K1941), "")</f>
        <v>45671</v>
      </c>
      <c r="F1941" t="s">
        <v>12</v>
      </c>
      <c r="G1941">
        <v>23.4</v>
      </c>
      <c r="H1941" t="str" cm="1">
        <f t="array" ref="H1941">_xlfn.IFS(G1941&gt;=20,"20-25", G1941&gt;=15,"15-20", G1941&gt;=10,"10-15", G1941&gt;=5,"5-10", G1941&gt;=1,"1-5", G1941&lt;1,"Less than 1")</f>
        <v>20-25</v>
      </c>
      <c r="I1941">
        <v>1</v>
      </c>
      <c r="J1941">
        <v>2</v>
      </c>
      <c r="K1941" s="6">
        <v>7</v>
      </c>
      <c r="L1941" s="2">
        <v>1.99</v>
      </c>
      <c r="M1941" s="6">
        <v>43</v>
      </c>
      <c r="N1941" t="str" cm="1">
        <f t="array" ref="N1941">_xlfn.IFS(M1941&gt;=50,"50-60 Days", M1941&gt;=40,"40-50 Days", M1941&gt;=30, "30-40 Days", M1941&gt;=20, "20-30 Days", M1941&gt;=10, "10-20 Days", M1941&gt;=0, "0-10 Days")</f>
        <v>40-50 Days</v>
      </c>
    </row>
    <row r="1942" spans="1:14">
      <c r="A1942">
        <v>1941</v>
      </c>
      <c r="B1942" t="s">
        <v>28</v>
      </c>
      <c r="C1942" s="5">
        <v>45392</v>
      </c>
      <c r="D1942" s="8">
        <v>45392</v>
      </c>
      <c r="E1942" s="8">
        <f>IF(B1942="Inactive", EDATE(D1942,K1942), "")</f>
        <v>45483</v>
      </c>
      <c r="F1942" t="s">
        <v>12</v>
      </c>
      <c r="G1942">
        <v>12.7</v>
      </c>
      <c r="H1942" t="str" cm="1">
        <f t="array" ref="H1942">_xlfn.IFS(G1942&gt;=20,"20-25", G1942&gt;=15,"15-20", G1942&gt;=10,"10-15", G1942&gt;=5,"5-10", G1942&gt;=1,"1-5", G1942&lt;1,"Less than 1")</f>
        <v>10-15</v>
      </c>
      <c r="I1942">
        <v>2</v>
      </c>
      <c r="J1942">
        <v>4</v>
      </c>
      <c r="K1942" s="6">
        <v>3</v>
      </c>
      <c r="L1942" s="2">
        <v>1.99</v>
      </c>
      <c r="M1942" s="6">
        <v>58</v>
      </c>
      <c r="N1942" t="str" cm="1">
        <f t="array" ref="N1942">_xlfn.IFS(M1942&gt;=50,"50-60 Days", M1942&gt;=40,"40-50 Days", M1942&gt;=30, "30-40 Days", M1942&gt;=20, "20-30 Days", M1942&gt;=10, "10-20 Days", M1942&gt;=0, "0-10 Days")</f>
        <v>50-60 Days</v>
      </c>
    </row>
    <row r="1943" spans="1:14">
      <c r="A1943">
        <v>1942</v>
      </c>
      <c r="B1943" t="s">
        <v>29</v>
      </c>
      <c r="C1943" s="5">
        <v>45273</v>
      </c>
      <c r="D1943" s="8">
        <v>45273</v>
      </c>
      <c r="E1943" s="8" t="str">
        <f>IF(B1943="Inactive", EDATE(D1943,K1943), "")</f>
        <v/>
      </c>
      <c r="F1943" t="s">
        <v>10</v>
      </c>
      <c r="G1943">
        <v>20.9</v>
      </c>
      <c r="H1943" t="str" cm="1">
        <f t="array" ref="H1943">_xlfn.IFS(G1943&gt;=20,"20-25", G1943&gt;=15,"15-20", G1943&gt;=10,"10-15", G1943&gt;=5,"5-10", G1943&gt;=1,"1-5", G1943&lt;1,"Less than 1")</f>
        <v>20-25</v>
      </c>
      <c r="I1943">
        <v>7</v>
      </c>
      <c r="J1943">
        <v>0</v>
      </c>
      <c r="K1943" s="6">
        <v>12</v>
      </c>
      <c r="L1943" s="2">
        <v>6.99</v>
      </c>
      <c r="M1943" s="6">
        <v>42</v>
      </c>
      <c r="N1943" t="str" cm="1">
        <f t="array" ref="N1943">_xlfn.IFS(M1943&gt;=50,"50-60 Days", M1943&gt;=40,"40-50 Days", M1943&gt;=30, "30-40 Days", M1943&gt;=20, "20-30 Days", M1943&gt;=10, "10-20 Days", M1943&gt;=0, "0-10 Days")</f>
        <v>40-50 Days</v>
      </c>
    </row>
    <row r="1944" spans="1:14">
      <c r="A1944">
        <v>1943</v>
      </c>
      <c r="B1944" t="s">
        <v>28</v>
      </c>
      <c r="C1944" s="5">
        <v>45293</v>
      </c>
      <c r="D1944" s="8">
        <v>45293</v>
      </c>
      <c r="E1944" s="8">
        <f>IF(B1944="Inactive", EDATE(D1944,K1944), "")</f>
        <v>45537</v>
      </c>
      <c r="F1944" t="s">
        <v>12</v>
      </c>
      <c r="G1944">
        <v>4</v>
      </c>
      <c r="H1944" t="str" cm="1">
        <f t="array" ref="H1944">_xlfn.IFS(G1944&gt;=20,"20-25", G1944&gt;=15,"15-20", G1944&gt;=10,"10-15", G1944&gt;=5,"5-10", G1944&gt;=1,"1-5", G1944&lt;1,"Less than 1")</f>
        <v>1-5</v>
      </c>
      <c r="I1944">
        <v>7</v>
      </c>
      <c r="J1944">
        <v>1</v>
      </c>
      <c r="K1944" s="6">
        <v>8</v>
      </c>
      <c r="L1944" s="2">
        <v>1.99</v>
      </c>
      <c r="M1944" s="6">
        <v>50</v>
      </c>
      <c r="N1944" t="str" cm="1">
        <f t="array" ref="N1944">_xlfn.IFS(M1944&gt;=50,"50-60 Days", M1944&gt;=40,"40-50 Days", M1944&gt;=30, "30-40 Days", M1944&gt;=20, "20-30 Days", M1944&gt;=10, "10-20 Days", M1944&gt;=0, "0-10 Days")</f>
        <v>50-60 Days</v>
      </c>
    </row>
    <row r="1945" spans="1:14">
      <c r="A1945">
        <v>1944</v>
      </c>
      <c r="B1945" t="s">
        <v>29</v>
      </c>
      <c r="C1945" s="5">
        <v>45255</v>
      </c>
      <c r="D1945" s="8">
        <v>45255</v>
      </c>
      <c r="E1945" s="8" t="str">
        <f>IF(B1945="Inactive", EDATE(D1945,K1945), "")</f>
        <v/>
      </c>
      <c r="F1945" t="s">
        <v>12</v>
      </c>
      <c r="G1945">
        <v>20.399999999999999</v>
      </c>
      <c r="H1945" t="str" cm="1">
        <f t="array" ref="H1945">_xlfn.IFS(G1945&gt;=20,"20-25", G1945&gt;=15,"15-20", G1945&gt;=10,"10-15", G1945&gt;=5,"5-10", G1945&gt;=1,"1-5", G1945&lt;1,"Less than 1")</f>
        <v>20-25</v>
      </c>
      <c r="I1945">
        <v>1</v>
      </c>
      <c r="J1945">
        <v>4</v>
      </c>
      <c r="K1945" s="6">
        <v>11</v>
      </c>
      <c r="L1945" s="2">
        <v>1.99</v>
      </c>
      <c r="M1945" s="6">
        <v>5</v>
      </c>
      <c r="N1945" t="str" cm="1">
        <f t="array" ref="N1945">_xlfn.IFS(M1945&gt;=50,"50-60 Days", M1945&gt;=40,"40-50 Days", M1945&gt;=30, "30-40 Days", M1945&gt;=20, "20-30 Days", M1945&gt;=10, "10-20 Days", M1945&gt;=0, "0-10 Days")</f>
        <v>0-10 Days</v>
      </c>
    </row>
    <row r="1946" spans="1:14">
      <c r="A1946">
        <v>1945</v>
      </c>
      <c r="B1946" t="s">
        <v>28</v>
      </c>
      <c r="C1946" s="5">
        <v>45065</v>
      </c>
      <c r="D1946" s="8">
        <v>45065</v>
      </c>
      <c r="E1946" s="8">
        <f>IF(B1946="Inactive", EDATE(D1946,K1946), "")</f>
        <v>45431</v>
      </c>
      <c r="F1946" t="s">
        <v>10</v>
      </c>
      <c r="G1946">
        <v>13.3</v>
      </c>
      <c r="H1946" t="str" cm="1">
        <f t="array" ref="H1946">_xlfn.IFS(G1946&gt;=20,"20-25", G1946&gt;=15,"15-20", G1946&gt;=10,"10-15", G1946&gt;=5,"5-10", G1946&gt;=1,"1-5", G1946&lt;1,"Less than 1")</f>
        <v>10-15</v>
      </c>
      <c r="I1946">
        <v>8</v>
      </c>
      <c r="J1946">
        <v>5</v>
      </c>
      <c r="K1946" s="6">
        <v>12</v>
      </c>
      <c r="L1946" s="2">
        <v>6.99</v>
      </c>
      <c r="M1946" s="6">
        <v>12</v>
      </c>
      <c r="N1946" t="str" cm="1">
        <f t="array" ref="N1946">_xlfn.IFS(M1946&gt;=50,"50-60 Days", M1946&gt;=40,"40-50 Days", M1946&gt;=30, "30-40 Days", M1946&gt;=20, "20-30 Days", M1946&gt;=10, "10-20 Days", M1946&gt;=0, "0-10 Days")</f>
        <v>10-20 Days</v>
      </c>
    </row>
    <row r="1947" spans="1:14">
      <c r="A1947">
        <v>1946</v>
      </c>
      <c r="B1947" t="s">
        <v>28</v>
      </c>
      <c r="C1947" s="5">
        <v>45429</v>
      </c>
      <c r="D1947" s="8">
        <v>45429</v>
      </c>
      <c r="E1947" s="8">
        <f>IF(B1947="Inactive", EDATE(D1947,K1947), "")</f>
        <v>45582</v>
      </c>
      <c r="F1947" t="s">
        <v>14</v>
      </c>
      <c r="G1947">
        <v>7.7</v>
      </c>
      <c r="H1947" t="str" cm="1">
        <f t="array" ref="H1947">_xlfn.IFS(G1947&gt;=20,"20-25", G1947&gt;=15,"15-20", G1947&gt;=10,"10-15", G1947&gt;=5,"5-10", G1947&gt;=1,"1-5", G1947&lt;1,"Less than 1")</f>
        <v>5-10</v>
      </c>
      <c r="I1947">
        <v>6</v>
      </c>
      <c r="J1947">
        <v>3</v>
      </c>
      <c r="K1947" s="6">
        <v>5</v>
      </c>
      <c r="L1947" s="2">
        <v>3.99</v>
      </c>
      <c r="M1947" s="6">
        <v>27</v>
      </c>
      <c r="N1947" t="str" cm="1">
        <f t="array" ref="N1947">_xlfn.IFS(M1947&gt;=50,"50-60 Days", M1947&gt;=40,"40-50 Days", M1947&gt;=30, "30-40 Days", M1947&gt;=20, "20-30 Days", M1947&gt;=10, "10-20 Days", M1947&gt;=0, "0-10 Days")</f>
        <v>20-30 Days</v>
      </c>
    </row>
    <row r="1948" spans="1:14">
      <c r="A1948">
        <v>1947</v>
      </c>
      <c r="B1948" t="s">
        <v>28</v>
      </c>
      <c r="C1948" s="5">
        <v>45436</v>
      </c>
      <c r="D1948" s="8">
        <v>45436</v>
      </c>
      <c r="E1948" s="8">
        <f>IF(B1948="Inactive", EDATE(D1948,K1948), "")</f>
        <v>45771</v>
      </c>
      <c r="F1948" t="s">
        <v>12</v>
      </c>
      <c r="G1948">
        <v>3.1</v>
      </c>
      <c r="H1948" t="str" cm="1">
        <f t="array" ref="H1948">_xlfn.IFS(G1948&gt;=20,"20-25", G1948&gt;=15,"15-20", G1948&gt;=10,"10-15", G1948&gt;=5,"5-10", G1948&gt;=1,"1-5", G1948&lt;1,"Less than 1")</f>
        <v>1-5</v>
      </c>
      <c r="I1948">
        <v>8</v>
      </c>
      <c r="J1948">
        <v>3</v>
      </c>
      <c r="K1948" s="6">
        <v>11</v>
      </c>
      <c r="L1948" s="2">
        <v>1.99</v>
      </c>
      <c r="M1948" s="6">
        <v>39</v>
      </c>
      <c r="N1948" t="str" cm="1">
        <f t="array" ref="N1948">_xlfn.IFS(M1948&gt;=50,"50-60 Days", M1948&gt;=40,"40-50 Days", M1948&gt;=30, "30-40 Days", M1948&gt;=20, "20-30 Days", M1948&gt;=10, "10-20 Days", M1948&gt;=0, "0-10 Days")</f>
        <v>30-40 Days</v>
      </c>
    </row>
    <row r="1949" spans="1:14">
      <c r="A1949">
        <v>1948</v>
      </c>
      <c r="B1949" t="s">
        <v>28</v>
      </c>
      <c r="C1949" s="5">
        <v>45528</v>
      </c>
      <c r="D1949" s="8">
        <v>45528</v>
      </c>
      <c r="E1949" s="8">
        <f>IF(B1949="Inactive", EDATE(D1949,K1949), "")</f>
        <v>45589</v>
      </c>
      <c r="F1949" t="s">
        <v>14</v>
      </c>
      <c r="G1949">
        <v>13.4</v>
      </c>
      <c r="H1949" t="str" cm="1">
        <f t="array" ref="H1949">_xlfn.IFS(G1949&gt;=20,"20-25", G1949&gt;=15,"15-20", G1949&gt;=10,"10-15", G1949&gt;=5,"5-10", G1949&gt;=1,"1-5", G1949&lt;1,"Less than 1")</f>
        <v>10-15</v>
      </c>
      <c r="I1949">
        <v>0</v>
      </c>
      <c r="J1949">
        <v>1</v>
      </c>
      <c r="K1949" s="6">
        <v>2</v>
      </c>
      <c r="L1949" s="2">
        <v>3.99</v>
      </c>
      <c r="M1949" s="6">
        <v>60</v>
      </c>
      <c r="N1949" t="str" cm="1">
        <f t="array" ref="N1949">_xlfn.IFS(M1949&gt;=50,"50-60 Days", M1949&gt;=40,"40-50 Days", M1949&gt;=30, "30-40 Days", M1949&gt;=20, "20-30 Days", M1949&gt;=10, "10-20 Days", M1949&gt;=0, "0-10 Days")</f>
        <v>50-60 Days</v>
      </c>
    </row>
    <row r="1950" spans="1:14">
      <c r="A1950">
        <v>1949</v>
      </c>
      <c r="B1950" t="s">
        <v>28</v>
      </c>
      <c r="C1950" s="5">
        <v>44975</v>
      </c>
      <c r="D1950" s="8">
        <v>44975</v>
      </c>
      <c r="E1950" s="8">
        <f>IF(B1950="Inactive", EDATE(D1950,K1950), "")</f>
        <v>45340</v>
      </c>
      <c r="F1950" t="s">
        <v>10</v>
      </c>
      <c r="G1950">
        <v>4.7</v>
      </c>
      <c r="H1950" t="str" cm="1">
        <f t="array" ref="H1950">_xlfn.IFS(G1950&gt;=20,"20-25", G1950&gt;=15,"15-20", G1950&gt;=10,"10-15", G1950&gt;=5,"5-10", G1950&gt;=1,"1-5", G1950&lt;1,"Less than 1")</f>
        <v>1-5</v>
      </c>
      <c r="I1950">
        <v>5</v>
      </c>
      <c r="J1950">
        <v>5</v>
      </c>
      <c r="K1950" s="6">
        <v>12</v>
      </c>
      <c r="L1950" s="2">
        <v>6.99</v>
      </c>
      <c r="M1950" s="6">
        <v>3</v>
      </c>
      <c r="N1950" t="str" cm="1">
        <f t="array" ref="N1950">_xlfn.IFS(M1950&gt;=50,"50-60 Days", M1950&gt;=40,"40-50 Days", M1950&gt;=30, "30-40 Days", M1950&gt;=20, "20-30 Days", M1950&gt;=10, "10-20 Days", M1950&gt;=0, "0-10 Days")</f>
        <v>0-10 Days</v>
      </c>
    </row>
    <row r="1951" spans="1:14">
      <c r="A1951">
        <v>1950</v>
      </c>
      <c r="B1951" t="s">
        <v>29</v>
      </c>
      <c r="C1951" s="5">
        <v>45371</v>
      </c>
      <c r="D1951" s="8">
        <v>45371</v>
      </c>
      <c r="E1951" s="8" t="str">
        <f>IF(B1951="Inactive", EDATE(D1951,K1951), "")</f>
        <v/>
      </c>
      <c r="F1951" t="s">
        <v>14</v>
      </c>
      <c r="G1951">
        <v>5.0999999999999996</v>
      </c>
      <c r="H1951" t="str" cm="1">
        <f t="array" ref="H1951">_xlfn.IFS(G1951&gt;=20,"20-25", G1951&gt;=15,"15-20", G1951&gt;=10,"10-15", G1951&gt;=5,"5-10", G1951&gt;=1,"1-5", G1951&lt;1,"Less than 1")</f>
        <v>5-10</v>
      </c>
      <c r="I1951">
        <v>8</v>
      </c>
      <c r="J1951">
        <v>0</v>
      </c>
      <c r="K1951" s="6">
        <v>9</v>
      </c>
      <c r="L1951" s="2">
        <v>3.99</v>
      </c>
      <c r="M1951" s="6">
        <v>52</v>
      </c>
      <c r="N1951" t="str" cm="1">
        <f t="array" ref="N1951">_xlfn.IFS(M1951&gt;=50,"50-60 Days", M1951&gt;=40,"40-50 Days", M1951&gt;=30, "30-40 Days", M1951&gt;=20, "20-30 Days", M1951&gt;=10, "10-20 Days", M1951&gt;=0, "0-10 Days")</f>
        <v>50-60 Days</v>
      </c>
    </row>
    <row r="1952" spans="1:14">
      <c r="A1952">
        <v>1951</v>
      </c>
      <c r="B1952" t="s">
        <v>29</v>
      </c>
      <c r="C1952" s="5">
        <v>44972</v>
      </c>
      <c r="D1952" s="8">
        <v>44972</v>
      </c>
      <c r="E1952" s="8" t="str">
        <f>IF(B1952="Inactive", EDATE(D1952,K1952), "")</f>
        <v/>
      </c>
      <c r="F1952" t="s">
        <v>10</v>
      </c>
      <c r="G1952">
        <v>13.3</v>
      </c>
      <c r="H1952" t="str" cm="1">
        <f t="array" ref="H1952">_xlfn.IFS(G1952&gt;=20,"20-25", G1952&gt;=15,"15-20", G1952&gt;=10,"10-15", G1952&gt;=5,"5-10", G1952&gt;=1,"1-5", G1952&lt;1,"Less than 1")</f>
        <v>10-15</v>
      </c>
      <c r="I1952">
        <v>2</v>
      </c>
      <c r="J1952">
        <v>4</v>
      </c>
      <c r="K1952" s="6">
        <v>11</v>
      </c>
      <c r="L1952" s="2">
        <v>6.99</v>
      </c>
      <c r="M1952" s="6">
        <v>23</v>
      </c>
      <c r="N1952" t="str" cm="1">
        <f t="array" ref="N1952">_xlfn.IFS(M1952&gt;=50,"50-60 Days", M1952&gt;=40,"40-50 Days", M1952&gt;=30, "30-40 Days", M1952&gt;=20, "20-30 Days", M1952&gt;=10, "10-20 Days", M1952&gt;=0, "0-10 Days")</f>
        <v>20-30 Days</v>
      </c>
    </row>
    <row r="1953" spans="1:14">
      <c r="A1953">
        <v>1952</v>
      </c>
      <c r="B1953" t="s">
        <v>28</v>
      </c>
      <c r="C1953" s="5">
        <v>45135</v>
      </c>
      <c r="D1953" s="8">
        <v>45135</v>
      </c>
      <c r="E1953" s="8">
        <f>IF(B1953="Inactive", EDATE(D1953,K1953), "")</f>
        <v>45227</v>
      </c>
      <c r="F1953" t="s">
        <v>12</v>
      </c>
      <c r="G1953">
        <v>11.7</v>
      </c>
      <c r="H1953" t="str" cm="1">
        <f t="array" ref="H1953">_xlfn.IFS(G1953&gt;=20,"20-25", G1953&gt;=15,"15-20", G1953&gt;=10,"10-15", G1953&gt;=5,"5-10", G1953&gt;=1,"1-5", G1953&lt;1,"Less than 1")</f>
        <v>10-15</v>
      </c>
      <c r="I1953">
        <v>2</v>
      </c>
      <c r="J1953">
        <v>1</v>
      </c>
      <c r="K1953" s="6">
        <v>3</v>
      </c>
      <c r="L1953" s="2">
        <v>1.99</v>
      </c>
      <c r="M1953" s="6">
        <v>45</v>
      </c>
      <c r="N1953" t="str" cm="1">
        <f t="array" ref="N1953">_xlfn.IFS(M1953&gt;=50,"50-60 Days", M1953&gt;=40,"40-50 Days", M1953&gt;=30, "30-40 Days", M1953&gt;=20, "20-30 Days", M1953&gt;=10, "10-20 Days", M1953&gt;=0, "0-10 Days")</f>
        <v>40-50 Days</v>
      </c>
    </row>
    <row r="1954" spans="1:14">
      <c r="A1954">
        <v>1953</v>
      </c>
      <c r="B1954" t="s">
        <v>29</v>
      </c>
      <c r="C1954" s="5">
        <v>45632</v>
      </c>
      <c r="D1954" s="8">
        <v>45632</v>
      </c>
      <c r="E1954" s="8" t="str">
        <f>IF(B1954="Inactive", EDATE(D1954,K1954), "")</f>
        <v/>
      </c>
      <c r="F1954" t="s">
        <v>14</v>
      </c>
      <c r="G1954">
        <v>14.5</v>
      </c>
      <c r="H1954" t="str" cm="1">
        <f t="array" ref="H1954">_xlfn.IFS(G1954&gt;=20,"20-25", G1954&gt;=15,"15-20", G1954&gt;=10,"10-15", G1954&gt;=5,"5-10", G1954&gt;=1,"1-5", G1954&lt;1,"Less than 1")</f>
        <v>10-15</v>
      </c>
      <c r="I1954">
        <v>0</v>
      </c>
      <c r="J1954">
        <v>0</v>
      </c>
      <c r="K1954" s="6">
        <v>5</v>
      </c>
      <c r="L1954" s="2">
        <v>3.99</v>
      </c>
      <c r="M1954" s="6">
        <v>59</v>
      </c>
      <c r="N1954" t="str" cm="1">
        <f t="array" ref="N1954">_xlfn.IFS(M1954&gt;=50,"50-60 Days", M1954&gt;=40,"40-50 Days", M1954&gt;=30, "30-40 Days", M1954&gt;=20, "20-30 Days", M1954&gt;=10, "10-20 Days", M1954&gt;=0, "0-10 Days")</f>
        <v>50-60 Days</v>
      </c>
    </row>
    <row r="1955" spans="1:14">
      <c r="A1955">
        <v>1954</v>
      </c>
      <c r="B1955" t="s">
        <v>29</v>
      </c>
      <c r="C1955" s="5">
        <v>45265</v>
      </c>
      <c r="D1955" s="8">
        <v>45265</v>
      </c>
      <c r="E1955" s="8" t="str">
        <f>IF(B1955="Inactive", EDATE(D1955,K1955), "")</f>
        <v/>
      </c>
      <c r="F1955" t="s">
        <v>12</v>
      </c>
      <c r="G1955">
        <v>0.6</v>
      </c>
      <c r="H1955" t="str" cm="1">
        <f t="array" ref="H1955">_xlfn.IFS(G1955&gt;=20,"20-25", G1955&gt;=15,"15-20", G1955&gt;=10,"10-15", G1955&gt;=5,"5-10", G1955&gt;=1,"1-5", G1955&lt;1,"Less than 1")</f>
        <v>Less than 1</v>
      </c>
      <c r="I1955">
        <v>3</v>
      </c>
      <c r="J1955">
        <v>5</v>
      </c>
      <c r="K1955" s="6">
        <v>7</v>
      </c>
      <c r="L1955" s="2">
        <v>1.99</v>
      </c>
      <c r="M1955" s="6">
        <v>52</v>
      </c>
      <c r="N1955" t="str" cm="1">
        <f t="array" ref="N1955">_xlfn.IFS(M1955&gt;=50,"50-60 Days", M1955&gt;=40,"40-50 Days", M1955&gt;=30, "30-40 Days", M1955&gt;=20, "20-30 Days", M1955&gt;=10, "10-20 Days", M1955&gt;=0, "0-10 Days")</f>
        <v>50-60 Days</v>
      </c>
    </row>
    <row r="1956" spans="1:14">
      <c r="A1956">
        <v>1955</v>
      </c>
      <c r="B1956" t="s">
        <v>28</v>
      </c>
      <c r="C1956" s="5">
        <v>45540</v>
      </c>
      <c r="D1956" s="8">
        <v>45540</v>
      </c>
      <c r="E1956" s="8">
        <f>IF(B1956="Inactive", EDATE(D1956,K1956), "")</f>
        <v>45813</v>
      </c>
      <c r="F1956" t="s">
        <v>12</v>
      </c>
      <c r="G1956">
        <v>20.8</v>
      </c>
      <c r="H1956" t="str" cm="1">
        <f t="array" ref="H1956">_xlfn.IFS(G1956&gt;=20,"20-25", G1956&gt;=15,"15-20", G1956&gt;=10,"10-15", G1956&gt;=5,"5-10", G1956&gt;=1,"1-5", G1956&lt;1,"Less than 1")</f>
        <v>20-25</v>
      </c>
      <c r="I1956">
        <v>5</v>
      </c>
      <c r="J1956">
        <v>3</v>
      </c>
      <c r="K1956" s="6">
        <v>9</v>
      </c>
      <c r="L1956" s="2">
        <v>1.99</v>
      </c>
      <c r="M1956" s="6">
        <v>2</v>
      </c>
      <c r="N1956" t="str" cm="1">
        <f t="array" ref="N1956">_xlfn.IFS(M1956&gt;=50,"50-60 Days", M1956&gt;=40,"40-50 Days", M1956&gt;=30, "30-40 Days", M1956&gt;=20, "20-30 Days", M1956&gt;=10, "10-20 Days", M1956&gt;=0, "0-10 Days")</f>
        <v>0-10 Days</v>
      </c>
    </row>
    <row r="1957" spans="1:14">
      <c r="A1957">
        <v>1956</v>
      </c>
      <c r="B1957" t="s">
        <v>28</v>
      </c>
      <c r="C1957" s="5">
        <v>45568</v>
      </c>
      <c r="D1957" s="8">
        <v>45568</v>
      </c>
      <c r="E1957" s="8">
        <f>IF(B1957="Inactive", EDATE(D1957,K1957), "")</f>
        <v>45750</v>
      </c>
      <c r="F1957" t="s">
        <v>12</v>
      </c>
      <c r="G1957">
        <v>22.1</v>
      </c>
      <c r="H1957" t="str" cm="1">
        <f t="array" ref="H1957">_xlfn.IFS(G1957&gt;=20,"20-25", G1957&gt;=15,"15-20", G1957&gt;=10,"10-15", G1957&gt;=5,"5-10", G1957&gt;=1,"1-5", G1957&lt;1,"Less than 1")</f>
        <v>20-25</v>
      </c>
      <c r="I1957">
        <v>6</v>
      </c>
      <c r="J1957">
        <v>5</v>
      </c>
      <c r="K1957" s="6">
        <v>6</v>
      </c>
      <c r="L1957" s="2">
        <v>1.99</v>
      </c>
      <c r="M1957" s="6">
        <v>36</v>
      </c>
      <c r="N1957" t="str" cm="1">
        <f t="array" ref="N1957">_xlfn.IFS(M1957&gt;=50,"50-60 Days", M1957&gt;=40,"40-50 Days", M1957&gt;=30, "30-40 Days", M1957&gt;=20, "20-30 Days", M1957&gt;=10, "10-20 Days", M1957&gt;=0, "0-10 Days")</f>
        <v>30-40 Days</v>
      </c>
    </row>
    <row r="1958" spans="1:14">
      <c r="A1958">
        <v>1957</v>
      </c>
      <c r="B1958" t="s">
        <v>28</v>
      </c>
      <c r="C1958" s="5">
        <v>45350</v>
      </c>
      <c r="D1958" s="8">
        <v>45350</v>
      </c>
      <c r="E1958" s="8">
        <f>IF(B1958="Inactive", EDATE(D1958,K1958), "")</f>
        <v>45501</v>
      </c>
      <c r="F1958" t="s">
        <v>14</v>
      </c>
      <c r="G1958">
        <v>23.5</v>
      </c>
      <c r="H1958" t="str" cm="1">
        <f t="array" ref="H1958">_xlfn.IFS(G1958&gt;=20,"20-25", G1958&gt;=15,"15-20", G1958&gt;=10,"10-15", G1958&gt;=5,"5-10", G1958&gt;=1,"1-5", G1958&lt;1,"Less than 1")</f>
        <v>20-25</v>
      </c>
      <c r="I1958">
        <v>4</v>
      </c>
      <c r="J1958">
        <v>3</v>
      </c>
      <c r="K1958" s="6">
        <v>5</v>
      </c>
      <c r="L1958" s="2">
        <v>3.99</v>
      </c>
      <c r="M1958" s="6">
        <v>44</v>
      </c>
      <c r="N1958" t="str" cm="1">
        <f t="array" ref="N1958">_xlfn.IFS(M1958&gt;=50,"50-60 Days", M1958&gt;=40,"40-50 Days", M1958&gt;=30, "30-40 Days", M1958&gt;=20, "20-30 Days", M1958&gt;=10, "10-20 Days", M1958&gt;=0, "0-10 Days")</f>
        <v>40-50 Days</v>
      </c>
    </row>
    <row r="1959" spans="1:14">
      <c r="A1959">
        <v>1958</v>
      </c>
      <c r="B1959" t="s">
        <v>29</v>
      </c>
      <c r="C1959" s="5">
        <v>45568</v>
      </c>
      <c r="D1959" s="8">
        <v>45568</v>
      </c>
      <c r="E1959" s="8" t="str">
        <f>IF(B1959="Inactive", EDATE(D1959,K1959), "")</f>
        <v/>
      </c>
      <c r="F1959" t="s">
        <v>14</v>
      </c>
      <c r="G1959">
        <v>21.1</v>
      </c>
      <c r="H1959" t="str" cm="1">
        <f t="array" ref="H1959">_xlfn.IFS(G1959&gt;=20,"20-25", G1959&gt;=15,"15-20", G1959&gt;=10,"10-15", G1959&gt;=5,"5-10", G1959&gt;=1,"1-5", G1959&lt;1,"Less than 1")</f>
        <v>20-25</v>
      </c>
      <c r="I1959">
        <v>3</v>
      </c>
      <c r="J1959">
        <v>3</v>
      </c>
      <c r="K1959" s="6">
        <v>6</v>
      </c>
      <c r="L1959" s="2">
        <v>3.99</v>
      </c>
      <c r="M1959" s="6">
        <v>16</v>
      </c>
      <c r="N1959" t="str" cm="1">
        <f t="array" ref="N1959">_xlfn.IFS(M1959&gt;=50,"50-60 Days", M1959&gt;=40,"40-50 Days", M1959&gt;=30, "30-40 Days", M1959&gt;=20, "20-30 Days", M1959&gt;=10, "10-20 Days", M1959&gt;=0, "0-10 Days")</f>
        <v>10-20 Days</v>
      </c>
    </row>
    <row r="1960" spans="1:14">
      <c r="A1960">
        <v>1959</v>
      </c>
      <c r="B1960" t="s">
        <v>28</v>
      </c>
      <c r="C1960" s="5">
        <v>44999</v>
      </c>
      <c r="D1960" s="8">
        <v>44999</v>
      </c>
      <c r="E1960" s="8">
        <f>IF(B1960="Inactive", EDATE(D1960,K1960), "")</f>
        <v>45274</v>
      </c>
      <c r="F1960" t="s">
        <v>10</v>
      </c>
      <c r="G1960">
        <v>1.5</v>
      </c>
      <c r="H1960" t="str" cm="1">
        <f t="array" ref="H1960">_xlfn.IFS(G1960&gt;=20,"20-25", G1960&gt;=15,"15-20", G1960&gt;=10,"10-15", G1960&gt;=5,"5-10", G1960&gt;=1,"1-5", G1960&lt;1,"Less than 1")</f>
        <v>1-5</v>
      </c>
      <c r="I1960">
        <v>7</v>
      </c>
      <c r="J1960">
        <v>1</v>
      </c>
      <c r="K1960" s="6">
        <v>9</v>
      </c>
      <c r="L1960" s="2">
        <v>6.99</v>
      </c>
      <c r="M1960" s="6">
        <v>42</v>
      </c>
      <c r="N1960" t="str" cm="1">
        <f t="array" ref="N1960">_xlfn.IFS(M1960&gt;=50,"50-60 Days", M1960&gt;=40,"40-50 Days", M1960&gt;=30, "30-40 Days", M1960&gt;=20, "20-30 Days", M1960&gt;=10, "10-20 Days", M1960&gt;=0, "0-10 Days")</f>
        <v>40-50 Days</v>
      </c>
    </row>
    <row r="1961" spans="1:14">
      <c r="A1961">
        <v>1960</v>
      </c>
      <c r="B1961" t="s">
        <v>29</v>
      </c>
      <c r="C1961" s="5">
        <v>45098</v>
      </c>
      <c r="D1961" s="8">
        <v>45098</v>
      </c>
      <c r="E1961" s="8" t="str">
        <f>IF(B1961="Inactive", EDATE(D1961,K1961), "")</f>
        <v/>
      </c>
      <c r="F1961" t="s">
        <v>10</v>
      </c>
      <c r="G1961">
        <v>3.3</v>
      </c>
      <c r="H1961" t="str" cm="1">
        <f t="array" ref="H1961">_xlfn.IFS(G1961&gt;=20,"20-25", G1961&gt;=15,"15-20", G1961&gt;=10,"10-15", G1961&gt;=5,"5-10", G1961&gt;=1,"1-5", G1961&lt;1,"Less than 1")</f>
        <v>1-5</v>
      </c>
      <c r="I1961">
        <v>7</v>
      </c>
      <c r="J1961">
        <v>0</v>
      </c>
      <c r="K1961" s="6">
        <v>3</v>
      </c>
      <c r="L1961" s="2">
        <v>6.99</v>
      </c>
      <c r="M1961" s="6">
        <v>11</v>
      </c>
      <c r="N1961" t="str" cm="1">
        <f t="array" ref="N1961">_xlfn.IFS(M1961&gt;=50,"50-60 Days", M1961&gt;=40,"40-50 Days", M1961&gt;=30, "30-40 Days", M1961&gt;=20, "20-30 Days", M1961&gt;=10, "10-20 Days", M1961&gt;=0, "0-10 Days")</f>
        <v>10-20 Days</v>
      </c>
    </row>
    <row r="1962" spans="1:14">
      <c r="A1962">
        <v>1961</v>
      </c>
      <c r="B1962" t="s">
        <v>28</v>
      </c>
      <c r="C1962" s="5">
        <v>45510</v>
      </c>
      <c r="D1962" s="8">
        <v>45510</v>
      </c>
      <c r="E1962" s="8">
        <f>IF(B1962="Inactive", EDATE(D1962,K1962), "")</f>
        <v>45694</v>
      </c>
      <c r="F1962" t="s">
        <v>10</v>
      </c>
      <c r="G1962">
        <v>23.9</v>
      </c>
      <c r="H1962" t="str" cm="1">
        <f t="array" ref="H1962">_xlfn.IFS(G1962&gt;=20,"20-25", G1962&gt;=15,"15-20", G1962&gt;=10,"10-15", G1962&gt;=5,"5-10", G1962&gt;=1,"1-5", G1962&lt;1,"Less than 1")</f>
        <v>20-25</v>
      </c>
      <c r="I1962">
        <v>6</v>
      </c>
      <c r="J1962">
        <v>2</v>
      </c>
      <c r="K1962" s="6">
        <v>6</v>
      </c>
      <c r="L1962" s="2">
        <v>6.99</v>
      </c>
      <c r="M1962" s="6">
        <v>34</v>
      </c>
      <c r="N1962" t="str" cm="1">
        <f t="array" ref="N1962">_xlfn.IFS(M1962&gt;=50,"50-60 Days", M1962&gt;=40,"40-50 Days", M1962&gt;=30, "30-40 Days", M1962&gt;=20, "20-30 Days", M1962&gt;=10, "10-20 Days", M1962&gt;=0, "0-10 Days")</f>
        <v>30-40 Days</v>
      </c>
    </row>
    <row r="1963" spans="1:14">
      <c r="A1963">
        <v>1962</v>
      </c>
      <c r="B1963" t="s">
        <v>28</v>
      </c>
      <c r="C1963" s="5">
        <v>45436</v>
      </c>
      <c r="D1963" s="8">
        <v>45436</v>
      </c>
      <c r="E1963" s="8">
        <f>IF(B1963="Inactive", EDATE(D1963,K1963), "")</f>
        <v>45528</v>
      </c>
      <c r="F1963" t="s">
        <v>14</v>
      </c>
      <c r="G1963">
        <v>19.100000000000001</v>
      </c>
      <c r="H1963" t="str" cm="1">
        <f t="array" ref="H1963">_xlfn.IFS(G1963&gt;=20,"20-25", G1963&gt;=15,"15-20", G1963&gt;=10,"10-15", G1963&gt;=5,"5-10", G1963&gt;=1,"1-5", G1963&lt;1,"Less than 1")</f>
        <v>15-20</v>
      </c>
      <c r="I1963">
        <v>6</v>
      </c>
      <c r="J1963">
        <v>1</v>
      </c>
      <c r="K1963" s="6">
        <v>3</v>
      </c>
      <c r="L1963" s="2">
        <v>3.99</v>
      </c>
      <c r="M1963" s="6">
        <v>60</v>
      </c>
      <c r="N1963" t="str" cm="1">
        <f t="array" ref="N1963">_xlfn.IFS(M1963&gt;=50,"50-60 Days", M1963&gt;=40,"40-50 Days", M1963&gt;=30, "30-40 Days", M1963&gt;=20, "20-30 Days", M1963&gt;=10, "10-20 Days", M1963&gt;=0, "0-10 Days")</f>
        <v>50-60 Days</v>
      </c>
    </row>
    <row r="1964" spans="1:14">
      <c r="A1964">
        <v>1963</v>
      </c>
      <c r="B1964" t="s">
        <v>28</v>
      </c>
      <c r="C1964" s="5">
        <v>45161</v>
      </c>
      <c r="D1964" s="8">
        <v>45161</v>
      </c>
      <c r="E1964" s="8">
        <f>IF(B1964="Inactive", EDATE(D1964,K1964), "")</f>
        <v>45253</v>
      </c>
      <c r="F1964" t="s">
        <v>12</v>
      </c>
      <c r="G1964">
        <v>13.2</v>
      </c>
      <c r="H1964" t="str" cm="1">
        <f t="array" ref="H1964">_xlfn.IFS(G1964&gt;=20,"20-25", G1964&gt;=15,"15-20", G1964&gt;=10,"10-15", G1964&gt;=5,"5-10", G1964&gt;=1,"1-5", G1964&lt;1,"Less than 1")</f>
        <v>10-15</v>
      </c>
      <c r="I1964">
        <v>0</v>
      </c>
      <c r="J1964">
        <v>3</v>
      </c>
      <c r="K1964" s="6">
        <v>3</v>
      </c>
      <c r="L1964" s="2">
        <v>1.99</v>
      </c>
      <c r="M1964" s="6">
        <v>30</v>
      </c>
      <c r="N1964" t="str" cm="1">
        <f t="array" ref="N1964">_xlfn.IFS(M1964&gt;=50,"50-60 Days", M1964&gt;=40,"40-50 Days", M1964&gt;=30, "30-40 Days", M1964&gt;=20, "20-30 Days", M1964&gt;=10, "10-20 Days", M1964&gt;=0, "0-10 Days")</f>
        <v>30-40 Days</v>
      </c>
    </row>
    <row r="1965" spans="1:14">
      <c r="A1965">
        <v>1964</v>
      </c>
      <c r="B1965" t="s">
        <v>29</v>
      </c>
      <c r="C1965" s="5">
        <v>45375</v>
      </c>
      <c r="D1965" s="8">
        <v>45375</v>
      </c>
      <c r="E1965" s="8" t="str">
        <f>IF(B1965="Inactive", EDATE(D1965,K1965), "")</f>
        <v/>
      </c>
      <c r="F1965" t="s">
        <v>12</v>
      </c>
      <c r="G1965">
        <v>5</v>
      </c>
      <c r="H1965" t="str" cm="1">
        <f t="array" ref="H1965">_xlfn.IFS(G1965&gt;=20,"20-25", G1965&gt;=15,"15-20", G1965&gt;=10,"10-15", G1965&gt;=5,"5-10", G1965&gt;=1,"1-5", G1965&lt;1,"Less than 1")</f>
        <v>5-10</v>
      </c>
      <c r="I1965">
        <v>1</v>
      </c>
      <c r="J1965">
        <v>1</v>
      </c>
      <c r="K1965" s="6">
        <v>9</v>
      </c>
      <c r="L1965" s="2">
        <v>1.99</v>
      </c>
      <c r="M1965" s="6">
        <v>27</v>
      </c>
      <c r="N1965" t="str" cm="1">
        <f t="array" ref="N1965">_xlfn.IFS(M1965&gt;=50,"50-60 Days", M1965&gt;=40,"40-50 Days", M1965&gt;=30, "30-40 Days", M1965&gt;=20, "20-30 Days", M1965&gt;=10, "10-20 Days", M1965&gt;=0, "0-10 Days")</f>
        <v>20-30 Days</v>
      </c>
    </row>
    <row r="1966" spans="1:14">
      <c r="A1966">
        <v>1965</v>
      </c>
      <c r="B1966" t="s">
        <v>28</v>
      </c>
      <c r="C1966" s="5">
        <v>45120</v>
      </c>
      <c r="D1966" s="8">
        <v>45120</v>
      </c>
      <c r="E1966" s="8">
        <f>IF(B1966="Inactive", EDATE(D1966,K1966), "")</f>
        <v>45243</v>
      </c>
      <c r="F1966" t="s">
        <v>10</v>
      </c>
      <c r="G1966">
        <v>11.3</v>
      </c>
      <c r="H1966" t="str" cm="1">
        <f t="array" ref="H1966">_xlfn.IFS(G1966&gt;=20,"20-25", G1966&gt;=15,"15-20", G1966&gt;=10,"10-15", G1966&gt;=5,"5-10", G1966&gt;=1,"1-5", G1966&lt;1,"Less than 1")</f>
        <v>10-15</v>
      </c>
      <c r="I1966">
        <v>0</v>
      </c>
      <c r="J1966">
        <v>5</v>
      </c>
      <c r="K1966" s="6">
        <v>4</v>
      </c>
      <c r="L1966" s="2">
        <v>6.99</v>
      </c>
      <c r="M1966" s="6">
        <v>59</v>
      </c>
      <c r="N1966" t="str" cm="1">
        <f t="array" ref="N1966">_xlfn.IFS(M1966&gt;=50,"50-60 Days", M1966&gt;=40,"40-50 Days", M1966&gt;=30, "30-40 Days", M1966&gt;=20, "20-30 Days", M1966&gt;=10, "10-20 Days", M1966&gt;=0, "0-10 Days")</f>
        <v>50-60 Days</v>
      </c>
    </row>
    <row r="1967" spans="1:14">
      <c r="A1967">
        <v>1966</v>
      </c>
      <c r="B1967" t="s">
        <v>29</v>
      </c>
      <c r="C1967" s="5">
        <v>45183</v>
      </c>
      <c r="D1967" s="8">
        <v>45183</v>
      </c>
      <c r="E1967" s="8" t="str">
        <f>IF(B1967="Inactive", EDATE(D1967,K1967), "")</f>
        <v/>
      </c>
      <c r="F1967" t="s">
        <v>12</v>
      </c>
      <c r="G1967">
        <v>1.6</v>
      </c>
      <c r="H1967" t="str" cm="1">
        <f t="array" ref="H1967">_xlfn.IFS(G1967&gt;=20,"20-25", G1967&gt;=15,"15-20", G1967&gt;=10,"10-15", G1967&gt;=5,"5-10", G1967&gt;=1,"1-5", G1967&lt;1,"Less than 1")</f>
        <v>1-5</v>
      </c>
      <c r="I1967">
        <v>0</v>
      </c>
      <c r="J1967">
        <v>1</v>
      </c>
      <c r="K1967" s="6">
        <v>7</v>
      </c>
      <c r="L1967" s="2">
        <v>1.99</v>
      </c>
      <c r="M1967" s="6">
        <v>21</v>
      </c>
      <c r="N1967" t="str" cm="1">
        <f t="array" ref="N1967">_xlfn.IFS(M1967&gt;=50,"50-60 Days", M1967&gt;=40,"40-50 Days", M1967&gt;=30, "30-40 Days", M1967&gt;=20, "20-30 Days", M1967&gt;=10, "10-20 Days", M1967&gt;=0, "0-10 Days")</f>
        <v>20-30 Days</v>
      </c>
    </row>
    <row r="1968" spans="1:14">
      <c r="A1968">
        <v>1967</v>
      </c>
      <c r="B1968" t="s">
        <v>28</v>
      </c>
      <c r="C1968" s="5">
        <v>45225</v>
      </c>
      <c r="D1968" s="8">
        <v>45225</v>
      </c>
      <c r="E1968" s="8">
        <f>IF(B1968="Inactive", EDATE(D1968,K1968), "")</f>
        <v>45469</v>
      </c>
      <c r="F1968" t="s">
        <v>12</v>
      </c>
      <c r="G1968">
        <v>11.8</v>
      </c>
      <c r="H1968" t="str" cm="1">
        <f t="array" ref="H1968">_xlfn.IFS(G1968&gt;=20,"20-25", G1968&gt;=15,"15-20", G1968&gt;=10,"10-15", G1968&gt;=5,"5-10", G1968&gt;=1,"1-5", G1968&lt;1,"Less than 1")</f>
        <v>10-15</v>
      </c>
      <c r="I1968">
        <v>0</v>
      </c>
      <c r="J1968">
        <v>3</v>
      </c>
      <c r="K1968" s="6">
        <v>8</v>
      </c>
      <c r="L1968" s="2">
        <v>1.99</v>
      </c>
      <c r="M1968" s="6">
        <v>24</v>
      </c>
      <c r="N1968" t="str" cm="1">
        <f t="array" ref="N1968">_xlfn.IFS(M1968&gt;=50,"50-60 Days", M1968&gt;=40,"40-50 Days", M1968&gt;=30, "30-40 Days", M1968&gt;=20, "20-30 Days", M1968&gt;=10, "10-20 Days", M1968&gt;=0, "0-10 Days")</f>
        <v>20-30 Days</v>
      </c>
    </row>
    <row r="1969" spans="1:14">
      <c r="A1969">
        <v>1968</v>
      </c>
      <c r="B1969" t="s">
        <v>29</v>
      </c>
      <c r="C1969" s="5">
        <v>44952</v>
      </c>
      <c r="D1969" s="8">
        <v>44952</v>
      </c>
      <c r="E1969" s="8" t="str">
        <f>IF(B1969="Inactive", EDATE(D1969,K1969), "")</f>
        <v/>
      </c>
      <c r="F1969" t="s">
        <v>10</v>
      </c>
      <c r="G1969">
        <v>6</v>
      </c>
      <c r="H1969" t="str" cm="1">
        <f t="array" ref="H1969">_xlfn.IFS(G1969&gt;=20,"20-25", G1969&gt;=15,"15-20", G1969&gt;=10,"10-15", G1969&gt;=5,"5-10", G1969&gt;=1,"1-5", G1969&lt;1,"Less than 1")</f>
        <v>5-10</v>
      </c>
      <c r="I1969">
        <v>3</v>
      </c>
      <c r="J1969">
        <v>2</v>
      </c>
      <c r="K1969" s="6">
        <v>2</v>
      </c>
      <c r="L1969" s="2">
        <v>6.99</v>
      </c>
      <c r="M1969" s="6">
        <v>42</v>
      </c>
      <c r="N1969" t="str" cm="1">
        <f t="array" ref="N1969">_xlfn.IFS(M1969&gt;=50,"50-60 Days", M1969&gt;=40,"40-50 Days", M1969&gt;=30, "30-40 Days", M1969&gt;=20, "20-30 Days", M1969&gt;=10, "10-20 Days", M1969&gt;=0, "0-10 Days")</f>
        <v>40-50 Days</v>
      </c>
    </row>
    <row r="1970" spans="1:14">
      <c r="A1970">
        <v>1969</v>
      </c>
      <c r="B1970" t="s">
        <v>28</v>
      </c>
      <c r="C1970" s="5">
        <v>45487</v>
      </c>
      <c r="D1970" s="8">
        <v>45487</v>
      </c>
      <c r="E1970" s="8">
        <f>IF(B1970="Inactive", EDATE(D1970,K1970), "")</f>
        <v>45549</v>
      </c>
      <c r="F1970" t="s">
        <v>14</v>
      </c>
      <c r="G1970">
        <v>21.2</v>
      </c>
      <c r="H1970" t="str" cm="1">
        <f t="array" ref="H1970">_xlfn.IFS(G1970&gt;=20,"20-25", G1970&gt;=15,"15-20", G1970&gt;=10,"10-15", G1970&gt;=5,"5-10", G1970&gt;=1,"1-5", G1970&lt;1,"Less than 1")</f>
        <v>20-25</v>
      </c>
      <c r="I1970">
        <v>8</v>
      </c>
      <c r="J1970">
        <v>2</v>
      </c>
      <c r="K1970" s="6">
        <v>2</v>
      </c>
      <c r="L1970" s="2">
        <v>3.99</v>
      </c>
      <c r="M1970" s="6">
        <v>35</v>
      </c>
      <c r="N1970" t="str" cm="1">
        <f t="array" ref="N1970">_xlfn.IFS(M1970&gt;=50,"50-60 Days", M1970&gt;=40,"40-50 Days", M1970&gt;=30, "30-40 Days", M1970&gt;=20, "20-30 Days", M1970&gt;=10, "10-20 Days", M1970&gt;=0, "0-10 Days")</f>
        <v>30-40 Days</v>
      </c>
    </row>
    <row r="1971" spans="1:14">
      <c r="A1971">
        <v>1970</v>
      </c>
      <c r="B1971" t="s">
        <v>28</v>
      </c>
      <c r="C1971" s="5">
        <v>45560</v>
      </c>
      <c r="D1971" s="8">
        <v>45560</v>
      </c>
      <c r="E1971" s="8">
        <f>IF(B1971="Inactive", EDATE(D1971,K1971), "")</f>
        <v>45621</v>
      </c>
      <c r="F1971" t="s">
        <v>14</v>
      </c>
      <c r="G1971">
        <v>3.2</v>
      </c>
      <c r="H1971" t="str" cm="1">
        <f t="array" ref="H1971">_xlfn.IFS(G1971&gt;=20,"20-25", G1971&gt;=15,"15-20", G1971&gt;=10,"10-15", G1971&gt;=5,"5-10", G1971&gt;=1,"1-5", G1971&lt;1,"Less than 1")</f>
        <v>1-5</v>
      </c>
      <c r="I1971">
        <v>1</v>
      </c>
      <c r="J1971">
        <v>3</v>
      </c>
      <c r="K1971" s="6">
        <v>2</v>
      </c>
      <c r="L1971" s="2">
        <v>3.99</v>
      </c>
      <c r="M1971" s="6">
        <v>33</v>
      </c>
      <c r="N1971" t="str" cm="1">
        <f t="array" ref="N1971">_xlfn.IFS(M1971&gt;=50,"50-60 Days", M1971&gt;=40,"40-50 Days", M1971&gt;=30, "30-40 Days", M1971&gt;=20, "20-30 Days", M1971&gt;=10, "10-20 Days", M1971&gt;=0, "0-10 Days")</f>
        <v>30-40 Days</v>
      </c>
    </row>
    <row r="1972" spans="1:14">
      <c r="A1972">
        <v>1971</v>
      </c>
      <c r="B1972" t="s">
        <v>28</v>
      </c>
      <c r="C1972" s="5">
        <v>45033</v>
      </c>
      <c r="D1972" s="8">
        <v>45033</v>
      </c>
      <c r="E1972" s="8">
        <f>IF(B1972="Inactive", EDATE(D1972,K1972), "")</f>
        <v>45155</v>
      </c>
      <c r="F1972" t="s">
        <v>10</v>
      </c>
      <c r="G1972">
        <v>18.2</v>
      </c>
      <c r="H1972" t="str" cm="1">
        <f t="array" ref="H1972">_xlfn.IFS(G1972&gt;=20,"20-25", G1972&gt;=15,"15-20", G1972&gt;=10,"10-15", G1972&gt;=5,"5-10", G1972&gt;=1,"1-5", G1972&lt;1,"Less than 1")</f>
        <v>15-20</v>
      </c>
      <c r="I1972">
        <v>5</v>
      </c>
      <c r="J1972">
        <v>2</v>
      </c>
      <c r="K1972" s="6">
        <v>4</v>
      </c>
      <c r="L1972" s="2">
        <v>6.99</v>
      </c>
      <c r="M1972" s="6">
        <v>2</v>
      </c>
      <c r="N1972" t="str" cm="1">
        <f t="array" ref="N1972">_xlfn.IFS(M1972&gt;=50,"50-60 Days", M1972&gt;=40,"40-50 Days", M1972&gt;=30, "30-40 Days", M1972&gt;=20, "20-30 Days", M1972&gt;=10, "10-20 Days", M1972&gt;=0, "0-10 Days")</f>
        <v>0-10 Days</v>
      </c>
    </row>
    <row r="1973" spans="1:14">
      <c r="A1973">
        <v>1972</v>
      </c>
      <c r="B1973" t="s">
        <v>29</v>
      </c>
      <c r="C1973" s="5">
        <v>45507</v>
      </c>
      <c r="D1973" s="8">
        <v>45507</v>
      </c>
      <c r="E1973" s="8" t="str">
        <f>IF(B1973="Inactive", EDATE(D1973,K1973), "")</f>
        <v/>
      </c>
      <c r="F1973" t="s">
        <v>10</v>
      </c>
      <c r="G1973">
        <v>0.6</v>
      </c>
      <c r="H1973" t="str" cm="1">
        <f t="array" ref="H1973">_xlfn.IFS(G1973&gt;=20,"20-25", G1973&gt;=15,"15-20", G1973&gt;=10,"10-15", G1973&gt;=5,"5-10", G1973&gt;=1,"1-5", G1973&lt;1,"Less than 1")</f>
        <v>Less than 1</v>
      </c>
      <c r="I1973">
        <v>0</v>
      </c>
      <c r="J1973">
        <v>4</v>
      </c>
      <c r="K1973" s="6">
        <v>5</v>
      </c>
      <c r="L1973" s="2">
        <v>6.99</v>
      </c>
      <c r="M1973" s="6">
        <v>3</v>
      </c>
      <c r="N1973" t="str" cm="1">
        <f t="array" ref="N1973">_xlfn.IFS(M1973&gt;=50,"50-60 Days", M1973&gt;=40,"40-50 Days", M1973&gt;=30, "30-40 Days", M1973&gt;=20, "20-30 Days", M1973&gt;=10, "10-20 Days", M1973&gt;=0, "0-10 Days")</f>
        <v>0-10 Days</v>
      </c>
    </row>
    <row r="1974" spans="1:14">
      <c r="A1974">
        <v>1973</v>
      </c>
      <c r="B1974" t="s">
        <v>28</v>
      </c>
      <c r="C1974" s="5">
        <v>45591</v>
      </c>
      <c r="D1974" s="8">
        <v>45591</v>
      </c>
      <c r="E1974" s="8">
        <f>IF(B1974="Inactive", EDATE(D1974,K1974), "")</f>
        <v>45742</v>
      </c>
      <c r="F1974" t="s">
        <v>12</v>
      </c>
      <c r="G1974">
        <v>19.2</v>
      </c>
      <c r="H1974" t="str" cm="1">
        <f t="array" ref="H1974">_xlfn.IFS(G1974&gt;=20,"20-25", G1974&gt;=15,"15-20", G1974&gt;=10,"10-15", G1974&gt;=5,"5-10", G1974&gt;=1,"1-5", G1974&lt;1,"Less than 1")</f>
        <v>15-20</v>
      </c>
      <c r="I1974">
        <v>0</v>
      </c>
      <c r="J1974">
        <v>4</v>
      </c>
      <c r="K1974" s="6">
        <v>5</v>
      </c>
      <c r="L1974" s="2">
        <v>1.99</v>
      </c>
      <c r="M1974" s="6">
        <v>34</v>
      </c>
      <c r="N1974" t="str" cm="1">
        <f t="array" ref="N1974">_xlfn.IFS(M1974&gt;=50,"50-60 Days", M1974&gt;=40,"40-50 Days", M1974&gt;=30, "30-40 Days", M1974&gt;=20, "20-30 Days", M1974&gt;=10, "10-20 Days", M1974&gt;=0, "0-10 Days")</f>
        <v>30-40 Days</v>
      </c>
    </row>
    <row r="1975" spans="1:14">
      <c r="A1975">
        <v>1974</v>
      </c>
      <c r="B1975" t="s">
        <v>28</v>
      </c>
      <c r="C1975" s="5">
        <v>45626</v>
      </c>
      <c r="D1975" s="8">
        <v>45626</v>
      </c>
      <c r="E1975" s="8">
        <f>IF(B1975="Inactive", EDATE(D1975,K1975), "")</f>
        <v>45899</v>
      </c>
      <c r="F1975" t="s">
        <v>14</v>
      </c>
      <c r="G1975">
        <v>7.4</v>
      </c>
      <c r="H1975" t="str" cm="1">
        <f t="array" ref="H1975">_xlfn.IFS(G1975&gt;=20,"20-25", G1975&gt;=15,"15-20", G1975&gt;=10,"10-15", G1975&gt;=5,"5-10", G1975&gt;=1,"1-5", G1975&lt;1,"Less than 1")</f>
        <v>5-10</v>
      </c>
      <c r="I1975">
        <v>6</v>
      </c>
      <c r="J1975">
        <v>3</v>
      </c>
      <c r="K1975" s="6">
        <v>9</v>
      </c>
      <c r="L1975" s="2">
        <v>3.99</v>
      </c>
      <c r="M1975" s="6">
        <v>58</v>
      </c>
      <c r="N1975" t="str" cm="1">
        <f t="array" ref="N1975">_xlfn.IFS(M1975&gt;=50,"50-60 Days", M1975&gt;=40,"40-50 Days", M1975&gt;=30, "30-40 Days", M1975&gt;=20, "20-30 Days", M1975&gt;=10, "10-20 Days", M1975&gt;=0, "0-10 Days")</f>
        <v>50-60 Days</v>
      </c>
    </row>
    <row r="1976" spans="1:14">
      <c r="A1976">
        <v>1975</v>
      </c>
      <c r="B1976" t="s">
        <v>29</v>
      </c>
      <c r="C1976" s="5">
        <v>45392</v>
      </c>
      <c r="D1976" s="8">
        <v>45392</v>
      </c>
      <c r="E1976" s="8" t="str">
        <f>IF(B1976="Inactive", EDATE(D1976,K1976), "")</f>
        <v/>
      </c>
      <c r="F1976" t="s">
        <v>14</v>
      </c>
      <c r="G1976">
        <v>9</v>
      </c>
      <c r="H1976" t="str" cm="1">
        <f t="array" ref="H1976">_xlfn.IFS(G1976&gt;=20,"20-25", G1976&gt;=15,"15-20", G1976&gt;=10,"10-15", G1976&gt;=5,"5-10", G1976&gt;=1,"1-5", G1976&lt;1,"Less than 1")</f>
        <v>5-10</v>
      </c>
      <c r="I1976">
        <v>7</v>
      </c>
      <c r="J1976">
        <v>3</v>
      </c>
      <c r="K1976" s="6">
        <v>6</v>
      </c>
      <c r="L1976" s="2">
        <v>3.99</v>
      </c>
      <c r="M1976" s="6">
        <v>58</v>
      </c>
      <c r="N1976" t="str" cm="1">
        <f t="array" ref="N1976">_xlfn.IFS(M1976&gt;=50,"50-60 Days", M1976&gt;=40,"40-50 Days", M1976&gt;=30, "30-40 Days", M1976&gt;=20, "20-30 Days", M1976&gt;=10, "10-20 Days", M1976&gt;=0, "0-10 Days")</f>
        <v>50-60 Days</v>
      </c>
    </row>
    <row r="1977" spans="1:14">
      <c r="A1977">
        <v>1976</v>
      </c>
      <c r="B1977" t="s">
        <v>28</v>
      </c>
      <c r="C1977" s="5">
        <v>45324</v>
      </c>
      <c r="D1977" s="8">
        <v>45324</v>
      </c>
      <c r="E1977" s="8">
        <f>IF(B1977="Inactive", EDATE(D1977,K1977), "")</f>
        <v>45567</v>
      </c>
      <c r="F1977" t="s">
        <v>10</v>
      </c>
      <c r="G1977">
        <v>6</v>
      </c>
      <c r="H1977" t="str" cm="1">
        <f t="array" ref="H1977">_xlfn.IFS(G1977&gt;=20,"20-25", G1977&gt;=15,"15-20", G1977&gt;=10,"10-15", G1977&gt;=5,"5-10", G1977&gt;=1,"1-5", G1977&lt;1,"Less than 1")</f>
        <v>5-10</v>
      </c>
      <c r="I1977">
        <v>4</v>
      </c>
      <c r="J1977">
        <v>5</v>
      </c>
      <c r="K1977" s="6">
        <v>8</v>
      </c>
      <c r="L1977" s="2">
        <v>6.99</v>
      </c>
      <c r="M1977" s="6">
        <v>46</v>
      </c>
      <c r="N1977" t="str" cm="1">
        <f t="array" ref="N1977">_xlfn.IFS(M1977&gt;=50,"50-60 Days", M1977&gt;=40,"40-50 Days", M1977&gt;=30, "30-40 Days", M1977&gt;=20, "20-30 Days", M1977&gt;=10, "10-20 Days", M1977&gt;=0, "0-10 Days")</f>
        <v>40-50 Days</v>
      </c>
    </row>
    <row r="1978" spans="1:14">
      <c r="A1978">
        <v>1977</v>
      </c>
      <c r="B1978" t="s">
        <v>28</v>
      </c>
      <c r="C1978" s="5">
        <v>44970</v>
      </c>
      <c r="D1978" s="8">
        <v>44970</v>
      </c>
      <c r="E1978" s="8">
        <f>IF(B1978="Inactive", EDATE(D1978,K1978), "")</f>
        <v>45090</v>
      </c>
      <c r="F1978" t="s">
        <v>14</v>
      </c>
      <c r="G1978">
        <v>9.5</v>
      </c>
      <c r="H1978" t="str" cm="1">
        <f t="array" ref="H1978">_xlfn.IFS(G1978&gt;=20,"20-25", G1978&gt;=15,"15-20", G1978&gt;=10,"10-15", G1978&gt;=5,"5-10", G1978&gt;=1,"1-5", G1978&lt;1,"Less than 1")</f>
        <v>5-10</v>
      </c>
      <c r="I1978">
        <v>0</v>
      </c>
      <c r="J1978">
        <v>3</v>
      </c>
      <c r="K1978" s="6">
        <v>4</v>
      </c>
      <c r="L1978" s="2">
        <v>3.99</v>
      </c>
      <c r="M1978" s="6">
        <v>51</v>
      </c>
      <c r="N1978" t="str" cm="1">
        <f t="array" ref="N1978">_xlfn.IFS(M1978&gt;=50,"50-60 Days", M1978&gt;=40,"40-50 Days", M1978&gt;=30, "30-40 Days", M1978&gt;=20, "20-30 Days", M1978&gt;=10, "10-20 Days", M1978&gt;=0, "0-10 Days")</f>
        <v>50-60 Days</v>
      </c>
    </row>
    <row r="1979" spans="1:14">
      <c r="A1979">
        <v>1978</v>
      </c>
      <c r="B1979" t="s">
        <v>28</v>
      </c>
      <c r="C1979" s="5">
        <v>45568</v>
      </c>
      <c r="D1979" s="8">
        <v>45568</v>
      </c>
      <c r="E1979" s="8">
        <f>IF(B1979="Inactive", EDATE(D1979,K1979), "")</f>
        <v>45841</v>
      </c>
      <c r="F1979" t="s">
        <v>14</v>
      </c>
      <c r="G1979">
        <v>17.899999999999999</v>
      </c>
      <c r="H1979" t="str" cm="1">
        <f t="array" ref="H1979">_xlfn.IFS(G1979&gt;=20,"20-25", G1979&gt;=15,"15-20", G1979&gt;=10,"10-15", G1979&gt;=5,"5-10", G1979&gt;=1,"1-5", G1979&lt;1,"Less than 1")</f>
        <v>15-20</v>
      </c>
      <c r="I1979">
        <v>8</v>
      </c>
      <c r="J1979">
        <v>1</v>
      </c>
      <c r="K1979" s="6">
        <v>9</v>
      </c>
      <c r="L1979" s="2">
        <v>3.99</v>
      </c>
      <c r="M1979" s="6">
        <v>25</v>
      </c>
      <c r="N1979" t="str" cm="1">
        <f t="array" ref="N1979">_xlfn.IFS(M1979&gt;=50,"50-60 Days", M1979&gt;=40,"40-50 Days", M1979&gt;=30, "30-40 Days", M1979&gt;=20, "20-30 Days", M1979&gt;=10, "10-20 Days", M1979&gt;=0, "0-10 Days")</f>
        <v>20-30 Days</v>
      </c>
    </row>
    <row r="1980" spans="1:14">
      <c r="A1980">
        <v>1979</v>
      </c>
      <c r="B1980" t="s">
        <v>28</v>
      </c>
      <c r="C1980" s="5">
        <v>45381</v>
      </c>
      <c r="D1980" s="8">
        <v>45381</v>
      </c>
      <c r="E1980" s="8">
        <f>IF(B1980="Inactive", EDATE(D1980,K1980), "")</f>
        <v>45534</v>
      </c>
      <c r="F1980" t="s">
        <v>14</v>
      </c>
      <c r="G1980">
        <v>23.6</v>
      </c>
      <c r="H1980" t="str" cm="1">
        <f t="array" ref="H1980">_xlfn.IFS(G1980&gt;=20,"20-25", G1980&gt;=15,"15-20", G1980&gt;=10,"10-15", G1980&gt;=5,"5-10", G1980&gt;=1,"1-5", G1980&lt;1,"Less than 1")</f>
        <v>20-25</v>
      </c>
      <c r="I1980">
        <v>6</v>
      </c>
      <c r="J1980">
        <v>3</v>
      </c>
      <c r="K1980" s="6">
        <v>5</v>
      </c>
      <c r="L1980" s="2">
        <v>3.99</v>
      </c>
      <c r="M1980" s="6">
        <v>29</v>
      </c>
      <c r="N1980" t="str" cm="1">
        <f t="array" ref="N1980">_xlfn.IFS(M1980&gt;=50,"50-60 Days", M1980&gt;=40,"40-50 Days", M1980&gt;=30, "30-40 Days", M1980&gt;=20, "20-30 Days", M1980&gt;=10, "10-20 Days", M1980&gt;=0, "0-10 Days")</f>
        <v>20-30 Days</v>
      </c>
    </row>
    <row r="1981" spans="1:14">
      <c r="A1981">
        <v>1980</v>
      </c>
      <c r="B1981" t="s">
        <v>28</v>
      </c>
      <c r="C1981" s="5">
        <v>45469</v>
      </c>
      <c r="D1981" s="8">
        <v>45469</v>
      </c>
      <c r="E1981" s="8">
        <f>IF(B1981="Inactive", EDATE(D1981,K1981), "")</f>
        <v>45773</v>
      </c>
      <c r="F1981" t="s">
        <v>14</v>
      </c>
      <c r="G1981">
        <v>9.4</v>
      </c>
      <c r="H1981" t="str" cm="1">
        <f t="array" ref="H1981">_xlfn.IFS(G1981&gt;=20,"20-25", G1981&gt;=15,"15-20", G1981&gt;=10,"10-15", G1981&gt;=5,"5-10", G1981&gt;=1,"1-5", G1981&lt;1,"Less than 1")</f>
        <v>5-10</v>
      </c>
      <c r="I1981">
        <v>5</v>
      </c>
      <c r="J1981">
        <v>5</v>
      </c>
      <c r="K1981" s="6">
        <v>10</v>
      </c>
      <c r="L1981" s="2">
        <v>3.99</v>
      </c>
      <c r="M1981" s="6">
        <v>25</v>
      </c>
      <c r="N1981" t="str" cm="1">
        <f t="array" ref="N1981">_xlfn.IFS(M1981&gt;=50,"50-60 Days", M1981&gt;=40,"40-50 Days", M1981&gt;=30, "30-40 Days", M1981&gt;=20, "20-30 Days", M1981&gt;=10, "10-20 Days", M1981&gt;=0, "0-10 Days")</f>
        <v>20-30 Days</v>
      </c>
    </row>
    <row r="1982" spans="1:14">
      <c r="A1982">
        <v>1981</v>
      </c>
      <c r="B1982" t="s">
        <v>29</v>
      </c>
      <c r="C1982" s="5">
        <v>45602</v>
      </c>
      <c r="D1982" s="8">
        <v>45602</v>
      </c>
      <c r="E1982" s="8" t="str">
        <f>IF(B1982="Inactive", EDATE(D1982,K1982), "")</f>
        <v/>
      </c>
      <c r="F1982" t="s">
        <v>12</v>
      </c>
      <c r="G1982">
        <v>5.8</v>
      </c>
      <c r="H1982" t="str" cm="1">
        <f t="array" ref="H1982">_xlfn.IFS(G1982&gt;=20,"20-25", G1982&gt;=15,"15-20", G1982&gt;=10,"10-15", G1982&gt;=5,"5-10", G1982&gt;=1,"1-5", G1982&lt;1,"Less than 1")</f>
        <v>5-10</v>
      </c>
      <c r="I1982">
        <v>3</v>
      </c>
      <c r="J1982">
        <v>4</v>
      </c>
      <c r="K1982" s="6">
        <v>6</v>
      </c>
      <c r="L1982" s="2">
        <v>1.99</v>
      </c>
      <c r="M1982" s="6">
        <v>12</v>
      </c>
      <c r="N1982" t="str" cm="1">
        <f t="array" ref="N1982">_xlfn.IFS(M1982&gt;=50,"50-60 Days", M1982&gt;=40,"40-50 Days", M1982&gt;=30, "30-40 Days", M1982&gt;=20, "20-30 Days", M1982&gt;=10, "10-20 Days", M1982&gt;=0, "0-10 Days")</f>
        <v>10-20 Days</v>
      </c>
    </row>
    <row r="1983" spans="1:14">
      <c r="A1983">
        <v>1982</v>
      </c>
      <c r="B1983" t="s">
        <v>28</v>
      </c>
      <c r="C1983" s="5">
        <v>45145</v>
      </c>
      <c r="D1983" s="8">
        <v>45145</v>
      </c>
      <c r="E1983" s="8">
        <f>IF(B1983="Inactive", EDATE(D1983,K1983), "")</f>
        <v>45389</v>
      </c>
      <c r="F1983" t="s">
        <v>10</v>
      </c>
      <c r="G1983">
        <v>22.6</v>
      </c>
      <c r="H1983" t="str" cm="1">
        <f t="array" ref="H1983">_xlfn.IFS(G1983&gt;=20,"20-25", G1983&gt;=15,"15-20", G1983&gt;=10,"10-15", G1983&gt;=5,"5-10", G1983&gt;=1,"1-5", G1983&lt;1,"Less than 1")</f>
        <v>20-25</v>
      </c>
      <c r="I1983">
        <v>8</v>
      </c>
      <c r="J1983">
        <v>3</v>
      </c>
      <c r="K1983" s="6">
        <v>8</v>
      </c>
      <c r="L1983" s="2">
        <v>6.99</v>
      </c>
      <c r="M1983" s="6">
        <v>23</v>
      </c>
      <c r="N1983" t="str" cm="1">
        <f t="array" ref="N1983">_xlfn.IFS(M1983&gt;=50,"50-60 Days", M1983&gt;=40,"40-50 Days", M1983&gt;=30, "30-40 Days", M1983&gt;=20, "20-30 Days", M1983&gt;=10, "10-20 Days", M1983&gt;=0, "0-10 Days")</f>
        <v>20-30 Days</v>
      </c>
    </row>
    <row r="1984" spans="1:14">
      <c r="A1984">
        <v>1983</v>
      </c>
      <c r="B1984" t="s">
        <v>28</v>
      </c>
      <c r="C1984" s="5">
        <v>45565</v>
      </c>
      <c r="D1984" s="8">
        <v>45565</v>
      </c>
      <c r="E1984" s="8">
        <f>IF(B1984="Inactive", EDATE(D1984,K1984), "")</f>
        <v>45687</v>
      </c>
      <c r="F1984" t="s">
        <v>14</v>
      </c>
      <c r="G1984">
        <v>12</v>
      </c>
      <c r="H1984" t="str" cm="1">
        <f t="array" ref="H1984">_xlfn.IFS(G1984&gt;=20,"20-25", G1984&gt;=15,"15-20", G1984&gt;=10,"10-15", G1984&gt;=5,"5-10", G1984&gt;=1,"1-5", G1984&lt;1,"Less than 1")</f>
        <v>10-15</v>
      </c>
      <c r="I1984">
        <v>8</v>
      </c>
      <c r="J1984">
        <v>5</v>
      </c>
      <c r="K1984" s="6">
        <v>4</v>
      </c>
      <c r="L1984" s="2">
        <v>3.99</v>
      </c>
      <c r="M1984" s="6">
        <v>28</v>
      </c>
      <c r="N1984" t="str" cm="1">
        <f t="array" ref="N1984">_xlfn.IFS(M1984&gt;=50,"50-60 Days", M1984&gt;=40,"40-50 Days", M1984&gt;=30, "30-40 Days", M1984&gt;=20, "20-30 Days", M1984&gt;=10, "10-20 Days", M1984&gt;=0, "0-10 Days")</f>
        <v>20-30 Days</v>
      </c>
    </row>
    <row r="1985" spans="1:14">
      <c r="A1985">
        <v>1984</v>
      </c>
      <c r="B1985" t="s">
        <v>28</v>
      </c>
      <c r="C1985" s="5">
        <v>45320</v>
      </c>
      <c r="D1985" s="8">
        <v>45320</v>
      </c>
      <c r="E1985" s="8">
        <f>IF(B1985="Inactive", EDATE(D1985,K1985), "")</f>
        <v>45380</v>
      </c>
      <c r="F1985" t="s">
        <v>14</v>
      </c>
      <c r="G1985">
        <v>5.4</v>
      </c>
      <c r="H1985" t="str" cm="1">
        <f t="array" ref="H1985">_xlfn.IFS(G1985&gt;=20,"20-25", G1985&gt;=15,"15-20", G1985&gt;=10,"10-15", G1985&gt;=5,"5-10", G1985&gt;=1,"1-5", G1985&lt;1,"Less than 1")</f>
        <v>5-10</v>
      </c>
      <c r="I1985">
        <v>5</v>
      </c>
      <c r="J1985">
        <v>4</v>
      </c>
      <c r="K1985" s="6">
        <v>2</v>
      </c>
      <c r="L1985" s="2">
        <v>3.99</v>
      </c>
      <c r="M1985" s="6">
        <v>56</v>
      </c>
      <c r="N1985" t="str" cm="1">
        <f t="array" ref="N1985">_xlfn.IFS(M1985&gt;=50,"50-60 Days", M1985&gt;=40,"40-50 Days", M1985&gt;=30, "30-40 Days", M1985&gt;=20, "20-30 Days", M1985&gt;=10, "10-20 Days", M1985&gt;=0, "0-10 Days")</f>
        <v>50-60 Days</v>
      </c>
    </row>
    <row r="1986" spans="1:14">
      <c r="A1986">
        <v>1985</v>
      </c>
      <c r="B1986" t="s">
        <v>28</v>
      </c>
      <c r="C1986" s="5">
        <v>45508</v>
      </c>
      <c r="D1986" s="8">
        <v>45508</v>
      </c>
      <c r="E1986" s="8">
        <f>IF(B1986="Inactive", EDATE(D1986,K1986), "")</f>
        <v>45812</v>
      </c>
      <c r="F1986" t="s">
        <v>10</v>
      </c>
      <c r="G1986">
        <v>4.9000000000000004</v>
      </c>
      <c r="H1986" t="str" cm="1">
        <f t="array" ref="H1986">_xlfn.IFS(G1986&gt;=20,"20-25", G1986&gt;=15,"15-20", G1986&gt;=10,"10-15", G1986&gt;=5,"5-10", G1986&gt;=1,"1-5", G1986&lt;1,"Less than 1")</f>
        <v>1-5</v>
      </c>
      <c r="I1986">
        <v>7</v>
      </c>
      <c r="J1986">
        <v>0</v>
      </c>
      <c r="K1986" s="6">
        <v>10</v>
      </c>
      <c r="L1986" s="2">
        <v>6.99</v>
      </c>
      <c r="M1986" s="6">
        <v>44</v>
      </c>
      <c r="N1986" t="str" cm="1">
        <f t="array" ref="N1986">_xlfn.IFS(M1986&gt;=50,"50-60 Days", M1986&gt;=40,"40-50 Days", M1986&gt;=30, "30-40 Days", M1986&gt;=20, "20-30 Days", M1986&gt;=10, "10-20 Days", M1986&gt;=0, "0-10 Days")</f>
        <v>40-50 Days</v>
      </c>
    </row>
    <row r="1987" spans="1:14">
      <c r="A1987">
        <v>1986</v>
      </c>
      <c r="B1987" t="s">
        <v>28</v>
      </c>
      <c r="C1987" s="5">
        <v>45129</v>
      </c>
      <c r="D1987" s="8">
        <v>45129</v>
      </c>
      <c r="E1987" s="8">
        <f>IF(B1987="Inactive", EDATE(D1987,K1987), "")</f>
        <v>45252</v>
      </c>
      <c r="F1987" t="s">
        <v>10</v>
      </c>
      <c r="G1987">
        <v>7.2</v>
      </c>
      <c r="H1987" t="str" cm="1">
        <f t="array" ref="H1987">_xlfn.IFS(G1987&gt;=20,"20-25", G1987&gt;=15,"15-20", G1987&gt;=10,"10-15", G1987&gt;=5,"5-10", G1987&gt;=1,"1-5", G1987&lt;1,"Less than 1")</f>
        <v>5-10</v>
      </c>
      <c r="I1987">
        <v>2</v>
      </c>
      <c r="J1987">
        <v>5</v>
      </c>
      <c r="K1987" s="6">
        <v>4</v>
      </c>
      <c r="L1987" s="2">
        <v>6.99</v>
      </c>
      <c r="M1987" s="6">
        <v>25</v>
      </c>
      <c r="N1987" t="str" cm="1">
        <f t="array" ref="N1987">_xlfn.IFS(M1987&gt;=50,"50-60 Days", M1987&gt;=40,"40-50 Days", M1987&gt;=30, "30-40 Days", M1987&gt;=20, "20-30 Days", M1987&gt;=10, "10-20 Days", M1987&gt;=0, "0-10 Days")</f>
        <v>20-30 Days</v>
      </c>
    </row>
    <row r="1988" spans="1:14">
      <c r="A1988">
        <v>1987</v>
      </c>
      <c r="B1988" t="s">
        <v>29</v>
      </c>
      <c r="C1988" s="5">
        <v>45425</v>
      </c>
      <c r="D1988" s="8">
        <v>45425</v>
      </c>
      <c r="E1988" s="8" t="str">
        <f>IF(B1988="Inactive", EDATE(D1988,K1988), "")</f>
        <v/>
      </c>
      <c r="F1988" t="s">
        <v>12</v>
      </c>
      <c r="G1988">
        <v>8.3000000000000007</v>
      </c>
      <c r="H1988" t="str" cm="1">
        <f t="array" ref="H1988">_xlfn.IFS(G1988&gt;=20,"20-25", G1988&gt;=15,"15-20", G1988&gt;=10,"10-15", G1988&gt;=5,"5-10", G1988&gt;=1,"1-5", G1988&lt;1,"Less than 1")</f>
        <v>5-10</v>
      </c>
      <c r="I1988">
        <v>3</v>
      </c>
      <c r="J1988">
        <v>5</v>
      </c>
      <c r="K1988" s="6">
        <v>9</v>
      </c>
      <c r="L1988" s="2">
        <v>1.99</v>
      </c>
      <c r="M1988" s="6">
        <v>8</v>
      </c>
      <c r="N1988" t="str" cm="1">
        <f t="array" ref="N1988">_xlfn.IFS(M1988&gt;=50,"50-60 Days", M1988&gt;=40,"40-50 Days", M1988&gt;=30, "30-40 Days", M1988&gt;=20, "20-30 Days", M1988&gt;=10, "10-20 Days", M1988&gt;=0, "0-10 Days")</f>
        <v>0-10 Days</v>
      </c>
    </row>
    <row r="1989" spans="1:14">
      <c r="A1989">
        <v>1988</v>
      </c>
      <c r="B1989" t="s">
        <v>29</v>
      </c>
      <c r="C1989" s="5">
        <v>45014</v>
      </c>
      <c r="D1989" s="8">
        <v>45014</v>
      </c>
      <c r="E1989" s="8" t="str">
        <f>IF(B1989="Inactive", EDATE(D1989,K1989), "")</f>
        <v/>
      </c>
      <c r="F1989" t="s">
        <v>14</v>
      </c>
      <c r="G1989">
        <v>18.5</v>
      </c>
      <c r="H1989" t="str" cm="1">
        <f t="array" ref="H1989">_xlfn.IFS(G1989&gt;=20,"20-25", G1989&gt;=15,"15-20", G1989&gt;=10,"10-15", G1989&gt;=5,"5-10", G1989&gt;=1,"1-5", G1989&lt;1,"Less than 1")</f>
        <v>15-20</v>
      </c>
      <c r="I1989">
        <v>0</v>
      </c>
      <c r="J1989">
        <v>5</v>
      </c>
      <c r="K1989" s="6">
        <v>12</v>
      </c>
      <c r="L1989" s="2">
        <v>3.99</v>
      </c>
      <c r="M1989" s="6">
        <v>6</v>
      </c>
      <c r="N1989" t="str" cm="1">
        <f t="array" ref="N1989">_xlfn.IFS(M1989&gt;=50,"50-60 Days", M1989&gt;=40,"40-50 Days", M1989&gt;=30, "30-40 Days", M1989&gt;=20, "20-30 Days", M1989&gt;=10, "10-20 Days", M1989&gt;=0, "0-10 Days")</f>
        <v>0-10 Days</v>
      </c>
    </row>
    <row r="1990" spans="1:14">
      <c r="A1990">
        <v>1989</v>
      </c>
      <c r="B1990" t="s">
        <v>28</v>
      </c>
      <c r="C1990" s="5">
        <v>45292</v>
      </c>
      <c r="D1990" s="8">
        <v>45292</v>
      </c>
      <c r="E1990" s="8">
        <f>IF(B1990="Inactive", EDATE(D1990,K1990), "")</f>
        <v>45323</v>
      </c>
      <c r="F1990" t="s">
        <v>12</v>
      </c>
      <c r="G1990">
        <v>23</v>
      </c>
      <c r="H1990" t="str" cm="1">
        <f t="array" ref="H1990">_xlfn.IFS(G1990&gt;=20,"20-25", G1990&gt;=15,"15-20", G1990&gt;=10,"10-15", G1990&gt;=5,"5-10", G1990&gt;=1,"1-5", G1990&lt;1,"Less than 1")</f>
        <v>20-25</v>
      </c>
      <c r="I1990">
        <v>0</v>
      </c>
      <c r="J1990">
        <v>2</v>
      </c>
      <c r="K1990" s="6">
        <v>1</v>
      </c>
      <c r="L1990" s="2">
        <v>1.99</v>
      </c>
      <c r="M1990" s="6">
        <v>54</v>
      </c>
      <c r="N1990" t="str" cm="1">
        <f t="array" ref="N1990">_xlfn.IFS(M1990&gt;=50,"50-60 Days", M1990&gt;=40,"40-50 Days", M1990&gt;=30, "30-40 Days", M1990&gt;=20, "20-30 Days", M1990&gt;=10, "10-20 Days", M1990&gt;=0, "0-10 Days")</f>
        <v>50-60 Days</v>
      </c>
    </row>
    <row r="1991" spans="1:14">
      <c r="A1991">
        <v>1990</v>
      </c>
      <c r="B1991" t="s">
        <v>29</v>
      </c>
      <c r="C1991" s="5">
        <v>45250</v>
      </c>
      <c r="D1991" s="8">
        <v>45250</v>
      </c>
      <c r="E1991" s="8" t="str">
        <f>IF(B1991="Inactive", EDATE(D1991,K1991), "")</f>
        <v/>
      </c>
      <c r="F1991" t="s">
        <v>12</v>
      </c>
      <c r="G1991">
        <v>24</v>
      </c>
      <c r="H1991" t="str" cm="1">
        <f t="array" ref="H1991">_xlfn.IFS(G1991&gt;=20,"20-25", G1991&gt;=15,"15-20", G1991&gt;=10,"10-15", G1991&gt;=5,"5-10", G1991&gt;=1,"1-5", G1991&lt;1,"Less than 1")</f>
        <v>20-25</v>
      </c>
      <c r="I1991">
        <v>4</v>
      </c>
      <c r="J1991">
        <v>0</v>
      </c>
      <c r="K1991" s="6">
        <v>4</v>
      </c>
      <c r="L1991" s="2">
        <v>1.99</v>
      </c>
      <c r="M1991" s="6">
        <v>23</v>
      </c>
      <c r="N1991" t="str" cm="1">
        <f t="array" ref="N1991">_xlfn.IFS(M1991&gt;=50,"50-60 Days", M1991&gt;=40,"40-50 Days", M1991&gt;=30, "30-40 Days", M1991&gt;=20, "20-30 Days", M1991&gt;=10, "10-20 Days", M1991&gt;=0, "0-10 Days")</f>
        <v>20-30 Days</v>
      </c>
    </row>
    <row r="1992" spans="1:14">
      <c r="A1992">
        <v>1991</v>
      </c>
      <c r="B1992" t="s">
        <v>28</v>
      </c>
      <c r="C1992" s="5">
        <v>45502</v>
      </c>
      <c r="D1992" s="8">
        <v>45502</v>
      </c>
      <c r="E1992" s="8">
        <f>IF(B1992="Inactive", EDATE(D1992,K1992), "")</f>
        <v>45806</v>
      </c>
      <c r="F1992" t="s">
        <v>10</v>
      </c>
      <c r="G1992">
        <v>12.1</v>
      </c>
      <c r="H1992" t="str" cm="1">
        <f t="array" ref="H1992">_xlfn.IFS(G1992&gt;=20,"20-25", G1992&gt;=15,"15-20", G1992&gt;=10,"10-15", G1992&gt;=5,"5-10", G1992&gt;=1,"1-5", G1992&lt;1,"Less than 1")</f>
        <v>10-15</v>
      </c>
      <c r="I1992">
        <v>2</v>
      </c>
      <c r="J1992">
        <v>2</v>
      </c>
      <c r="K1992" s="6">
        <v>10</v>
      </c>
      <c r="L1992" s="2">
        <v>6.99</v>
      </c>
      <c r="M1992" s="6">
        <v>19</v>
      </c>
      <c r="N1992" t="str" cm="1">
        <f t="array" ref="N1992">_xlfn.IFS(M1992&gt;=50,"50-60 Days", M1992&gt;=40,"40-50 Days", M1992&gt;=30, "30-40 Days", M1992&gt;=20, "20-30 Days", M1992&gt;=10, "10-20 Days", M1992&gt;=0, "0-10 Days")</f>
        <v>10-20 Days</v>
      </c>
    </row>
    <row r="1993" spans="1:14">
      <c r="A1993">
        <v>1992</v>
      </c>
      <c r="B1993" t="s">
        <v>28</v>
      </c>
      <c r="C1993" s="5">
        <v>45089</v>
      </c>
      <c r="D1993" s="8">
        <v>45089</v>
      </c>
      <c r="E1993" s="8">
        <f>IF(B1993="Inactive", EDATE(D1993,K1993), "")</f>
        <v>45211</v>
      </c>
      <c r="F1993" t="s">
        <v>12</v>
      </c>
      <c r="G1993">
        <v>4.5</v>
      </c>
      <c r="H1993" t="str" cm="1">
        <f t="array" ref="H1993">_xlfn.IFS(G1993&gt;=20,"20-25", G1993&gt;=15,"15-20", G1993&gt;=10,"10-15", G1993&gt;=5,"5-10", G1993&gt;=1,"1-5", G1993&lt;1,"Less than 1")</f>
        <v>1-5</v>
      </c>
      <c r="I1993">
        <v>1</v>
      </c>
      <c r="J1993">
        <v>4</v>
      </c>
      <c r="K1993" s="6">
        <v>4</v>
      </c>
      <c r="L1993" s="2">
        <v>1.99</v>
      </c>
      <c r="M1993" s="6">
        <v>58</v>
      </c>
      <c r="N1993" t="str" cm="1">
        <f t="array" ref="N1993">_xlfn.IFS(M1993&gt;=50,"50-60 Days", M1993&gt;=40,"40-50 Days", M1993&gt;=30, "30-40 Days", M1993&gt;=20, "20-30 Days", M1993&gt;=10, "10-20 Days", M1993&gt;=0, "0-10 Days")</f>
        <v>50-60 Days</v>
      </c>
    </row>
    <row r="1994" spans="1:14">
      <c r="A1994">
        <v>1993</v>
      </c>
      <c r="B1994" t="s">
        <v>29</v>
      </c>
      <c r="C1994" s="5">
        <v>45043</v>
      </c>
      <c r="D1994" s="8">
        <v>45043</v>
      </c>
      <c r="E1994" s="8" t="str">
        <f>IF(B1994="Inactive", EDATE(D1994,K1994), "")</f>
        <v/>
      </c>
      <c r="F1994" t="s">
        <v>10</v>
      </c>
      <c r="G1994">
        <v>15.9</v>
      </c>
      <c r="H1994" t="str" cm="1">
        <f t="array" ref="H1994">_xlfn.IFS(G1994&gt;=20,"20-25", G1994&gt;=15,"15-20", G1994&gt;=10,"10-15", G1994&gt;=5,"5-10", G1994&gt;=1,"1-5", G1994&lt;1,"Less than 1")</f>
        <v>15-20</v>
      </c>
      <c r="I1994">
        <v>4</v>
      </c>
      <c r="J1994">
        <v>5</v>
      </c>
      <c r="K1994" s="6">
        <v>12</v>
      </c>
      <c r="L1994" s="2">
        <v>6.99</v>
      </c>
      <c r="M1994" s="6">
        <v>54</v>
      </c>
      <c r="N1994" t="str" cm="1">
        <f t="array" ref="N1994">_xlfn.IFS(M1994&gt;=50,"50-60 Days", M1994&gt;=40,"40-50 Days", M1994&gt;=30, "30-40 Days", M1994&gt;=20, "20-30 Days", M1994&gt;=10, "10-20 Days", M1994&gt;=0, "0-10 Days")</f>
        <v>50-60 Days</v>
      </c>
    </row>
    <row r="1995" spans="1:14">
      <c r="A1995">
        <v>1994</v>
      </c>
      <c r="B1995" t="s">
        <v>29</v>
      </c>
      <c r="C1995" s="5">
        <v>45411</v>
      </c>
      <c r="D1995" s="8">
        <v>45411</v>
      </c>
      <c r="E1995" s="8" t="str">
        <f>IF(B1995="Inactive", EDATE(D1995,K1995), "")</f>
        <v/>
      </c>
      <c r="F1995" t="s">
        <v>10</v>
      </c>
      <c r="G1995">
        <v>22.8</v>
      </c>
      <c r="H1995" t="str" cm="1">
        <f t="array" ref="H1995">_xlfn.IFS(G1995&gt;=20,"20-25", G1995&gt;=15,"15-20", G1995&gt;=10,"10-15", G1995&gt;=5,"5-10", G1995&gt;=1,"1-5", G1995&lt;1,"Less than 1")</f>
        <v>20-25</v>
      </c>
      <c r="I1995">
        <v>1</v>
      </c>
      <c r="J1995">
        <v>0</v>
      </c>
      <c r="K1995" s="6">
        <v>4</v>
      </c>
      <c r="L1995" s="2">
        <v>6.99</v>
      </c>
      <c r="M1995" s="6">
        <v>8</v>
      </c>
      <c r="N1995" t="str" cm="1">
        <f t="array" ref="N1995">_xlfn.IFS(M1995&gt;=50,"50-60 Days", M1995&gt;=40,"40-50 Days", M1995&gt;=30, "30-40 Days", M1995&gt;=20, "20-30 Days", M1995&gt;=10, "10-20 Days", M1995&gt;=0, "0-10 Days")</f>
        <v>0-10 Days</v>
      </c>
    </row>
    <row r="1996" spans="1:14">
      <c r="A1996">
        <v>1995</v>
      </c>
      <c r="B1996" t="s">
        <v>29</v>
      </c>
      <c r="C1996" s="5">
        <v>45298</v>
      </c>
      <c r="D1996" s="8">
        <v>45298</v>
      </c>
      <c r="E1996" s="8" t="str">
        <f>IF(B1996="Inactive", EDATE(D1996,K1996), "")</f>
        <v/>
      </c>
      <c r="F1996" t="s">
        <v>14</v>
      </c>
      <c r="G1996">
        <v>4.7</v>
      </c>
      <c r="H1996" t="str" cm="1">
        <f t="array" ref="H1996">_xlfn.IFS(G1996&gt;=20,"20-25", G1996&gt;=15,"15-20", G1996&gt;=10,"10-15", G1996&gt;=5,"5-10", G1996&gt;=1,"1-5", G1996&lt;1,"Less than 1")</f>
        <v>1-5</v>
      </c>
      <c r="I1996">
        <v>0</v>
      </c>
      <c r="J1996">
        <v>4</v>
      </c>
      <c r="K1996" s="6">
        <v>11</v>
      </c>
      <c r="L1996" s="2">
        <v>3.99</v>
      </c>
      <c r="M1996" s="6">
        <v>44</v>
      </c>
      <c r="N1996" t="str" cm="1">
        <f t="array" ref="N1996">_xlfn.IFS(M1996&gt;=50,"50-60 Days", M1996&gt;=40,"40-50 Days", M1996&gt;=30, "30-40 Days", M1996&gt;=20, "20-30 Days", M1996&gt;=10, "10-20 Days", M1996&gt;=0, "0-10 Days")</f>
        <v>40-50 Days</v>
      </c>
    </row>
    <row r="1997" spans="1:14">
      <c r="A1997">
        <v>1996</v>
      </c>
      <c r="B1997" t="s">
        <v>29</v>
      </c>
      <c r="C1997" s="5">
        <v>45279</v>
      </c>
      <c r="D1997" s="8">
        <v>45279</v>
      </c>
      <c r="E1997" s="8" t="str">
        <f>IF(B1997="Inactive", EDATE(D1997,K1997), "")</f>
        <v/>
      </c>
      <c r="F1997" t="s">
        <v>14</v>
      </c>
      <c r="G1997">
        <v>11.5</v>
      </c>
      <c r="H1997" t="str" cm="1">
        <f t="array" ref="H1997">_xlfn.IFS(G1997&gt;=20,"20-25", G1997&gt;=15,"15-20", G1997&gt;=10,"10-15", G1997&gt;=5,"5-10", G1997&gt;=1,"1-5", G1997&lt;1,"Less than 1")</f>
        <v>10-15</v>
      </c>
      <c r="I1997">
        <v>0</v>
      </c>
      <c r="J1997">
        <v>3</v>
      </c>
      <c r="K1997" s="6">
        <v>4</v>
      </c>
      <c r="L1997" s="2">
        <v>3.99</v>
      </c>
      <c r="M1997" s="6">
        <v>60</v>
      </c>
      <c r="N1997" t="str" cm="1">
        <f t="array" ref="N1997">_xlfn.IFS(M1997&gt;=50,"50-60 Days", M1997&gt;=40,"40-50 Days", M1997&gt;=30, "30-40 Days", M1997&gt;=20, "20-30 Days", M1997&gt;=10, "10-20 Days", M1997&gt;=0, "0-10 Days")</f>
        <v>50-60 Days</v>
      </c>
    </row>
    <row r="1998" spans="1:14">
      <c r="A1998">
        <v>1997</v>
      </c>
      <c r="B1998" t="s">
        <v>29</v>
      </c>
      <c r="C1998" s="5">
        <v>45620</v>
      </c>
      <c r="D1998" s="8">
        <v>45620</v>
      </c>
      <c r="E1998" s="8" t="str">
        <f>IF(B1998="Inactive", EDATE(D1998,K1998), "")</f>
        <v/>
      </c>
      <c r="F1998" t="s">
        <v>14</v>
      </c>
      <c r="G1998">
        <v>22.2</v>
      </c>
      <c r="H1998" t="str" cm="1">
        <f t="array" ref="H1998">_xlfn.IFS(G1998&gt;=20,"20-25", G1998&gt;=15,"15-20", G1998&gt;=10,"10-15", G1998&gt;=5,"5-10", G1998&gt;=1,"1-5", G1998&lt;1,"Less than 1")</f>
        <v>20-25</v>
      </c>
      <c r="I1998">
        <v>1</v>
      </c>
      <c r="J1998">
        <v>1</v>
      </c>
      <c r="K1998" s="6">
        <v>2</v>
      </c>
      <c r="L1998" s="2">
        <v>3.99</v>
      </c>
      <c r="M1998" s="6">
        <v>8</v>
      </c>
      <c r="N1998" t="str" cm="1">
        <f t="array" ref="N1998">_xlfn.IFS(M1998&gt;=50,"50-60 Days", M1998&gt;=40,"40-50 Days", M1998&gt;=30, "30-40 Days", M1998&gt;=20, "20-30 Days", M1998&gt;=10, "10-20 Days", M1998&gt;=0, "0-10 Days")</f>
        <v>0-10 Days</v>
      </c>
    </row>
    <row r="1999" spans="1:14">
      <c r="A1999">
        <v>1998</v>
      </c>
      <c r="B1999" t="s">
        <v>28</v>
      </c>
      <c r="C1999" s="5">
        <v>45012</v>
      </c>
      <c r="D1999" s="8">
        <v>45012</v>
      </c>
      <c r="E1999" s="8">
        <f>IF(B1999="Inactive", EDATE(D1999,K1999), "")</f>
        <v>45134</v>
      </c>
      <c r="F1999" t="s">
        <v>14</v>
      </c>
      <c r="G1999">
        <v>3.2</v>
      </c>
      <c r="H1999" t="str" cm="1">
        <f t="array" ref="H1999">_xlfn.IFS(G1999&gt;=20,"20-25", G1999&gt;=15,"15-20", G1999&gt;=10,"10-15", G1999&gt;=5,"5-10", G1999&gt;=1,"1-5", G1999&lt;1,"Less than 1")</f>
        <v>1-5</v>
      </c>
      <c r="I1999">
        <v>3</v>
      </c>
      <c r="J1999">
        <v>5</v>
      </c>
      <c r="K1999" s="6">
        <v>4</v>
      </c>
      <c r="L1999" s="2">
        <v>3.99</v>
      </c>
      <c r="M1999" s="6">
        <v>20</v>
      </c>
      <c r="N1999" t="str" cm="1">
        <f t="array" ref="N1999">_xlfn.IFS(M1999&gt;=50,"50-60 Days", M1999&gt;=40,"40-50 Days", M1999&gt;=30, "30-40 Days", M1999&gt;=20, "20-30 Days", M1999&gt;=10, "10-20 Days", M1999&gt;=0, "0-10 Days")</f>
        <v>20-30 Days</v>
      </c>
    </row>
    <row r="2000" spans="1:14">
      <c r="A2000">
        <v>1999</v>
      </c>
      <c r="B2000" t="s">
        <v>29</v>
      </c>
      <c r="C2000" s="5">
        <v>45123</v>
      </c>
      <c r="D2000" s="8">
        <v>45123</v>
      </c>
      <c r="E2000" s="8" t="str">
        <f>IF(B2000="Inactive", EDATE(D2000,K2000), "")</f>
        <v/>
      </c>
      <c r="F2000" t="s">
        <v>14</v>
      </c>
      <c r="G2000">
        <v>0.9</v>
      </c>
      <c r="H2000" t="str" cm="1">
        <f t="array" ref="H2000">_xlfn.IFS(G2000&gt;=20,"20-25", G2000&gt;=15,"15-20", G2000&gt;=10,"10-15", G2000&gt;=5,"5-10", G2000&gt;=1,"1-5", G2000&lt;1,"Less than 1")</f>
        <v>Less than 1</v>
      </c>
      <c r="I2000">
        <v>6</v>
      </c>
      <c r="J2000">
        <v>1</v>
      </c>
      <c r="K2000" s="6">
        <v>11</v>
      </c>
      <c r="L2000" s="2">
        <v>3.99</v>
      </c>
      <c r="M2000" s="6">
        <v>23</v>
      </c>
      <c r="N2000" t="str" cm="1">
        <f t="array" ref="N2000">_xlfn.IFS(M2000&gt;=50,"50-60 Days", M2000&gt;=40,"40-50 Days", M2000&gt;=30, "30-40 Days", M2000&gt;=20, "20-30 Days", M2000&gt;=10, "10-20 Days", M2000&gt;=0, "0-10 Days")</f>
        <v>20-30 Days</v>
      </c>
    </row>
    <row r="2001" spans="1:14">
      <c r="A2001">
        <v>2000</v>
      </c>
      <c r="B2001" t="s">
        <v>29</v>
      </c>
      <c r="C2001" s="5">
        <v>44980</v>
      </c>
      <c r="D2001" s="8">
        <v>44980</v>
      </c>
      <c r="E2001" s="8" t="str">
        <f>IF(B2001="Inactive", EDATE(D2001,K2001), "")</f>
        <v/>
      </c>
      <c r="F2001" t="s">
        <v>10</v>
      </c>
      <c r="G2001">
        <v>24.6</v>
      </c>
      <c r="H2001" t="str" cm="1">
        <f t="array" ref="H2001">_xlfn.IFS(G2001&gt;=20,"20-25", G2001&gt;=15,"15-20", G2001&gt;=10,"10-15", G2001&gt;=5,"5-10", G2001&gt;=1,"1-5", G2001&lt;1,"Less than 1")</f>
        <v>20-25</v>
      </c>
      <c r="I2001">
        <v>0</v>
      </c>
      <c r="J2001">
        <v>3</v>
      </c>
      <c r="K2001" s="6">
        <v>6</v>
      </c>
      <c r="L2001" s="2">
        <v>6.99</v>
      </c>
      <c r="M2001" s="6">
        <v>20</v>
      </c>
      <c r="N2001" t="str" cm="1">
        <f t="array" ref="N2001">_xlfn.IFS(M2001&gt;=50,"50-60 Days", M2001&gt;=40,"40-50 Days", M2001&gt;=30, "30-40 Days", M2001&gt;=20, "20-30 Days", M2001&gt;=10, "10-20 Days", M2001&gt;=0, "0-10 Days")</f>
        <v>20-30 Days</v>
      </c>
    </row>
    <row r="2002" spans="1:14">
      <c r="A2002">
        <v>2001</v>
      </c>
      <c r="B2002" t="s">
        <v>28</v>
      </c>
      <c r="C2002" s="5">
        <v>45206</v>
      </c>
      <c r="D2002" s="8">
        <v>45206</v>
      </c>
      <c r="E2002" s="8">
        <f>IF(B2002="Inactive", EDATE(D2002,K2002), "")</f>
        <v>45389</v>
      </c>
      <c r="F2002" t="s">
        <v>10</v>
      </c>
      <c r="G2002">
        <v>17.7</v>
      </c>
      <c r="H2002" t="str" cm="1">
        <f t="array" ref="H2002">_xlfn.IFS(G2002&gt;=20,"20-25", G2002&gt;=15,"15-20", G2002&gt;=10,"10-15", G2002&gt;=5,"5-10", G2002&gt;=1,"1-5", G2002&lt;1,"Less than 1")</f>
        <v>15-20</v>
      </c>
      <c r="I2002">
        <v>4</v>
      </c>
      <c r="J2002">
        <v>3</v>
      </c>
      <c r="K2002" s="6">
        <v>6</v>
      </c>
      <c r="L2002" s="2">
        <v>6.99</v>
      </c>
      <c r="M2002" s="6">
        <v>27</v>
      </c>
      <c r="N2002" t="str" cm="1">
        <f t="array" ref="N2002">_xlfn.IFS(M2002&gt;=50,"50-60 Days", M2002&gt;=40,"40-50 Days", M2002&gt;=30, "30-40 Days", M2002&gt;=20, "20-30 Days", M2002&gt;=10, "10-20 Days", M2002&gt;=0, "0-10 Days")</f>
        <v>20-30 Days</v>
      </c>
    </row>
    <row r="2003" spans="1:14">
      <c r="A2003">
        <v>2002</v>
      </c>
      <c r="B2003" t="s">
        <v>28</v>
      </c>
      <c r="C2003" s="5">
        <v>45566</v>
      </c>
      <c r="D2003" s="8">
        <v>45566</v>
      </c>
      <c r="E2003" s="8">
        <f>IF(B2003="Inactive", EDATE(D2003,K2003), "")</f>
        <v>45870</v>
      </c>
      <c r="F2003" t="s">
        <v>10</v>
      </c>
      <c r="G2003">
        <v>16.7</v>
      </c>
      <c r="H2003" t="str" cm="1">
        <f t="array" ref="H2003">_xlfn.IFS(G2003&gt;=20,"20-25", G2003&gt;=15,"15-20", G2003&gt;=10,"10-15", G2003&gt;=5,"5-10", G2003&gt;=1,"1-5", G2003&lt;1,"Less than 1")</f>
        <v>15-20</v>
      </c>
      <c r="I2003">
        <v>5</v>
      </c>
      <c r="J2003">
        <v>4</v>
      </c>
      <c r="K2003" s="6">
        <v>10</v>
      </c>
      <c r="L2003" s="2">
        <v>6.99</v>
      </c>
      <c r="M2003" s="6">
        <v>2</v>
      </c>
      <c r="N2003" t="str" cm="1">
        <f t="array" ref="N2003">_xlfn.IFS(M2003&gt;=50,"50-60 Days", M2003&gt;=40,"40-50 Days", M2003&gt;=30, "30-40 Days", M2003&gt;=20, "20-30 Days", M2003&gt;=10, "10-20 Days", M2003&gt;=0, "0-10 Days")</f>
        <v>0-10 Days</v>
      </c>
    </row>
    <row r="2004" spans="1:14">
      <c r="A2004">
        <v>2003</v>
      </c>
      <c r="B2004" t="s">
        <v>28</v>
      </c>
      <c r="C2004" s="5">
        <v>45638</v>
      </c>
      <c r="D2004" s="8">
        <v>45638</v>
      </c>
      <c r="E2004" s="8">
        <f>IF(B2004="Inactive", EDATE(D2004,K2004), "")</f>
        <v>45669</v>
      </c>
      <c r="F2004" t="s">
        <v>12</v>
      </c>
      <c r="G2004">
        <v>7.9</v>
      </c>
      <c r="H2004" t="str" cm="1">
        <f t="array" ref="H2004">_xlfn.IFS(G2004&gt;=20,"20-25", G2004&gt;=15,"15-20", G2004&gt;=10,"10-15", G2004&gt;=5,"5-10", G2004&gt;=1,"1-5", G2004&lt;1,"Less than 1")</f>
        <v>5-10</v>
      </c>
      <c r="I2004">
        <v>3</v>
      </c>
      <c r="J2004">
        <v>3</v>
      </c>
      <c r="K2004" s="6">
        <v>1</v>
      </c>
      <c r="L2004" s="2">
        <v>1.99</v>
      </c>
      <c r="M2004" s="6">
        <v>24</v>
      </c>
      <c r="N2004" t="str" cm="1">
        <f t="array" ref="N2004">_xlfn.IFS(M2004&gt;=50,"50-60 Days", M2004&gt;=40,"40-50 Days", M2004&gt;=30, "30-40 Days", M2004&gt;=20, "20-30 Days", M2004&gt;=10, "10-20 Days", M2004&gt;=0, "0-10 Days")</f>
        <v>20-30 Days</v>
      </c>
    </row>
    <row r="2005" spans="1:14">
      <c r="A2005">
        <v>2004</v>
      </c>
      <c r="B2005" t="s">
        <v>28</v>
      </c>
      <c r="C2005" s="5">
        <v>45361</v>
      </c>
      <c r="D2005" s="8">
        <v>45361</v>
      </c>
      <c r="E2005" s="8">
        <f>IF(B2005="Inactive", EDATE(D2005,K2005), "")</f>
        <v>45545</v>
      </c>
      <c r="F2005" t="s">
        <v>10</v>
      </c>
      <c r="G2005">
        <v>17.600000000000001</v>
      </c>
      <c r="H2005" t="str" cm="1">
        <f t="array" ref="H2005">_xlfn.IFS(G2005&gt;=20,"20-25", G2005&gt;=15,"15-20", G2005&gt;=10,"10-15", G2005&gt;=5,"5-10", G2005&gt;=1,"1-5", G2005&lt;1,"Less than 1")</f>
        <v>15-20</v>
      </c>
      <c r="I2005">
        <v>5</v>
      </c>
      <c r="J2005">
        <v>2</v>
      </c>
      <c r="K2005" s="6">
        <v>6</v>
      </c>
      <c r="L2005" s="2">
        <v>6.99</v>
      </c>
      <c r="M2005" s="6">
        <v>51</v>
      </c>
      <c r="N2005" t="str" cm="1">
        <f t="array" ref="N2005">_xlfn.IFS(M2005&gt;=50,"50-60 Days", M2005&gt;=40,"40-50 Days", M2005&gt;=30, "30-40 Days", M2005&gt;=20, "20-30 Days", M2005&gt;=10, "10-20 Days", M2005&gt;=0, "0-10 Days")</f>
        <v>50-60 Days</v>
      </c>
    </row>
    <row r="2006" spans="1:14">
      <c r="A2006">
        <v>2005</v>
      </c>
      <c r="B2006" t="s">
        <v>28</v>
      </c>
      <c r="C2006" s="5">
        <v>45427</v>
      </c>
      <c r="D2006" s="8">
        <v>45427</v>
      </c>
      <c r="E2006" s="8">
        <f>IF(B2006="Inactive", EDATE(D2006,K2006), "")</f>
        <v>45672</v>
      </c>
      <c r="F2006" t="s">
        <v>14</v>
      </c>
      <c r="G2006">
        <v>3.7</v>
      </c>
      <c r="H2006" t="str" cm="1">
        <f t="array" ref="H2006">_xlfn.IFS(G2006&gt;=20,"20-25", G2006&gt;=15,"15-20", G2006&gt;=10,"10-15", G2006&gt;=5,"5-10", G2006&gt;=1,"1-5", G2006&lt;1,"Less than 1")</f>
        <v>1-5</v>
      </c>
      <c r="I2006">
        <v>5</v>
      </c>
      <c r="J2006">
        <v>5</v>
      </c>
      <c r="K2006" s="6">
        <v>8</v>
      </c>
      <c r="L2006" s="2">
        <v>3.99</v>
      </c>
      <c r="M2006" s="6">
        <v>16</v>
      </c>
      <c r="N2006" t="str" cm="1">
        <f t="array" ref="N2006">_xlfn.IFS(M2006&gt;=50,"50-60 Days", M2006&gt;=40,"40-50 Days", M2006&gt;=30, "30-40 Days", M2006&gt;=20, "20-30 Days", M2006&gt;=10, "10-20 Days", M2006&gt;=0, "0-10 Days")</f>
        <v>10-20 Days</v>
      </c>
    </row>
    <row r="2007" spans="1:14">
      <c r="A2007">
        <v>2006</v>
      </c>
      <c r="B2007" t="s">
        <v>29</v>
      </c>
      <c r="C2007" s="5">
        <v>45253</v>
      </c>
      <c r="D2007" s="8">
        <v>45253</v>
      </c>
      <c r="E2007" s="8" t="str">
        <f>IF(B2007="Inactive", EDATE(D2007,K2007), "")</f>
        <v/>
      </c>
      <c r="F2007" t="s">
        <v>14</v>
      </c>
      <c r="G2007">
        <v>2.5</v>
      </c>
      <c r="H2007" t="str" cm="1">
        <f t="array" ref="H2007">_xlfn.IFS(G2007&gt;=20,"20-25", G2007&gt;=15,"15-20", G2007&gt;=10,"10-15", G2007&gt;=5,"5-10", G2007&gt;=1,"1-5", G2007&lt;1,"Less than 1")</f>
        <v>1-5</v>
      </c>
      <c r="I2007">
        <v>7</v>
      </c>
      <c r="J2007">
        <v>5</v>
      </c>
      <c r="K2007" s="6">
        <v>6</v>
      </c>
      <c r="L2007" s="2">
        <v>3.99</v>
      </c>
      <c r="M2007" s="6">
        <v>5</v>
      </c>
      <c r="N2007" t="str" cm="1">
        <f t="array" ref="N2007">_xlfn.IFS(M2007&gt;=50,"50-60 Days", M2007&gt;=40,"40-50 Days", M2007&gt;=30, "30-40 Days", M2007&gt;=20, "20-30 Days", M2007&gt;=10, "10-20 Days", M2007&gt;=0, "0-10 Days")</f>
        <v>0-10 Days</v>
      </c>
    </row>
    <row r="2008" spans="1:14">
      <c r="A2008">
        <v>2007</v>
      </c>
      <c r="B2008" t="s">
        <v>28</v>
      </c>
      <c r="C2008" s="5">
        <v>45309</v>
      </c>
      <c r="D2008" s="8">
        <v>45309</v>
      </c>
      <c r="E2008" s="8">
        <f>IF(B2008="Inactive", EDATE(D2008,K2008), "")</f>
        <v>45400</v>
      </c>
      <c r="F2008" t="s">
        <v>10</v>
      </c>
      <c r="G2008">
        <v>1.1000000000000001</v>
      </c>
      <c r="H2008" t="str" cm="1">
        <f t="array" ref="H2008">_xlfn.IFS(G2008&gt;=20,"20-25", G2008&gt;=15,"15-20", G2008&gt;=10,"10-15", G2008&gt;=5,"5-10", G2008&gt;=1,"1-5", G2008&lt;1,"Less than 1")</f>
        <v>1-5</v>
      </c>
      <c r="I2008">
        <v>2</v>
      </c>
      <c r="J2008">
        <v>0</v>
      </c>
      <c r="K2008" s="6">
        <v>3</v>
      </c>
      <c r="L2008" s="2">
        <v>6.99</v>
      </c>
      <c r="M2008" s="6">
        <v>15</v>
      </c>
      <c r="N2008" t="str" cm="1">
        <f t="array" ref="N2008">_xlfn.IFS(M2008&gt;=50,"50-60 Days", M2008&gt;=40,"40-50 Days", M2008&gt;=30, "30-40 Days", M2008&gt;=20, "20-30 Days", M2008&gt;=10, "10-20 Days", M2008&gt;=0, "0-10 Days")</f>
        <v>10-20 Days</v>
      </c>
    </row>
    <row r="2009" spans="1:14">
      <c r="A2009">
        <v>2008</v>
      </c>
      <c r="B2009" t="s">
        <v>28</v>
      </c>
      <c r="C2009" s="5">
        <v>44940</v>
      </c>
      <c r="D2009" s="8">
        <v>44940</v>
      </c>
      <c r="E2009" s="8">
        <f>IF(B2009="Inactive", EDATE(D2009,K2009), "")</f>
        <v>45060</v>
      </c>
      <c r="F2009" t="s">
        <v>12</v>
      </c>
      <c r="G2009">
        <v>14.5</v>
      </c>
      <c r="H2009" t="str" cm="1">
        <f t="array" ref="H2009">_xlfn.IFS(G2009&gt;=20,"20-25", G2009&gt;=15,"15-20", G2009&gt;=10,"10-15", G2009&gt;=5,"5-10", G2009&gt;=1,"1-5", G2009&lt;1,"Less than 1")</f>
        <v>10-15</v>
      </c>
      <c r="I2009">
        <v>3</v>
      </c>
      <c r="J2009">
        <v>0</v>
      </c>
      <c r="K2009" s="6">
        <v>4</v>
      </c>
      <c r="L2009" s="2">
        <v>1.99</v>
      </c>
      <c r="M2009" s="6">
        <v>55</v>
      </c>
      <c r="N2009" t="str" cm="1">
        <f t="array" ref="N2009">_xlfn.IFS(M2009&gt;=50,"50-60 Days", M2009&gt;=40,"40-50 Days", M2009&gt;=30, "30-40 Days", M2009&gt;=20, "20-30 Days", M2009&gt;=10, "10-20 Days", M2009&gt;=0, "0-10 Days")</f>
        <v>50-60 Days</v>
      </c>
    </row>
    <row r="2010" spans="1:14">
      <c r="A2010">
        <v>2009</v>
      </c>
      <c r="B2010" t="s">
        <v>29</v>
      </c>
      <c r="C2010" s="5">
        <v>45398</v>
      </c>
      <c r="D2010" s="8">
        <v>45398</v>
      </c>
      <c r="E2010" s="8" t="str">
        <f>IF(B2010="Inactive", EDATE(D2010,K2010), "")</f>
        <v/>
      </c>
      <c r="F2010" t="s">
        <v>10</v>
      </c>
      <c r="G2010">
        <v>21.8</v>
      </c>
      <c r="H2010" t="str" cm="1">
        <f t="array" ref="H2010">_xlfn.IFS(G2010&gt;=20,"20-25", G2010&gt;=15,"15-20", G2010&gt;=10,"10-15", G2010&gt;=5,"5-10", G2010&gt;=1,"1-5", G2010&lt;1,"Less than 1")</f>
        <v>20-25</v>
      </c>
      <c r="I2010">
        <v>1</v>
      </c>
      <c r="J2010">
        <v>1</v>
      </c>
      <c r="K2010" s="6">
        <v>8</v>
      </c>
      <c r="L2010" s="2">
        <v>6.99</v>
      </c>
      <c r="M2010" s="6">
        <v>37</v>
      </c>
      <c r="N2010" t="str" cm="1">
        <f t="array" ref="N2010">_xlfn.IFS(M2010&gt;=50,"50-60 Days", M2010&gt;=40,"40-50 Days", M2010&gt;=30, "30-40 Days", M2010&gt;=20, "20-30 Days", M2010&gt;=10, "10-20 Days", M2010&gt;=0, "0-10 Days")</f>
        <v>30-40 Days</v>
      </c>
    </row>
    <row r="2011" spans="1:14">
      <c r="A2011">
        <v>2010</v>
      </c>
      <c r="B2011" t="s">
        <v>28</v>
      </c>
      <c r="C2011" s="5">
        <v>45069</v>
      </c>
      <c r="D2011" s="8">
        <v>45069</v>
      </c>
      <c r="E2011" s="8">
        <f>IF(B2011="Inactive", EDATE(D2011,K2011), "")</f>
        <v>45314</v>
      </c>
      <c r="F2011" t="s">
        <v>10</v>
      </c>
      <c r="G2011">
        <v>19.8</v>
      </c>
      <c r="H2011" t="str" cm="1">
        <f t="array" ref="H2011">_xlfn.IFS(G2011&gt;=20,"20-25", G2011&gt;=15,"15-20", G2011&gt;=10,"10-15", G2011&gt;=5,"5-10", G2011&gt;=1,"1-5", G2011&lt;1,"Less than 1")</f>
        <v>15-20</v>
      </c>
      <c r="I2011">
        <v>1</v>
      </c>
      <c r="J2011">
        <v>4</v>
      </c>
      <c r="K2011" s="6">
        <v>8</v>
      </c>
      <c r="L2011" s="2">
        <v>6.99</v>
      </c>
      <c r="M2011" s="6">
        <v>7</v>
      </c>
      <c r="N2011" t="str" cm="1">
        <f t="array" ref="N2011">_xlfn.IFS(M2011&gt;=50,"50-60 Days", M2011&gt;=40,"40-50 Days", M2011&gt;=30, "30-40 Days", M2011&gt;=20, "20-30 Days", M2011&gt;=10, "10-20 Days", M2011&gt;=0, "0-10 Days")</f>
        <v>0-10 Days</v>
      </c>
    </row>
    <row r="2012" spans="1:14">
      <c r="A2012">
        <v>2011</v>
      </c>
      <c r="B2012" t="s">
        <v>29</v>
      </c>
      <c r="C2012" s="5">
        <v>45165</v>
      </c>
      <c r="D2012" s="8">
        <v>45165</v>
      </c>
      <c r="E2012" s="8" t="str">
        <f>IF(B2012="Inactive", EDATE(D2012,K2012), "")</f>
        <v/>
      </c>
      <c r="F2012" t="s">
        <v>12</v>
      </c>
      <c r="G2012">
        <v>5</v>
      </c>
      <c r="H2012" t="str" cm="1">
        <f t="array" ref="H2012">_xlfn.IFS(G2012&gt;=20,"20-25", G2012&gt;=15,"15-20", G2012&gt;=10,"10-15", G2012&gt;=5,"5-10", G2012&gt;=1,"1-5", G2012&lt;1,"Less than 1")</f>
        <v>5-10</v>
      </c>
      <c r="I2012">
        <v>1</v>
      </c>
      <c r="J2012">
        <v>0</v>
      </c>
      <c r="K2012" s="6">
        <v>2</v>
      </c>
      <c r="L2012" s="2">
        <v>1.99</v>
      </c>
      <c r="M2012" s="6">
        <v>27</v>
      </c>
      <c r="N2012" t="str" cm="1">
        <f t="array" ref="N2012">_xlfn.IFS(M2012&gt;=50,"50-60 Days", M2012&gt;=40,"40-50 Days", M2012&gt;=30, "30-40 Days", M2012&gt;=20, "20-30 Days", M2012&gt;=10, "10-20 Days", M2012&gt;=0, "0-10 Days")</f>
        <v>20-30 Days</v>
      </c>
    </row>
    <row r="2013" spans="1:14">
      <c r="A2013">
        <v>2012</v>
      </c>
      <c r="B2013" t="s">
        <v>28</v>
      </c>
      <c r="C2013" s="5">
        <v>45414</v>
      </c>
      <c r="D2013" s="8">
        <v>45414</v>
      </c>
      <c r="E2013" s="8">
        <f>IF(B2013="Inactive", EDATE(D2013,K2013), "")</f>
        <v>45475</v>
      </c>
      <c r="F2013" t="s">
        <v>12</v>
      </c>
      <c r="G2013">
        <v>18.100000000000001</v>
      </c>
      <c r="H2013" t="str" cm="1">
        <f t="array" ref="H2013">_xlfn.IFS(G2013&gt;=20,"20-25", G2013&gt;=15,"15-20", G2013&gt;=10,"10-15", G2013&gt;=5,"5-10", G2013&gt;=1,"1-5", G2013&lt;1,"Less than 1")</f>
        <v>15-20</v>
      </c>
      <c r="I2013">
        <v>6</v>
      </c>
      <c r="J2013">
        <v>2</v>
      </c>
      <c r="K2013" s="6">
        <v>2</v>
      </c>
      <c r="L2013" s="2">
        <v>1.99</v>
      </c>
      <c r="M2013" s="6">
        <v>40</v>
      </c>
      <c r="N2013" t="str" cm="1">
        <f t="array" ref="N2013">_xlfn.IFS(M2013&gt;=50,"50-60 Days", M2013&gt;=40,"40-50 Days", M2013&gt;=30, "30-40 Days", M2013&gt;=20, "20-30 Days", M2013&gt;=10, "10-20 Days", M2013&gt;=0, "0-10 Days")</f>
        <v>40-50 Days</v>
      </c>
    </row>
    <row r="2014" spans="1:14">
      <c r="A2014">
        <v>2013</v>
      </c>
      <c r="B2014" t="s">
        <v>29</v>
      </c>
      <c r="C2014" s="5">
        <v>45533</v>
      </c>
      <c r="D2014" s="8">
        <v>45533</v>
      </c>
      <c r="E2014" s="8" t="str">
        <f>IF(B2014="Inactive", EDATE(D2014,K2014), "")</f>
        <v/>
      </c>
      <c r="F2014" t="s">
        <v>12</v>
      </c>
      <c r="G2014">
        <v>15.3</v>
      </c>
      <c r="H2014" t="str" cm="1">
        <f t="array" ref="H2014">_xlfn.IFS(G2014&gt;=20,"20-25", G2014&gt;=15,"15-20", G2014&gt;=10,"10-15", G2014&gt;=5,"5-10", G2014&gt;=1,"1-5", G2014&lt;1,"Less than 1")</f>
        <v>15-20</v>
      </c>
      <c r="I2014">
        <v>2</v>
      </c>
      <c r="J2014">
        <v>3</v>
      </c>
      <c r="K2014" s="6">
        <v>11</v>
      </c>
      <c r="L2014" s="2">
        <v>1.99</v>
      </c>
      <c r="M2014" s="6">
        <v>18</v>
      </c>
      <c r="N2014" t="str" cm="1">
        <f t="array" ref="N2014">_xlfn.IFS(M2014&gt;=50,"50-60 Days", M2014&gt;=40,"40-50 Days", M2014&gt;=30, "30-40 Days", M2014&gt;=20, "20-30 Days", M2014&gt;=10, "10-20 Days", M2014&gt;=0, "0-10 Days")</f>
        <v>10-20 Days</v>
      </c>
    </row>
    <row r="2015" spans="1:14">
      <c r="A2015">
        <v>2014</v>
      </c>
      <c r="B2015" t="s">
        <v>29</v>
      </c>
      <c r="C2015" s="5">
        <v>45196</v>
      </c>
      <c r="D2015" s="8">
        <v>45196</v>
      </c>
      <c r="E2015" s="8" t="str">
        <f>IF(B2015="Inactive", EDATE(D2015,K2015), "")</f>
        <v/>
      </c>
      <c r="F2015" t="s">
        <v>12</v>
      </c>
      <c r="G2015">
        <v>5</v>
      </c>
      <c r="H2015" t="str" cm="1">
        <f t="array" ref="H2015">_xlfn.IFS(G2015&gt;=20,"20-25", G2015&gt;=15,"15-20", G2015&gt;=10,"10-15", G2015&gt;=5,"5-10", G2015&gt;=1,"1-5", G2015&lt;1,"Less than 1")</f>
        <v>5-10</v>
      </c>
      <c r="I2015">
        <v>0</v>
      </c>
      <c r="J2015">
        <v>0</v>
      </c>
      <c r="K2015" s="6">
        <v>10</v>
      </c>
      <c r="L2015" s="2">
        <v>1.99</v>
      </c>
      <c r="M2015" s="6">
        <v>11</v>
      </c>
      <c r="N2015" t="str" cm="1">
        <f t="array" ref="N2015">_xlfn.IFS(M2015&gt;=50,"50-60 Days", M2015&gt;=40,"40-50 Days", M2015&gt;=30, "30-40 Days", M2015&gt;=20, "20-30 Days", M2015&gt;=10, "10-20 Days", M2015&gt;=0, "0-10 Days")</f>
        <v>10-20 Days</v>
      </c>
    </row>
    <row r="2016" spans="1:14">
      <c r="A2016">
        <v>2015</v>
      </c>
      <c r="B2016" t="s">
        <v>29</v>
      </c>
      <c r="C2016" s="5">
        <v>45004</v>
      </c>
      <c r="D2016" s="8">
        <v>45004</v>
      </c>
      <c r="E2016" s="8" t="str">
        <f>IF(B2016="Inactive", EDATE(D2016,K2016), "")</f>
        <v/>
      </c>
      <c r="F2016" t="s">
        <v>12</v>
      </c>
      <c r="G2016">
        <v>14.6</v>
      </c>
      <c r="H2016" t="str" cm="1">
        <f t="array" ref="H2016">_xlfn.IFS(G2016&gt;=20,"20-25", G2016&gt;=15,"15-20", G2016&gt;=10,"10-15", G2016&gt;=5,"5-10", G2016&gt;=1,"1-5", G2016&lt;1,"Less than 1")</f>
        <v>10-15</v>
      </c>
      <c r="I2016">
        <v>3</v>
      </c>
      <c r="J2016">
        <v>5</v>
      </c>
      <c r="K2016" s="6">
        <v>12</v>
      </c>
      <c r="L2016" s="2">
        <v>1.99</v>
      </c>
      <c r="M2016" s="6">
        <v>7</v>
      </c>
      <c r="N2016" t="str" cm="1">
        <f t="array" ref="N2016">_xlfn.IFS(M2016&gt;=50,"50-60 Days", M2016&gt;=40,"40-50 Days", M2016&gt;=30, "30-40 Days", M2016&gt;=20, "20-30 Days", M2016&gt;=10, "10-20 Days", M2016&gt;=0, "0-10 Days")</f>
        <v>0-10 Days</v>
      </c>
    </row>
    <row r="2017" spans="1:14">
      <c r="A2017">
        <v>2016</v>
      </c>
      <c r="B2017" t="s">
        <v>29</v>
      </c>
      <c r="C2017" s="5">
        <v>45533</v>
      </c>
      <c r="D2017" s="8">
        <v>45533</v>
      </c>
      <c r="E2017" s="8" t="str">
        <f>IF(B2017="Inactive", EDATE(D2017,K2017), "")</f>
        <v/>
      </c>
      <c r="F2017" t="s">
        <v>12</v>
      </c>
      <c r="G2017">
        <v>21.3</v>
      </c>
      <c r="H2017" t="str" cm="1">
        <f t="array" ref="H2017">_xlfn.IFS(G2017&gt;=20,"20-25", G2017&gt;=15,"15-20", G2017&gt;=10,"10-15", G2017&gt;=5,"5-10", G2017&gt;=1,"1-5", G2017&lt;1,"Less than 1")</f>
        <v>20-25</v>
      </c>
      <c r="I2017">
        <v>3</v>
      </c>
      <c r="J2017">
        <v>1</v>
      </c>
      <c r="K2017" s="6">
        <v>4</v>
      </c>
      <c r="L2017" s="2">
        <v>1.99</v>
      </c>
      <c r="M2017" s="6">
        <v>25</v>
      </c>
      <c r="N2017" t="str" cm="1">
        <f t="array" ref="N2017">_xlfn.IFS(M2017&gt;=50,"50-60 Days", M2017&gt;=40,"40-50 Days", M2017&gt;=30, "30-40 Days", M2017&gt;=20, "20-30 Days", M2017&gt;=10, "10-20 Days", M2017&gt;=0, "0-10 Days")</f>
        <v>20-30 Days</v>
      </c>
    </row>
    <row r="2018" spans="1:14">
      <c r="A2018">
        <v>2017</v>
      </c>
      <c r="B2018" t="s">
        <v>28</v>
      </c>
      <c r="C2018" s="5">
        <v>45280</v>
      </c>
      <c r="D2018" s="8">
        <v>45280</v>
      </c>
      <c r="E2018" s="8">
        <f>IF(B2018="Inactive", EDATE(D2018,K2018), "")</f>
        <v>45555</v>
      </c>
      <c r="F2018" t="s">
        <v>14</v>
      </c>
      <c r="G2018">
        <v>12.9</v>
      </c>
      <c r="H2018" t="str" cm="1">
        <f t="array" ref="H2018">_xlfn.IFS(G2018&gt;=20,"20-25", G2018&gt;=15,"15-20", G2018&gt;=10,"10-15", G2018&gt;=5,"5-10", G2018&gt;=1,"1-5", G2018&lt;1,"Less than 1")</f>
        <v>10-15</v>
      </c>
      <c r="I2018">
        <v>4</v>
      </c>
      <c r="J2018">
        <v>1</v>
      </c>
      <c r="K2018" s="6">
        <v>9</v>
      </c>
      <c r="L2018" s="2">
        <v>3.99</v>
      </c>
      <c r="M2018" s="6">
        <v>27</v>
      </c>
      <c r="N2018" t="str" cm="1">
        <f t="array" ref="N2018">_xlfn.IFS(M2018&gt;=50,"50-60 Days", M2018&gt;=40,"40-50 Days", M2018&gt;=30, "30-40 Days", M2018&gt;=20, "20-30 Days", M2018&gt;=10, "10-20 Days", M2018&gt;=0, "0-10 Days")</f>
        <v>20-30 Days</v>
      </c>
    </row>
    <row r="2019" spans="1:14">
      <c r="A2019">
        <v>2018</v>
      </c>
      <c r="B2019" t="s">
        <v>28</v>
      </c>
      <c r="C2019" s="5">
        <v>44990</v>
      </c>
      <c r="D2019" s="8">
        <v>44990</v>
      </c>
      <c r="E2019" s="8">
        <f>IF(B2019="Inactive", EDATE(D2019,K2019), "")</f>
        <v>45174</v>
      </c>
      <c r="F2019" t="s">
        <v>10</v>
      </c>
      <c r="G2019">
        <v>13.5</v>
      </c>
      <c r="H2019" t="str" cm="1">
        <f t="array" ref="H2019">_xlfn.IFS(G2019&gt;=20,"20-25", G2019&gt;=15,"15-20", G2019&gt;=10,"10-15", G2019&gt;=5,"5-10", G2019&gt;=1,"1-5", G2019&lt;1,"Less than 1")</f>
        <v>10-15</v>
      </c>
      <c r="I2019">
        <v>4</v>
      </c>
      <c r="J2019">
        <v>2</v>
      </c>
      <c r="K2019" s="6">
        <v>6</v>
      </c>
      <c r="L2019" s="2">
        <v>6.99</v>
      </c>
      <c r="M2019" s="6">
        <v>48</v>
      </c>
      <c r="N2019" t="str" cm="1">
        <f t="array" ref="N2019">_xlfn.IFS(M2019&gt;=50,"50-60 Days", M2019&gt;=40,"40-50 Days", M2019&gt;=30, "30-40 Days", M2019&gt;=20, "20-30 Days", M2019&gt;=10, "10-20 Days", M2019&gt;=0, "0-10 Days")</f>
        <v>40-50 Days</v>
      </c>
    </row>
    <row r="2020" spans="1:14">
      <c r="A2020">
        <v>2019</v>
      </c>
      <c r="B2020" t="s">
        <v>29</v>
      </c>
      <c r="C2020" s="5">
        <v>45008</v>
      </c>
      <c r="D2020" s="8">
        <v>45008</v>
      </c>
      <c r="E2020" s="8" t="str">
        <f>IF(B2020="Inactive", EDATE(D2020,K2020), "")</f>
        <v/>
      </c>
      <c r="F2020" t="s">
        <v>12</v>
      </c>
      <c r="G2020">
        <v>8.9</v>
      </c>
      <c r="H2020" t="str" cm="1">
        <f t="array" ref="H2020">_xlfn.IFS(G2020&gt;=20,"20-25", G2020&gt;=15,"15-20", G2020&gt;=10,"10-15", G2020&gt;=5,"5-10", G2020&gt;=1,"1-5", G2020&lt;1,"Less than 1")</f>
        <v>5-10</v>
      </c>
      <c r="I2020">
        <v>0</v>
      </c>
      <c r="J2020">
        <v>4</v>
      </c>
      <c r="K2020" s="6">
        <v>11</v>
      </c>
      <c r="L2020" s="2">
        <v>1.99</v>
      </c>
      <c r="M2020" s="6">
        <v>48</v>
      </c>
      <c r="N2020" t="str" cm="1">
        <f t="array" ref="N2020">_xlfn.IFS(M2020&gt;=50,"50-60 Days", M2020&gt;=40,"40-50 Days", M2020&gt;=30, "30-40 Days", M2020&gt;=20, "20-30 Days", M2020&gt;=10, "10-20 Days", M2020&gt;=0, "0-10 Days")</f>
        <v>40-50 Days</v>
      </c>
    </row>
    <row r="2021" spans="1:14">
      <c r="A2021">
        <v>2020</v>
      </c>
      <c r="B2021" t="s">
        <v>28</v>
      </c>
      <c r="C2021" s="5">
        <v>45297</v>
      </c>
      <c r="D2021" s="8">
        <v>45297</v>
      </c>
      <c r="E2021" s="8">
        <f>IF(B2021="Inactive", EDATE(D2021,K2021), "")</f>
        <v>45602</v>
      </c>
      <c r="F2021" t="s">
        <v>10</v>
      </c>
      <c r="G2021">
        <v>0.8</v>
      </c>
      <c r="H2021" t="str" cm="1">
        <f t="array" ref="H2021">_xlfn.IFS(G2021&gt;=20,"20-25", G2021&gt;=15,"15-20", G2021&gt;=10,"10-15", G2021&gt;=5,"5-10", G2021&gt;=1,"1-5", G2021&lt;1,"Less than 1")</f>
        <v>Less than 1</v>
      </c>
      <c r="I2021">
        <v>1</v>
      </c>
      <c r="J2021">
        <v>2</v>
      </c>
      <c r="K2021" s="6">
        <v>10</v>
      </c>
      <c r="L2021" s="2">
        <v>6.99</v>
      </c>
      <c r="M2021" s="6">
        <v>37</v>
      </c>
      <c r="N2021" t="str" cm="1">
        <f t="array" ref="N2021">_xlfn.IFS(M2021&gt;=50,"50-60 Days", M2021&gt;=40,"40-50 Days", M2021&gt;=30, "30-40 Days", M2021&gt;=20, "20-30 Days", M2021&gt;=10, "10-20 Days", M2021&gt;=0, "0-10 Days")</f>
        <v>30-40 Days</v>
      </c>
    </row>
    <row r="2022" spans="1:14">
      <c r="A2022">
        <v>2021</v>
      </c>
      <c r="B2022" t="s">
        <v>28</v>
      </c>
      <c r="C2022" s="5">
        <v>45418</v>
      </c>
      <c r="D2022" s="8">
        <v>45418</v>
      </c>
      <c r="E2022" s="8">
        <f>IF(B2022="Inactive", EDATE(D2022,K2022), "")</f>
        <v>45479</v>
      </c>
      <c r="F2022" t="s">
        <v>10</v>
      </c>
      <c r="G2022">
        <v>14.4</v>
      </c>
      <c r="H2022" t="str" cm="1">
        <f t="array" ref="H2022">_xlfn.IFS(G2022&gt;=20,"20-25", G2022&gt;=15,"15-20", G2022&gt;=10,"10-15", G2022&gt;=5,"5-10", G2022&gt;=1,"1-5", G2022&lt;1,"Less than 1")</f>
        <v>10-15</v>
      </c>
      <c r="I2022">
        <v>5</v>
      </c>
      <c r="J2022">
        <v>3</v>
      </c>
      <c r="K2022" s="6">
        <v>2</v>
      </c>
      <c r="L2022" s="2">
        <v>6.99</v>
      </c>
      <c r="M2022" s="6">
        <v>22</v>
      </c>
      <c r="N2022" t="str" cm="1">
        <f t="array" ref="N2022">_xlfn.IFS(M2022&gt;=50,"50-60 Days", M2022&gt;=40,"40-50 Days", M2022&gt;=30, "30-40 Days", M2022&gt;=20, "20-30 Days", M2022&gt;=10, "10-20 Days", M2022&gt;=0, "0-10 Days")</f>
        <v>20-30 Days</v>
      </c>
    </row>
    <row r="2023" spans="1:14">
      <c r="A2023">
        <v>2022</v>
      </c>
      <c r="B2023" t="s">
        <v>29</v>
      </c>
      <c r="C2023" s="5">
        <v>45121</v>
      </c>
      <c r="D2023" s="8">
        <v>45121</v>
      </c>
      <c r="E2023" s="8" t="str">
        <f>IF(B2023="Inactive", EDATE(D2023,K2023), "")</f>
        <v/>
      </c>
      <c r="F2023" t="s">
        <v>14</v>
      </c>
      <c r="G2023">
        <v>7.9</v>
      </c>
      <c r="H2023" t="str" cm="1">
        <f t="array" ref="H2023">_xlfn.IFS(G2023&gt;=20,"20-25", G2023&gt;=15,"15-20", G2023&gt;=10,"10-15", G2023&gt;=5,"5-10", G2023&gt;=1,"1-5", G2023&lt;1,"Less than 1")</f>
        <v>5-10</v>
      </c>
      <c r="I2023">
        <v>7</v>
      </c>
      <c r="J2023">
        <v>2</v>
      </c>
      <c r="K2023" s="6">
        <v>11</v>
      </c>
      <c r="L2023" s="2">
        <v>3.99</v>
      </c>
      <c r="M2023" s="6">
        <v>34</v>
      </c>
      <c r="N2023" t="str" cm="1">
        <f t="array" ref="N2023">_xlfn.IFS(M2023&gt;=50,"50-60 Days", M2023&gt;=40,"40-50 Days", M2023&gt;=30, "30-40 Days", M2023&gt;=20, "20-30 Days", M2023&gt;=10, "10-20 Days", M2023&gt;=0, "0-10 Days")</f>
        <v>30-40 Days</v>
      </c>
    </row>
    <row r="2024" spans="1:14">
      <c r="A2024">
        <v>2023</v>
      </c>
      <c r="B2024" t="s">
        <v>28</v>
      </c>
      <c r="C2024" s="5">
        <v>45259</v>
      </c>
      <c r="D2024" s="8">
        <v>45259</v>
      </c>
      <c r="E2024" s="8">
        <f>IF(B2024="Inactive", EDATE(D2024,K2024), "")</f>
        <v>45380</v>
      </c>
      <c r="F2024" t="s">
        <v>12</v>
      </c>
      <c r="G2024">
        <v>1.5</v>
      </c>
      <c r="H2024" t="str" cm="1">
        <f t="array" ref="H2024">_xlfn.IFS(G2024&gt;=20,"20-25", G2024&gt;=15,"15-20", G2024&gt;=10,"10-15", G2024&gt;=5,"5-10", G2024&gt;=1,"1-5", G2024&lt;1,"Less than 1")</f>
        <v>1-5</v>
      </c>
      <c r="I2024">
        <v>5</v>
      </c>
      <c r="J2024">
        <v>3</v>
      </c>
      <c r="K2024" s="6">
        <v>4</v>
      </c>
      <c r="L2024" s="2">
        <v>1.99</v>
      </c>
      <c r="M2024" s="6">
        <v>29</v>
      </c>
      <c r="N2024" t="str" cm="1">
        <f t="array" ref="N2024">_xlfn.IFS(M2024&gt;=50,"50-60 Days", M2024&gt;=40,"40-50 Days", M2024&gt;=30, "30-40 Days", M2024&gt;=20, "20-30 Days", M2024&gt;=10, "10-20 Days", M2024&gt;=0, "0-10 Days")</f>
        <v>20-30 Days</v>
      </c>
    </row>
    <row r="2025" spans="1:14">
      <c r="A2025">
        <v>2024</v>
      </c>
      <c r="B2025" t="s">
        <v>28</v>
      </c>
      <c r="C2025" s="5">
        <v>45321</v>
      </c>
      <c r="D2025" s="8">
        <v>45321</v>
      </c>
      <c r="E2025" s="8">
        <f>IF(B2025="Inactive", EDATE(D2025,K2025), "")</f>
        <v>45626</v>
      </c>
      <c r="F2025" t="s">
        <v>14</v>
      </c>
      <c r="G2025">
        <v>21.8</v>
      </c>
      <c r="H2025" t="str" cm="1">
        <f t="array" ref="H2025">_xlfn.IFS(G2025&gt;=20,"20-25", G2025&gt;=15,"15-20", G2025&gt;=10,"10-15", G2025&gt;=5,"5-10", G2025&gt;=1,"1-5", G2025&lt;1,"Less than 1")</f>
        <v>20-25</v>
      </c>
      <c r="I2025">
        <v>7</v>
      </c>
      <c r="J2025">
        <v>3</v>
      </c>
      <c r="K2025" s="6">
        <v>10</v>
      </c>
      <c r="L2025" s="2">
        <v>3.99</v>
      </c>
      <c r="M2025" s="6">
        <v>9</v>
      </c>
      <c r="N2025" t="str" cm="1">
        <f t="array" ref="N2025">_xlfn.IFS(M2025&gt;=50,"50-60 Days", M2025&gt;=40,"40-50 Days", M2025&gt;=30, "30-40 Days", M2025&gt;=20, "20-30 Days", M2025&gt;=10, "10-20 Days", M2025&gt;=0, "0-10 Days")</f>
        <v>0-10 Days</v>
      </c>
    </row>
    <row r="2026" spans="1:14">
      <c r="A2026">
        <v>2025</v>
      </c>
      <c r="B2026" t="s">
        <v>28</v>
      </c>
      <c r="C2026" s="5">
        <v>45336</v>
      </c>
      <c r="D2026" s="8">
        <v>45336</v>
      </c>
      <c r="E2026" s="8">
        <f>IF(B2026="Inactive", EDATE(D2026,K2026), "")</f>
        <v>45365</v>
      </c>
      <c r="F2026" t="s">
        <v>14</v>
      </c>
      <c r="G2026">
        <v>21.9</v>
      </c>
      <c r="H2026" t="str" cm="1">
        <f t="array" ref="H2026">_xlfn.IFS(G2026&gt;=20,"20-25", G2026&gt;=15,"15-20", G2026&gt;=10,"10-15", G2026&gt;=5,"5-10", G2026&gt;=1,"1-5", G2026&lt;1,"Less than 1")</f>
        <v>20-25</v>
      </c>
      <c r="I2026">
        <v>5</v>
      </c>
      <c r="J2026">
        <v>3</v>
      </c>
      <c r="K2026" s="6">
        <v>1</v>
      </c>
      <c r="L2026" s="2">
        <v>3.99</v>
      </c>
      <c r="M2026" s="6">
        <v>55</v>
      </c>
      <c r="N2026" t="str" cm="1">
        <f t="array" ref="N2026">_xlfn.IFS(M2026&gt;=50,"50-60 Days", M2026&gt;=40,"40-50 Days", M2026&gt;=30, "30-40 Days", M2026&gt;=20, "20-30 Days", M2026&gt;=10, "10-20 Days", M2026&gt;=0, "0-10 Days")</f>
        <v>50-60 Days</v>
      </c>
    </row>
    <row r="2027" spans="1:14">
      <c r="A2027">
        <v>2026</v>
      </c>
      <c r="B2027" t="s">
        <v>29</v>
      </c>
      <c r="C2027" s="5">
        <v>45149</v>
      </c>
      <c r="D2027" s="8">
        <v>45149</v>
      </c>
      <c r="E2027" s="8" t="str">
        <f>IF(B2027="Inactive", EDATE(D2027,K2027), "")</f>
        <v/>
      </c>
      <c r="F2027" t="s">
        <v>14</v>
      </c>
      <c r="G2027">
        <v>11.1</v>
      </c>
      <c r="H2027" t="str" cm="1">
        <f t="array" ref="H2027">_xlfn.IFS(G2027&gt;=20,"20-25", G2027&gt;=15,"15-20", G2027&gt;=10,"10-15", G2027&gt;=5,"5-10", G2027&gt;=1,"1-5", G2027&lt;1,"Less than 1")</f>
        <v>10-15</v>
      </c>
      <c r="I2027">
        <v>2</v>
      </c>
      <c r="J2027">
        <v>1</v>
      </c>
      <c r="K2027" s="6">
        <v>1</v>
      </c>
      <c r="L2027" s="2">
        <v>3.99</v>
      </c>
      <c r="M2027" s="6">
        <v>37</v>
      </c>
      <c r="N2027" t="str" cm="1">
        <f t="array" ref="N2027">_xlfn.IFS(M2027&gt;=50,"50-60 Days", M2027&gt;=40,"40-50 Days", M2027&gt;=30, "30-40 Days", M2027&gt;=20, "20-30 Days", M2027&gt;=10, "10-20 Days", M2027&gt;=0, "0-10 Days")</f>
        <v>30-40 Days</v>
      </c>
    </row>
    <row r="2028" spans="1:14">
      <c r="A2028">
        <v>2027</v>
      </c>
      <c r="B2028" t="s">
        <v>28</v>
      </c>
      <c r="C2028" s="5">
        <v>45436</v>
      </c>
      <c r="D2028" s="8">
        <v>45436</v>
      </c>
      <c r="E2028" s="8">
        <f>IF(B2028="Inactive", EDATE(D2028,K2028), "")</f>
        <v>45467</v>
      </c>
      <c r="F2028" t="s">
        <v>12</v>
      </c>
      <c r="G2028">
        <v>10.1</v>
      </c>
      <c r="H2028" t="str" cm="1">
        <f t="array" ref="H2028">_xlfn.IFS(G2028&gt;=20,"20-25", G2028&gt;=15,"15-20", G2028&gt;=10,"10-15", G2028&gt;=5,"5-10", G2028&gt;=1,"1-5", G2028&lt;1,"Less than 1")</f>
        <v>10-15</v>
      </c>
      <c r="I2028">
        <v>2</v>
      </c>
      <c r="J2028">
        <v>2</v>
      </c>
      <c r="K2028" s="6">
        <v>1</v>
      </c>
      <c r="L2028" s="2">
        <v>1.99</v>
      </c>
      <c r="M2028" s="6">
        <v>21</v>
      </c>
      <c r="N2028" t="str" cm="1">
        <f t="array" ref="N2028">_xlfn.IFS(M2028&gt;=50,"50-60 Days", M2028&gt;=40,"40-50 Days", M2028&gt;=30, "30-40 Days", M2028&gt;=20, "20-30 Days", M2028&gt;=10, "10-20 Days", M2028&gt;=0, "0-10 Days")</f>
        <v>20-30 Days</v>
      </c>
    </row>
    <row r="2029" spans="1:14">
      <c r="A2029">
        <v>2028</v>
      </c>
      <c r="B2029" t="s">
        <v>28</v>
      </c>
      <c r="C2029" s="5">
        <v>45548</v>
      </c>
      <c r="D2029" s="8">
        <v>45548</v>
      </c>
      <c r="E2029" s="8">
        <f>IF(B2029="Inactive", EDATE(D2029,K2029), "")</f>
        <v>45670</v>
      </c>
      <c r="F2029" t="s">
        <v>14</v>
      </c>
      <c r="G2029">
        <v>7.9</v>
      </c>
      <c r="H2029" t="str" cm="1">
        <f t="array" ref="H2029">_xlfn.IFS(G2029&gt;=20,"20-25", G2029&gt;=15,"15-20", G2029&gt;=10,"10-15", G2029&gt;=5,"5-10", G2029&gt;=1,"1-5", G2029&lt;1,"Less than 1")</f>
        <v>5-10</v>
      </c>
      <c r="I2029">
        <v>8</v>
      </c>
      <c r="J2029">
        <v>2</v>
      </c>
      <c r="K2029" s="6">
        <v>4</v>
      </c>
      <c r="L2029" s="2">
        <v>3.99</v>
      </c>
      <c r="M2029" s="6">
        <v>14</v>
      </c>
      <c r="N2029" t="str" cm="1">
        <f t="array" ref="N2029">_xlfn.IFS(M2029&gt;=50,"50-60 Days", M2029&gt;=40,"40-50 Days", M2029&gt;=30, "30-40 Days", M2029&gt;=20, "20-30 Days", M2029&gt;=10, "10-20 Days", M2029&gt;=0, "0-10 Days")</f>
        <v>10-20 Days</v>
      </c>
    </row>
    <row r="2030" spans="1:14">
      <c r="A2030">
        <v>2029</v>
      </c>
      <c r="B2030" t="s">
        <v>28</v>
      </c>
      <c r="C2030" s="5">
        <v>45035</v>
      </c>
      <c r="D2030" s="8">
        <v>45035</v>
      </c>
      <c r="E2030" s="8">
        <f>IF(B2030="Inactive", EDATE(D2030,K2030), "")</f>
        <v>45370</v>
      </c>
      <c r="F2030" t="s">
        <v>10</v>
      </c>
      <c r="G2030">
        <v>11.1</v>
      </c>
      <c r="H2030" t="str" cm="1">
        <f t="array" ref="H2030">_xlfn.IFS(G2030&gt;=20,"20-25", G2030&gt;=15,"15-20", G2030&gt;=10,"10-15", G2030&gt;=5,"5-10", G2030&gt;=1,"1-5", G2030&lt;1,"Less than 1")</f>
        <v>10-15</v>
      </c>
      <c r="I2030">
        <v>2</v>
      </c>
      <c r="J2030">
        <v>3</v>
      </c>
      <c r="K2030" s="6">
        <v>11</v>
      </c>
      <c r="L2030" s="2">
        <v>6.99</v>
      </c>
      <c r="M2030" s="6">
        <v>42</v>
      </c>
      <c r="N2030" t="str" cm="1">
        <f t="array" ref="N2030">_xlfn.IFS(M2030&gt;=50,"50-60 Days", M2030&gt;=40,"40-50 Days", M2030&gt;=30, "30-40 Days", M2030&gt;=20, "20-30 Days", M2030&gt;=10, "10-20 Days", M2030&gt;=0, "0-10 Days")</f>
        <v>40-50 Days</v>
      </c>
    </row>
    <row r="2031" spans="1:14">
      <c r="A2031">
        <v>2030</v>
      </c>
      <c r="B2031" t="s">
        <v>29</v>
      </c>
      <c r="C2031" s="5">
        <v>45433</v>
      </c>
      <c r="D2031" s="8">
        <v>45433</v>
      </c>
      <c r="E2031" s="8" t="str">
        <f>IF(B2031="Inactive", EDATE(D2031,K2031), "")</f>
        <v/>
      </c>
      <c r="F2031" t="s">
        <v>12</v>
      </c>
      <c r="G2031">
        <v>17.8</v>
      </c>
      <c r="H2031" t="str" cm="1">
        <f t="array" ref="H2031">_xlfn.IFS(G2031&gt;=20,"20-25", G2031&gt;=15,"15-20", G2031&gt;=10,"10-15", G2031&gt;=5,"5-10", G2031&gt;=1,"1-5", G2031&lt;1,"Less than 1")</f>
        <v>15-20</v>
      </c>
      <c r="I2031">
        <v>4</v>
      </c>
      <c r="J2031">
        <v>1</v>
      </c>
      <c r="K2031" s="6">
        <v>7</v>
      </c>
      <c r="L2031" s="2">
        <v>1.99</v>
      </c>
      <c r="M2031" s="6">
        <v>15</v>
      </c>
      <c r="N2031" t="str" cm="1">
        <f t="array" ref="N2031">_xlfn.IFS(M2031&gt;=50,"50-60 Days", M2031&gt;=40,"40-50 Days", M2031&gt;=30, "30-40 Days", M2031&gt;=20, "20-30 Days", M2031&gt;=10, "10-20 Days", M2031&gt;=0, "0-10 Days")</f>
        <v>10-20 Days</v>
      </c>
    </row>
    <row r="2032" spans="1:14">
      <c r="A2032">
        <v>2031</v>
      </c>
      <c r="B2032" t="s">
        <v>28</v>
      </c>
      <c r="C2032" s="5">
        <v>45245</v>
      </c>
      <c r="D2032" s="8">
        <v>45245</v>
      </c>
      <c r="E2032" s="8">
        <f>IF(B2032="Inactive", EDATE(D2032,K2032), "")</f>
        <v>45519</v>
      </c>
      <c r="F2032" t="s">
        <v>12</v>
      </c>
      <c r="G2032">
        <v>12.5</v>
      </c>
      <c r="H2032" t="str" cm="1">
        <f t="array" ref="H2032">_xlfn.IFS(G2032&gt;=20,"20-25", G2032&gt;=15,"15-20", G2032&gt;=10,"10-15", G2032&gt;=5,"5-10", G2032&gt;=1,"1-5", G2032&lt;1,"Less than 1")</f>
        <v>10-15</v>
      </c>
      <c r="I2032">
        <v>4</v>
      </c>
      <c r="J2032">
        <v>5</v>
      </c>
      <c r="K2032" s="6">
        <v>9</v>
      </c>
      <c r="L2032" s="2">
        <v>1.99</v>
      </c>
      <c r="M2032" s="6">
        <v>10</v>
      </c>
      <c r="N2032" t="str" cm="1">
        <f t="array" ref="N2032">_xlfn.IFS(M2032&gt;=50,"50-60 Days", M2032&gt;=40,"40-50 Days", M2032&gt;=30, "30-40 Days", M2032&gt;=20, "20-30 Days", M2032&gt;=10, "10-20 Days", M2032&gt;=0, "0-10 Days")</f>
        <v>10-20 Days</v>
      </c>
    </row>
    <row r="2033" spans="1:14">
      <c r="A2033">
        <v>2032</v>
      </c>
      <c r="B2033" t="s">
        <v>28</v>
      </c>
      <c r="C2033" s="5">
        <v>45309</v>
      </c>
      <c r="D2033" s="8">
        <v>45309</v>
      </c>
      <c r="E2033" s="8">
        <f>IF(B2033="Inactive", EDATE(D2033,K2033), "")</f>
        <v>45614</v>
      </c>
      <c r="F2033" t="s">
        <v>10</v>
      </c>
      <c r="G2033">
        <v>15.5</v>
      </c>
      <c r="H2033" t="str" cm="1">
        <f t="array" ref="H2033">_xlfn.IFS(G2033&gt;=20,"20-25", G2033&gt;=15,"15-20", G2033&gt;=10,"10-15", G2033&gt;=5,"5-10", G2033&gt;=1,"1-5", G2033&lt;1,"Less than 1")</f>
        <v>15-20</v>
      </c>
      <c r="I2033">
        <v>2</v>
      </c>
      <c r="J2033">
        <v>4</v>
      </c>
      <c r="K2033" s="6">
        <v>10</v>
      </c>
      <c r="L2033" s="2">
        <v>6.99</v>
      </c>
      <c r="M2033" s="6">
        <v>18</v>
      </c>
      <c r="N2033" t="str" cm="1">
        <f t="array" ref="N2033">_xlfn.IFS(M2033&gt;=50,"50-60 Days", M2033&gt;=40,"40-50 Days", M2033&gt;=30, "30-40 Days", M2033&gt;=20, "20-30 Days", M2033&gt;=10, "10-20 Days", M2033&gt;=0, "0-10 Days")</f>
        <v>10-20 Days</v>
      </c>
    </row>
    <row r="2034" spans="1:14">
      <c r="A2034">
        <v>2033</v>
      </c>
      <c r="B2034" t="s">
        <v>29</v>
      </c>
      <c r="C2034" s="5">
        <v>45354</v>
      </c>
      <c r="D2034" s="8">
        <v>45354</v>
      </c>
      <c r="E2034" s="8" t="str">
        <f>IF(B2034="Inactive", EDATE(D2034,K2034), "")</f>
        <v/>
      </c>
      <c r="F2034" t="s">
        <v>10</v>
      </c>
      <c r="G2034">
        <v>9.6</v>
      </c>
      <c r="H2034" t="str" cm="1">
        <f t="array" ref="H2034">_xlfn.IFS(G2034&gt;=20,"20-25", G2034&gt;=15,"15-20", G2034&gt;=10,"10-15", G2034&gt;=5,"5-10", G2034&gt;=1,"1-5", G2034&lt;1,"Less than 1")</f>
        <v>5-10</v>
      </c>
      <c r="I2034">
        <v>7</v>
      </c>
      <c r="J2034">
        <v>0</v>
      </c>
      <c r="K2034" s="6">
        <v>3</v>
      </c>
      <c r="L2034" s="2">
        <v>6.99</v>
      </c>
      <c r="M2034" s="6">
        <v>1</v>
      </c>
      <c r="N2034" t="str" cm="1">
        <f t="array" ref="N2034">_xlfn.IFS(M2034&gt;=50,"50-60 Days", M2034&gt;=40,"40-50 Days", M2034&gt;=30, "30-40 Days", M2034&gt;=20, "20-30 Days", M2034&gt;=10, "10-20 Days", M2034&gt;=0, "0-10 Days")</f>
        <v>0-10 Days</v>
      </c>
    </row>
    <row r="2035" spans="1:14">
      <c r="A2035">
        <v>2034</v>
      </c>
      <c r="B2035" t="s">
        <v>29</v>
      </c>
      <c r="C2035" s="5">
        <v>45414</v>
      </c>
      <c r="D2035" s="8">
        <v>45414</v>
      </c>
      <c r="E2035" s="8" t="str">
        <f>IF(B2035="Inactive", EDATE(D2035,K2035), "")</f>
        <v/>
      </c>
      <c r="F2035" t="s">
        <v>12</v>
      </c>
      <c r="G2035">
        <v>23.6</v>
      </c>
      <c r="H2035" t="str" cm="1">
        <f t="array" ref="H2035">_xlfn.IFS(G2035&gt;=20,"20-25", G2035&gt;=15,"15-20", G2035&gt;=10,"10-15", G2035&gt;=5,"5-10", G2035&gt;=1,"1-5", G2035&lt;1,"Less than 1")</f>
        <v>20-25</v>
      </c>
      <c r="I2035">
        <v>3</v>
      </c>
      <c r="J2035">
        <v>2</v>
      </c>
      <c r="K2035" s="6">
        <v>5</v>
      </c>
      <c r="L2035" s="2">
        <v>1.99</v>
      </c>
      <c r="M2035" s="6">
        <v>40</v>
      </c>
      <c r="N2035" t="str" cm="1">
        <f t="array" ref="N2035">_xlfn.IFS(M2035&gt;=50,"50-60 Days", M2035&gt;=40,"40-50 Days", M2035&gt;=30, "30-40 Days", M2035&gt;=20, "20-30 Days", M2035&gt;=10, "10-20 Days", M2035&gt;=0, "0-10 Days")</f>
        <v>40-50 Days</v>
      </c>
    </row>
    <row r="2036" spans="1:14">
      <c r="A2036">
        <v>2035</v>
      </c>
      <c r="B2036" t="s">
        <v>29</v>
      </c>
      <c r="C2036" s="5">
        <v>45256</v>
      </c>
      <c r="D2036" s="8">
        <v>45256</v>
      </c>
      <c r="E2036" s="8" t="str">
        <f>IF(B2036="Inactive", EDATE(D2036,K2036), "")</f>
        <v/>
      </c>
      <c r="F2036" t="s">
        <v>14</v>
      </c>
      <c r="G2036">
        <v>8.8000000000000007</v>
      </c>
      <c r="H2036" t="str" cm="1">
        <f t="array" ref="H2036">_xlfn.IFS(G2036&gt;=20,"20-25", G2036&gt;=15,"15-20", G2036&gt;=10,"10-15", G2036&gt;=5,"5-10", G2036&gt;=1,"1-5", G2036&lt;1,"Less than 1")</f>
        <v>5-10</v>
      </c>
      <c r="I2036">
        <v>5</v>
      </c>
      <c r="J2036">
        <v>5</v>
      </c>
      <c r="K2036" s="6">
        <v>12</v>
      </c>
      <c r="L2036" s="2">
        <v>3.99</v>
      </c>
      <c r="M2036" s="6">
        <v>12</v>
      </c>
      <c r="N2036" t="str" cm="1">
        <f t="array" ref="N2036">_xlfn.IFS(M2036&gt;=50,"50-60 Days", M2036&gt;=40,"40-50 Days", M2036&gt;=30, "30-40 Days", M2036&gt;=20, "20-30 Days", M2036&gt;=10, "10-20 Days", M2036&gt;=0, "0-10 Days")</f>
        <v>10-20 Days</v>
      </c>
    </row>
    <row r="2037" spans="1:14">
      <c r="A2037">
        <v>2036</v>
      </c>
      <c r="B2037" t="s">
        <v>29</v>
      </c>
      <c r="C2037" s="5">
        <v>44946</v>
      </c>
      <c r="D2037" s="8">
        <v>44946</v>
      </c>
      <c r="E2037" s="8" t="str">
        <f>IF(B2037="Inactive", EDATE(D2037,K2037), "")</f>
        <v/>
      </c>
      <c r="F2037" t="s">
        <v>10</v>
      </c>
      <c r="G2037">
        <v>17.8</v>
      </c>
      <c r="H2037" t="str" cm="1">
        <f t="array" ref="H2037">_xlfn.IFS(G2037&gt;=20,"20-25", G2037&gt;=15,"15-20", G2037&gt;=10,"10-15", G2037&gt;=5,"5-10", G2037&gt;=1,"1-5", G2037&lt;1,"Less than 1")</f>
        <v>15-20</v>
      </c>
      <c r="I2037">
        <v>3</v>
      </c>
      <c r="J2037">
        <v>1</v>
      </c>
      <c r="K2037" s="6">
        <v>5</v>
      </c>
      <c r="L2037" s="2">
        <v>6.99</v>
      </c>
      <c r="M2037" s="6">
        <v>31</v>
      </c>
      <c r="N2037" t="str" cm="1">
        <f t="array" ref="N2037">_xlfn.IFS(M2037&gt;=50,"50-60 Days", M2037&gt;=40,"40-50 Days", M2037&gt;=30, "30-40 Days", M2037&gt;=20, "20-30 Days", M2037&gt;=10, "10-20 Days", M2037&gt;=0, "0-10 Days")</f>
        <v>30-40 Days</v>
      </c>
    </row>
    <row r="2038" spans="1:14">
      <c r="A2038">
        <v>2037</v>
      </c>
      <c r="B2038" t="s">
        <v>28</v>
      </c>
      <c r="C2038" s="5">
        <v>45468</v>
      </c>
      <c r="D2038" s="8">
        <v>45468</v>
      </c>
      <c r="E2038" s="8">
        <f>IF(B2038="Inactive", EDATE(D2038,K2038), "")</f>
        <v>45802</v>
      </c>
      <c r="F2038" t="s">
        <v>14</v>
      </c>
      <c r="G2038">
        <v>22.1</v>
      </c>
      <c r="H2038" t="str" cm="1">
        <f t="array" ref="H2038">_xlfn.IFS(G2038&gt;=20,"20-25", G2038&gt;=15,"15-20", G2038&gt;=10,"10-15", G2038&gt;=5,"5-10", G2038&gt;=1,"1-5", G2038&lt;1,"Less than 1")</f>
        <v>20-25</v>
      </c>
      <c r="I2038">
        <v>6</v>
      </c>
      <c r="J2038">
        <v>1</v>
      </c>
      <c r="K2038" s="6">
        <v>11</v>
      </c>
      <c r="L2038" s="2">
        <v>3.99</v>
      </c>
      <c r="M2038" s="6">
        <v>39</v>
      </c>
      <c r="N2038" t="str" cm="1">
        <f t="array" ref="N2038">_xlfn.IFS(M2038&gt;=50,"50-60 Days", M2038&gt;=40,"40-50 Days", M2038&gt;=30, "30-40 Days", M2038&gt;=20, "20-30 Days", M2038&gt;=10, "10-20 Days", M2038&gt;=0, "0-10 Days")</f>
        <v>30-40 Days</v>
      </c>
    </row>
    <row r="2039" spans="1:14">
      <c r="A2039">
        <v>2038</v>
      </c>
      <c r="B2039" t="s">
        <v>28</v>
      </c>
      <c r="C2039" s="5">
        <v>45124</v>
      </c>
      <c r="D2039" s="8">
        <v>45124</v>
      </c>
      <c r="E2039" s="8">
        <f>IF(B2039="Inactive", EDATE(D2039,K2039), "")</f>
        <v>45429</v>
      </c>
      <c r="F2039" t="s">
        <v>14</v>
      </c>
      <c r="G2039">
        <v>15.3</v>
      </c>
      <c r="H2039" t="str" cm="1">
        <f t="array" ref="H2039">_xlfn.IFS(G2039&gt;=20,"20-25", G2039&gt;=15,"15-20", G2039&gt;=10,"10-15", G2039&gt;=5,"5-10", G2039&gt;=1,"1-5", G2039&lt;1,"Less than 1")</f>
        <v>15-20</v>
      </c>
      <c r="I2039">
        <v>4</v>
      </c>
      <c r="J2039">
        <v>0</v>
      </c>
      <c r="K2039" s="6">
        <v>10</v>
      </c>
      <c r="L2039" s="2">
        <v>3.99</v>
      </c>
      <c r="M2039" s="6">
        <v>28</v>
      </c>
      <c r="N2039" t="str" cm="1">
        <f t="array" ref="N2039">_xlfn.IFS(M2039&gt;=50,"50-60 Days", M2039&gt;=40,"40-50 Days", M2039&gt;=30, "30-40 Days", M2039&gt;=20, "20-30 Days", M2039&gt;=10, "10-20 Days", M2039&gt;=0, "0-10 Days")</f>
        <v>20-30 Days</v>
      </c>
    </row>
    <row r="2040" spans="1:14">
      <c r="A2040">
        <v>2039</v>
      </c>
      <c r="B2040" t="s">
        <v>28</v>
      </c>
      <c r="C2040" s="5">
        <v>44930</v>
      </c>
      <c r="D2040" s="8">
        <v>44930</v>
      </c>
      <c r="E2040" s="8">
        <f>IF(B2040="Inactive", EDATE(D2040,K2040), "")</f>
        <v>45050</v>
      </c>
      <c r="F2040" t="s">
        <v>14</v>
      </c>
      <c r="G2040">
        <v>9.4</v>
      </c>
      <c r="H2040" t="str" cm="1">
        <f t="array" ref="H2040">_xlfn.IFS(G2040&gt;=20,"20-25", G2040&gt;=15,"15-20", G2040&gt;=10,"10-15", G2040&gt;=5,"5-10", G2040&gt;=1,"1-5", G2040&lt;1,"Less than 1")</f>
        <v>5-10</v>
      </c>
      <c r="I2040">
        <v>0</v>
      </c>
      <c r="J2040">
        <v>3</v>
      </c>
      <c r="K2040" s="6">
        <v>4</v>
      </c>
      <c r="L2040" s="2">
        <v>3.99</v>
      </c>
      <c r="M2040" s="6">
        <v>15</v>
      </c>
      <c r="N2040" t="str" cm="1">
        <f t="array" ref="N2040">_xlfn.IFS(M2040&gt;=50,"50-60 Days", M2040&gt;=40,"40-50 Days", M2040&gt;=30, "30-40 Days", M2040&gt;=20, "20-30 Days", M2040&gt;=10, "10-20 Days", M2040&gt;=0, "0-10 Days")</f>
        <v>10-20 Days</v>
      </c>
    </row>
    <row r="2041" spans="1:14">
      <c r="A2041">
        <v>2040</v>
      </c>
      <c r="B2041" t="s">
        <v>29</v>
      </c>
      <c r="C2041" s="5">
        <v>45254</v>
      </c>
      <c r="D2041" s="8">
        <v>45254</v>
      </c>
      <c r="E2041" s="8" t="str">
        <f>IF(B2041="Inactive", EDATE(D2041,K2041), "")</f>
        <v/>
      </c>
      <c r="F2041" t="s">
        <v>14</v>
      </c>
      <c r="G2041">
        <v>20.7</v>
      </c>
      <c r="H2041" t="str" cm="1">
        <f t="array" ref="H2041">_xlfn.IFS(G2041&gt;=20,"20-25", G2041&gt;=15,"15-20", G2041&gt;=10,"10-15", G2041&gt;=5,"5-10", G2041&gt;=1,"1-5", G2041&lt;1,"Less than 1")</f>
        <v>20-25</v>
      </c>
      <c r="I2041">
        <v>7</v>
      </c>
      <c r="J2041">
        <v>4</v>
      </c>
      <c r="K2041" s="6">
        <v>8</v>
      </c>
      <c r="L2041" s="2">
        <v>3.99</v>
      </c>
      <c r="M2041" s="6">
        <v>9</v>
      </c>
      <c r="N2041" t="str" cm="1">
        <f t="array" ref="N2041">_xlfn.IFS(M2041&gt;=50,"50-60 Days", M2041&gt;=40,"40-50 Days", M2041&gt;=30, "30-40 Days", M2041&gt;=20, "20-30 Days", M2041&gt;=10, "10-20 Days", M2041&gt;=0, "0-10 Days")</f>
        <v>0-10 Days</v>
      </c>
    </row>
    <row r="2042" spans="1:14">
      <c r="A2042">
        <v>2041</v>
      </c>
      <c r="B2042" t="s">
        <v>29</v>
      </c>
      <c r="C2042" s="5">
        <v>45119</v>
      </c>
      <c r="D2042" s="8">
        <v>45119</v>
      </c>
      <c r="E2042" s="8" t="str">
        <f>IF(B2042="Inactive", EDATE(D2042,K2042), "")</f>
        <v/>
      </c>
      <c r="F2042" t="s">
        <v>14</v>
      </c>
      <c r="G2042">
        <v>15.3</v>
      </c>
      <c r="H2042" t="str" cm="1">
        <f t="array" ref="H2042">_xlfn.IFS(G2042&gt;=20,"20-25", G2042&gt;=15,"15-20", G2042&gt;=10,"10-15", G2042&gt;=5,"5-10", G2042&gt;=1,"1-5", G2042&lt;1,"Less than 1")</f>
        <v>15-20</v>
      </c>
      <c r="I2042">
        <v>8</v>
      </c>
      <c r="J2042">
        <v>1</v>
      </c>
      <c r="K2042" s="6">
        <v>7</v>
      </c>
      <c r="L2042" s="2">
        <v>3.99</v>
      </c>
      <c r="M2042" s="6">
        <v>52</v>
      </c>
      <c r="N2042" t="str" cm="1">
        <f t="array" ref="N2042">_xlfn.IFS(M2042&gt;=50,"50-60 Days", M2042&gt;=40,"40-50 Days", M2042&gt;=30, "30-40 Days", M2042&gt;=20, "20-30 Days", M2042&gt;=10, "10-20 Days", M2042&gt;=0, "0-10 Days")</f>
        <v>50-60 Days</v>
      </c>
    </row>
    <row r="2043" spans="1:14">
      <c r="A2043">
        <v>2042</v>
      </c>
      <c r="B2043" t="s">
        <v>28</v>
      </c>
      <c r="C2043" s="5">
        <v>45443</v>
      </c>
      <c r="D2043" s="8">
        <v>45443</v>
      </c>
      <c r="E2043" s="8">
        <f>IF(B2043="Inactive", EDATE(D2043,K2043), "")</f>
        <v>45535</v>
      </c>
      <c r="F2043" t="s">
        <v>10</v>
      </c>
      <c r="G2043">
        <v>7.7</v>
      </c>
      <c r="H2043" t="str" cm="1">
        <f t="array" ref="H2043">_xlfn.IFS(G2043&gt;=20,"20-25", G2043&gt;=15,"15-20", G2043&gt;=10,"10-15", G2043&gt;=5,"5-10", G2043&gt;=1,"1-5", G2043&lt;1,"Less than 1")</f>
        <v>5-10</v>
      </c>
      <c r="I2043">
        <v>0</v>
      </c>
      <c r="J2043">
        <v>5</v>
      </c>
      <c r="K2043" s="6">
        <v>3</v>
      </c>
      <c r="L2043" s="2">
        <v>6.99</v>
      </c>
      <c r="M2043" s="6">
        <v>56</v>
      </c>
      <c r="N2043" t="str" cm="1">
        <f t="array" ref="N2043">_xlfn.IFS(M2043&gt;=50,"50-60 Days", M2043&gt;=40,"40-50 Days", M2043&gt;=30, "30-40 Days", M2043&gt;=20, "20-30 Days", M2043&gt;=10, "10-20 Days", M2043&gt;=0, "0-10 Days")</f>
        <v>50-60 Days</v>
      </c>
    </row>
    <row r="2044" spans="1:14">
      <c r="A2044">
        <v>2043</v>
      </c>
      <c r="B2044" t="s">
        <v>29</v>
      </c>
      <c r="C2044" s="5">
        <v>45232</v>
      </c>
      <c r="D2044" s="8">
        <v>45232</v>
      </c>
      <c r="E2044" s="8" t="str">
        <f>IF(B2044="Inactive", EDATE(D2044,K2044), "")</f>
        <v/>
      </c>
      <c r="F2044" t="s">
        <v>14</v>
      </c>
      <c r="G2044">
        <v>19.899999999999999</v>
      </c>
      <c r="H2044" t="str" cm="1">
        <f t="array" ref="H2044">_xlfn.IFS(G2044&gt;=20,"20-25", G2044&gt;=15,"15-20", G2044&gt;=10,"10-15", G2044&gt;=5,"5-10", G2044&gt;=1,"1-5", G2044&lt;1,"Less than 1")</f>
        <v>15-20</v>
      </c>
      <c r="I2044">
        <v>6</v>
      </c>
      <c r="J2044">
        <v>5</v>
      </c>
      <c r="K2044" s="6">
        <v>6</v>
      </c>
      <c r="L2044" s="2">
        <v>3.99</v>
      </c>
      <c r="M2044" s="6">
        <v>52</v>
      </c>
      <c r="N2044" t="str" cm="1">
        <f t="array" ref="N2044">_xlfn.IFS(M2044&gt;=50,"50-60 Days", M2044&gt;=40,"40-50 Days", M2044&gt;=30, "30-40 Days", M2044&gt;=20, "20-30 Days", M2044&gt;=10, "10-20 Days", M2044&gt;=0, "0-10 Days")</f>
        <v>50-60 Days</v>
      </c>
    </row>
    <row r="2045" spans="1:14">
      <c r="A2045">
        <v>2044</v>
      </c>
      <c r="B2045" t="s">
        <v>29</v>
      </c>
      <c r="C2045" s="5">
        <v>45358</v>
      </c>
      <c r="D2045" s="8">
        <v>45358</v>
      </c>
      <c r="E2045" s="8" t="str">
        <f>IF(B2045="Inactive", EDATE(D2045,K2045), "")</f>
        <v/>
      </c>
      <c r="F2045" t="s">
        <v>14</v>
      </c>
      <c r="G2045">
        <v>4</v>
      </c>
      <c r="H2045" t="str" cm="1">
        <f t="array" ref="H2045">_xlfn.IFS(G2045&gt;=20,"20-25", G2045&gt;=15,"15-20", G2045&gt;=10,"10-15", G2045&gt;=5,"5-10", G2045&gt;=1,"1-5", G2045&lt;1,"Less than 1")</f>
        <v>1-5</v>
      </c>
      <c r="I2045">
        <v>0</v>
      </c>
      <c r="J2045">
        <v>0</v>
      </c>
      <c r="K2045" s="6">
        <v>5</v>
      </c>
      <c r="L2045" s="2">
        <v>3.99</v>
      </c>
      <c r="M2045" s="6">
        <v>41</v>
      </c>
      <c r="N2045" t="str" cm="1">
        <f t="array" ref="N2045">_xlfn.IFS(M2045&gt;=50,"50-60 Days", M2045&gt;=40,"40-50 Days", M2045&gt;=30, "30-40 Days", M2045&gt;=20, "20-30 Days", M2045&gt;=10, "10-20 Days", M2045&gt;=0, "0-10 Days")</f>
        <v>40-50 Days</v>
      </c>
    </row>
    <row r="2046" spans="1:14">
      <c r="A2046">
        <v>2045</v>
      </c>
      <c r="B2046" t="s">
        <v>28</v>
      </c>
      <c r="C2046" s="5">
        <v>45087</v>
      </c>
      <c r="D2046" s="8">
        <v>45087</v>
      </c>
      <c r="E2046" s="8">
        <f>IF(B2046="Inactive", EDATE(D2046,K2046), "")</f>
        <v>45332</v>
      </c>
      <c r="F2046" t="s">
        <v>12</v>
      </c>
      <c r="G2046">
        <v>11.9</v>
      </c>
      <c r="H2046" t="str" cm="1">
        <f t="array" ref="H2046">_xlfn.IFS(G2046&gt;=20,"20-25", G2046&gt;=15,"15-20", G2046&gt;=10,"10-15", G2046&gt;=5,"5-10", G2046&gt;=1,"1-5", G2046&lt;1,"Less than 1")</f>
        <v>10-15</v>
      </c>
      <c r="I2046">
        <v>2</v>
      </c>
      <c r="J2046">
        <v>3</v>
      </c>
      <c r="K2046" s="6">
        <v>8</v>
      </c>
      <c r="L2046" s="2">
        <v>1.99</v>
      </c>
      <c r="M2046" s="6">
        <v>40</v>
      </c>
      <c r="N2046" t="str" cm="1">
        <f t="array" ref="N2046">_xlfn.IFS(M2046&gt;=50,"50-60 Days", M2046&gt;=40,"40-50 Days", M2046&gt;=30, "30-40 Days", M2046&gt;=20, "20-30 Days", M2046&gt;=10, "10-20 Days", M2046&gt;=0, "0-10 Days")</f>
        <v>40-50 Days</v>
      </c>
    </row>
    <row r="2047" spans="1:14">
      <c r="A2047">
        <v>2046</v>
      </c>
      <c r="B2047" t="s">
        <v>28</v>
      </c>
      <c r="C2047" s="5">
        <v>45650</v>
      </c>
      <c r="D2047" s="8">
        <v>45650</v>
      </c>
      <c r="E2047" s="8">
        <f>IF(B2047="Inactive", EDATE(D2047,K2047), "")</f>
        <v>45954</v>
      </c>
      <c r="F2047" t="s">
        <v>10</v>
      </c>
      <c r="G2047">
        <v>19.100000000000001</v>
      </c>
      <c r="H2047" t="str" cm="1">
        <f t="array" ref="H2047">_xlfn.IFS(G2047&gt;=20,"20-25", G2047&gt;=15,"15-20", G2047&gt;=10,"10-15", G2047&gt;=5,"5-10", G2047&gt;=1,"1-5", G2047&lt;1,"Less than 1")</f>
        <v>15-20</v>
      </c>
      <c r="I2047">
        <v>1</v>
      </c>
      <c r="J2047">
        <v>2</v>
      </c>
      <c r="K2047" s="6">
        <v>10</v>
      </c>
      <c r="L2047" s="2">
        <v>6.99</v>
      </c>
      <c r="M2047" s="6">
        <v>29</v>
      </c>
      <c r="N2047" t="str" cm="1">
        <f t="array" ref="N2047">_xlfn.IFS(M2047&gt;=50,"50-60 Days", M2047&gt;=40,"40-50 Days", M2047&gt;=30, "30-40 Days", M2047&gt;=20, "20-30 Days", M2047&gt;=10, "10-20 Days", M2047&gt;=0, "0-10 Days")</f>
        <v>20-30 Days</v>
      </c>
    </row>
    <row r="2048" spans="1:14">
      <c r="A2048">
        <v>2047</v>
      </c>
      <c r="B2048" t="s">
        <v>28</v>
      </c>
      <c r="C2048" s="5">
        <v>45261</v>
      </c>
      <c r="D2048" s="8">
        <v>45261</v>
      </c>
      <c r="E2048" s="8">
        <f>IF(B2048="Inactive", EDATE(D2048,K2048), "")</f>
        <v>45566</v>
      </c>
      <c r="F2048" t="s">
        <v>10</v>
      </c>
      <c r="G2048">
        <v>7.5</v>
      </c>
      <c r="H2048" t="str" cm="1">
        <f t="array" ref="H2048">_xlfn.IFS(G2048&gt;=20,"20-25", G2048&gt;=15,"15-20", G2048&gt;=10,"10-15", G2048&gt;=5,"5-10", G2048&gt;=1,"1-5", G2048&lt;1,"Less than 1")</f>
        <v>5-10</v>
      </c>
      <c r="I2048">
        <v>2</v>
      </c>
      <c r="J2048">
        <v>2</v>
      </c>
      <c r="K2048" s="6">
        <v>10</v>
      </c>
      <c r="L2048" s="2">
        <v>6.99</v>
      </c>
      <c r="M2048" s="6">
        <v>1</v>
      </c>
      <c r="N2048" t="str" cm="1">
        <f t="array" ref="N2048">_xlfn.IFS(M2048&gt;=50,"50-60 Days", M2048&gt;=40,"40-50 Days", M2048&gt;=30, "30-40 Days", M2048&gt;=20, "20-30 Days", M2048&gt;=10, "10-20 Days", M2048&gt;=0, "0-10 Days")</f>
        <v>0-10 Days</v>
      </c>
    </row>
    <row r="2049" spans="1:14">
      <c r="A2049">
        <v>2048</v>
      </c>
      <c r="B2049" t="s">
        <v>28</v>
      </c>
      <c r="C2049" s="5">
        <v>45570</v>
      </c>
      <c r="D2049" s="8">
        <v>45570</v>
      </c>
      <c r="E2049" s="8">
        <f>IF(B2049="Inactive", EDATE(D2049,K2049), "")</f>
        <v>45905</v>
      </c>
      <c r="F2049" t="s">
        <v>10</v>
      </c>
      <c r="G2049">
        <v>9.5</v>
      </c>
      <c r="H2049" t="str" cm="1">
        <f t="array" ref="H2049">_xlfn.IFS(G2049&gt;=20,"20-25", G2049&gt;=15,"15-20", G2049&gt;=10,"10-15", G2049&gt;=5,"5-10", G2049&gt;=1,"1-5", G2049&lt;1,"Less than 1")</f>
        <v>5-10</v>
      </c>
      <c r="I2049">
        <v>5</v>
      </c>
      <c r="J2049">
        <v>5</v>
      </c>
      <c r="K2049" s="6">
        <v>11</v>
      </c>
      <c r="L2049" s="2">
        <v>6.99</v>
      </c>
      <c r="M2049" s="6">
        <v>24</v>
      </c>
      <c r="N2049" t="str" cm="1">
        <f t="array" ref="N2049">_xlfn.IFS(M2049&gt;=50,"50-60 Days", M2049&gt;=40,"40-50 Days", M2049&gt;=30, "30-40 Days", M2049&gt;=20, "20-30 Days", M2049&gt;=10, "10-20 Days", M2049&gt;=0, "0-10 Days")</f>
        <v>20-30 Days</v>
      </c>
    </row>
    <row r="2050" spans="1:14">
      <c r="A2050">
        <v>2049</v>
      </c>
      <c r="B2050" t="s">
        <v>29</v>
      </c>
      <c r="C2050" s="5">
        <v>45586</v>
      </c>
      <c r="D2050" s="8">
        <v>45586</v>
      </c>
      <c r="E2050" s="8" t="str">
        <f>IF(B2050="Inactive", EDATE(D2050,K2050), "")</f>
        <v/>
      </c>
      <c r="F2050" t="s">
        <v>14</v>
      </c>
      <c r="G2050">
        <v>10.199999999999999</v>
      </c>
      <c r="H2050" t="str" cm="1">
        <f t="array" ref="H2050">_xlfn.IFS(G2050&gt;=20,"20-25", G2050&gt;=15,"15-20", G2050&gt;=10,"10-15", G2050&gt;=5,"5-10", G2050&gt;=1,"1-5", G2050&lt;1,"Less than 1")</f>
        <v>10-15</v>
      </c>
      <c r="I2050">
        <v>5</v>
      </c>
      <c r="J2050">
        <v>4</v>
      </c>
      <c r="K2050" s="6">
        <v>7</v>
      </c>
      <c r="L2050" s="2">
        <v>3.99</v>
      </c>
      <c r="M2050" s="6">
        <v>53</v>
      </c>
      <c r="N2050" t="str" cm="1">
        <f t="array" ref="N2050">_xlfn.IFS(M2050&gt;=50,"50-60 Days", M2050&gt;=40,"40-50 Days", M2050&gt;=30, "30-40 Days", M2050&gt;=20, "20-30 Days", M2050&gt;=10, "10-20 Days", M2050&gt;=0, "0-10 Days")</f>
        <v>50-60 Days</v>
      </c>
    </row>
    <row r="2051" spans="1:14">
      <c r="A2051">
        <v>2050</v>
      </c>
      <c r="B2051" t="s">
        <v>29</v>
      </c>
      <c r="C2051" s="5">
        <v>45657</v>
      </c>
      <c r="D2051" s="8">
        <v>45657</v>
      </c>
      <c r="E2051" s="8" t="str">
        <f>IF(B2051="Inactive", EDATE(D2051,K2051), "")</f>
        <v/>
      </c>
      <c r="F2051" t="s">
        <v>14</v>
      </c>
      <c r="G2051">
        <v>14.4</v>
      </c>
      <c r="H2051" t="str" cm="1">
        <f t="array" ref="H2051">_xlfn.IFS(G2051&gt;=20,"20-25", G2051&gt;=15,"15-20", G2051&gt;=10,"10-15", G2051&gt;=5,"5-10", G2051&gt;=1,"1-5", G2051&lt;1,"Less than 1")</f>
        <v>10-15</v>
      </c>
      <c r="I2051">
        <v>0</v>
      </c>
      <c r="J2051">
        <v>4</v>
      </c>
      <c r="K2051" s="6">
        <v>7</v>
      </c>
      <c r="L2051" s="2">
        <v>3.99</v>
      </c>
      <c r="M2051" s="6">
        <v>3</v>
      </c>
      <c r="N2051" t="str" cm="1">
        <f t="array" ref="N2051">_xlfn.IFS(M2051&gt;=50,"50-60 Days", M2051&gt;=40,"40-50 Days", M2051&gt;=30, "30-40 Days", M2051&gt;=20, "20-30 Days", M2051&gt;=10, "10-20 Days", M2051&gt;=0, "0-10 Days")</f>
        <v>0-10 Days</v>
      </c>
    </row>
    <row r="2052" spans="1:14">
      <c r="A2052">
        <v>2051</v>
      </c>
      <c r="B2052" t="s">
        <v>28</v>
      </c>
      <c r="C2052" s="5">
        <v>45094</v>
      </c>
      <c r="D2052" s="8">
        <v>45094</v>
      </c>
      <c r="E2052" s="8">
        <f>IF(B2052="Inactive", EDATE(D2052,K2052), "")</f>
        <v>45429</v>
      </c>
      <c r="F2052" t="s">
        <v>12</v>
      </c>
      <c r="G2052">
        <v>2.1</v>
      </c>
      <c r="H2052" t="str" cm="1">
        <f t="array" ref="H2052">_xlfn.IFS(G2052&gt;=20,"20-25", G2052&gt;=15,"15-20", G2052&gt;=10,"10-15", G2052&gt;=5,"5-10", G2052&gt;=1,"1-5", G2052&lt;1,"Less than 1")</f>
        <v>1-5</v>
      </c>
      <c r="I2052">
        <v>1</v>
      </c>
      <c r="J2052">
        <v>1</v>
      </c>
      <c r="K2052" s="6">
        <v>11</v>
      </c>
      <c r="L2052" s="2">
        <v>1.99</v>
      </c>
      <c r="M2052" s="6">
        <v>9</v>
      </c>
      <c r="N2052" t="str" cm="1">
        <f t="array" ref="N2052">_xlfn.IFS(M2052&gt;=50,"50-60 Days", M2052&gt;=40,"40-50 Days", M2052&gt;=30, "30-40 Days", M2052&gt;=20, "20-30 Days", M2052&gt;=10, "10-20 Days", M2052&gt;=0, "0-10 Days")</f>
        <v>0-10 Days</v>
      </c>
    </row>
    <row r="2053" spans="1:14">
      <c r="A2053">
        <v>2052</v>
      </c>
      <c r="B2053" t="s">
        <v>28</v>
      </c>
      <c r="C2053" s="5">
        <v>45278</v>
      </c>
      <c r="D2053" s="8">
        <v>45278</v>
      </c>
      <c r="E2053" s="8">
        <f>IF(B2053="Inactive", EDATE(D2053,K2053), "")</f>
        <v>45461</v>
      </c>
      <c r="F2053" t="s">
        <v>10</v>
      </c>
      <c r="G2053">
        <v>2.8</v>
      </c>
      <c r="H2053" t="str" cm="1">
        <f t="array" ref="H2053">_xlfn.IFS(G2053&gt;=20,"20-25", G2053&gt;=15,"15-20", G2053&gt;=10,"10-15", G2053&gt;=5,"5-10", G2053&gt;=1,"1-5", G2053&lt;1,"Less than 1")</f>
        <v>1-5</v>
      </c>
      <c r="I2053">
        <v>5</v>
      </c>
      <c r="J2053">
        <v>2</v>
      </c>
      <c r="K2053" s="6">
        <v>6</v>
      </c>
      <c r="L2053" s="2">
        <v>6.99</v>
      </c>
      <c r="M2053" s="6">
        <v>21</v>
      </c>
      <c r="N2053" t="str" cm="1">
        <f t="array" ref="N2053">_xlfn.IFS(M2053&gt;=50,"50-60 Days", M2053&gt;=40,"40-50 Days", M2053&gt;=30, "30-40 Days", M2053&gt;=20, "20-30 Days", M2053&gt;=10, "10-20 Days", M2053&gt;=0, "0-10 Days")</f>
        <v>20-30 Days</v>
      </c>
    </row>
    <row r="2054" spans="1:14">
      <c r="A2054">
        <v>2053</v>
      </c>
      <c r="B2054" t="s">
        <v>29</v>
      </c>
      <c r="C2054" s="5">
        <v>45332</v>
      </c>
      <c r="D2054" s="8">
        <v>45332</v>
      </c>
      <c r="E2054" s="8" t="str">
        <f>IF(B2054="Inactive", EDATE(D2054,K2054), "")</f>
        <v/>
      </c>
      <c r="F2054" t="s">
        <v>12</v>
      </c>
      <c r="G2054">
        <v>10.3</v>
      </c>
      <c r="H2054" t="str" cm="1">
        <f t="array" ref="H2054">_xlfn.IFS(G2054&gt;=20,"20-25", G2054&gt;=15,"15-20", G2054&gt;=10,"10-15", G2054&gt;=5,"5-10", G2054&gt;=1,"1-5", G2054&lt;1,"Less than 1")</f>
        <v>10-15</v>
      </c>
      <c r="I2054">
        <v>0</v>
      </c>
      <c r="J2054">
        <v>4</v>
      </c>
      <c r="K2054" s="6">
        <v>11</v>
      </c>
      <c r="L2054" s="2">
        <v>1.99</v>
      </c>
      <c r="M2054" s="6">
        <v>26</v>
      </c>
      <c r="N2054" t="str" cm="1">
        <f t="array" ref="N2054">_xlfn.IFS(M2054&gt;=50,"50-60 Days", M2054&gt;=40,"40-50 Days", M2054&gt;=30, "30-40 Days", M2054&gt;=20, "20-30 Days", M2054&gt;=10, "10-20 Days", M2054&gt;=0, "0-10 Days")</f>
        <v>20-30 Days</v>
      </c>
    </row>
    <row r="2055" spans="1:14">
      <c r="A2055">
        <v>2054</v>
      </c>
      <c r="B2055" t="s">
        <v>28</v>
      </c>
      <c r="C2055" s="5">
        <v>45194</v>
      </c>
      <c r="D2055" s="8">
        <v>45194</v>
      </c>
      <c r="E2055" s="8">
        <f>IF(B2055="Inactive", EDATE(D2055,K2055), "")</f>
        <v>45316</v>
      </c>
      <c r="F2055" t="s">
        <v>10</v>
      </c>
      <c r="G2055">
        <v>13.9</v>
      </c>
      <c r="H2055" t="str" cm="1">
        <f t="array" ref="H2055">_xlfn.IFS(G2055&gt;=20,"20-25", G2055&gt;=15,"15-20", G2055&gt;=10,"10-15", G2055&gt;=5,"5-10", G2055&gt;=1,"1-5", G2055&lt;1,"Less than 1")</f>
        <v>10-15</v>
      </c>
      <c r="I2055">
        <v>1</v>
      </c>
      <c r="J2055">
        <v>1</v>
      </c>
      <c r="K2055" s="6">
        <v>4</v>
      </c>
      <c r="L2055" s="2">
        <v>6.99</v>
      </c>
      <c r="M2055" s="6">
        <v>28</v>
      </c>
      <c r="N2055" t="str" cm="1">
        <f t="array" ref="N2055">_xlfn.IFS(M2055&gt;=50,"50-60 Days", M2055&gt;=40,"40-50 Days", M2055&gt;=30, "30-40 Days", M2055&gt;=20, "20-30 Days", M2055&gt;=10, "10-20 Days", M2055&gt;=0, "0-10 Days")</f>
        <v>20-30 Days</v>
      </c>
    </row>
    <row r="2056" spans="1:14">
      <c r="A2056">
        <v>2055</v>
      </c>
      <c r="B2056" t="s">
        <v>29</v>
      </c>
      <c r="C2056" s="5">
        <v>45641</v>
      </c>
      <c r="D2056" s="8">
        <v>45641</v>
      </c>
      <c r="E2056" s="8" t="str">
        <f>IF(B2056="Inactive", EDATE(D2056,K2056), "")</f>
        <v/>
      </c>
      <c r="F2056" t="s">
        <v>12</v>
      </c>
      <c r="G2056">
        <v>1.9</v>
      </c>
      <c r="H2056" t="str" cm="1">
        <f t="array" ref="H2056">_xlfn.IFS(G2056&gt;=20,"20-25", G2056&gt;=15,"15-20", G2056&gt;=10,"10-15", G2056&gt;=5,"5-10", G2056&gt;=1,"1-5", G2056&lt;1,"Less than 1")</f>
        <v>1-5</v>
      </c>
      <c r="I2056">
        <v>8</v>
      </c>
      <c r="J2056">
        <v>0</v>
      </c>
      <c r="K2056" s="6">
        <v>6</v>
      </c>
      <c r="L2056" s="2">
        <v>1.99</v>
      </c>
      <c r="M2056" s="6">
        <v>3</v>
      </c>
      <c r="N2056" t="str" cm="1">
        <f t="array" ref="N2056">_xlfn.IFS(M2056&gt;=50,"50-60 Days", M2056&gt;=40,"40-50 Days", M2056&gt;=30, "30-40 Days", M2056&gt;=20, "20-30 Days", M2056&gt;=10, "10-20 Days", M2056&gt;=0, "0-10 Days")</f>
        <v>0-10 Days</v>
      </c>
    </row>
    <row r="2057" spans="1:14">
      <c r="A2057">
        <v>2056</v>
      </c>
      <c r="B2057" t="s">
        <v>28</v>
      </c>
      <c r="C2057" s="5">
        <v>45067</v>
      </c>
      <c r="D2057" s="8">
        <v>45067</v>
      </c>
      <c r="E2057" s="8">
        <f>IF(B2057="Inactive", EDATE(D2057,K2057), "")</f>
        <v>45403</v>
      </c>
      <c r="F2057" t="s">
        <v>12</v>
      </c>
      <c r="G2057">
        <v>1.5</v>
      </c>
      <c r="H2057" t="str" cm="1">
        <f t="array" ref="H2057">_xlfn.IFS(G2057&gt;=20,"20-25", G2057&gt;=15,"15-20", G2057&gt;=10,"10-15", G2057&gt;=5,"5-10", G2057&gt;=1,"1-5", G2057&lt;1,"Less than 1")</f>
        <v>1-5</v>
      </c>
      <c r="I2057">
        <v>3</v>
      </c>
      <c r="J2057">
        <v>1</v>
      </c>
      <c r="K2057" s="6">
        <v>11</v>
      </c>
      <c r="L2057" s="2">
        <v>1.99</v>
      </c>
      <c r="M2057" s="6">
        <v>60</v>
      </c>
      <c r="N2057" t="str" cm="1">
        <f t="array" ref="N2057">_xlfn.IFS(M2057&gt;=50,"50-60 Days", M2057&gt;=40,"40-50 Days", M2057&gt;=30, "30-40 Days", M2057&gt;=20, "20-30 Days", M2057&gt;=10, "10-20 Days", M2057&gt;=0, "0-10 Days")</f>
        <v>50-60 Days</v>
      </c>
    </row>
    <row r="2058" spans="1:14">
      <c r="A2058">
        <v>2057</v>
      </c>
      <c r="B2058" t="s">
        <v>29</v>
      </c>
      <c r="C2058" s="5">
        <v>45431</v>
      </c>
      <c r="D2058" s="8">
        <v>45431</v>
      </c>
      <c r="E2058" s="8" t="str">
        <f>IF(B2058="Inactive", EDATE(D2058,K2058), "")</f>
        <v/>
      </c>
      <c r="F2058" t="s">
        <v>10</v>
      </c>
      <c r="G2058">
        <v>8.4</v>
      </c>
      <c r="H2058" t="str" cm="1">
        <f t="array" ref="H2058">_xlfn.IFS(G2058&gt;=20,"20-25", G2058&gt;=15,"15-20", G2058&gt;=10,"10-15", G2058&gt;=5,"5-10", G2058&gt;=1,"1-5", G2058&lt;1,"Less than 1")</f>
        <v>5-10</v>
      </c>
      <c r="I2058">
        <v>6</v>
      </c>
      <c r="J2058">
        <v>0</v>
      </c>
      <c r="K2058" s="6">
        <v>7</v>
      </c>
      <c r="L2058" s="2">
        <v>6.99</v>
      </c>
      <c r="M2058" s="6">
        <v>32</v>
      </c>
      <c r="N2058" t="str" cm="1">
        <f t="array" ref="N2058">_xlfn.IFS(M2058&gt;=50,"50-60 Days", M2058&gt;=40,"40-50 Days", M2058&gt;=30, "30-40 Days", M2058&gt;=20, "20-30 Days", M2058&gt;=10, "10-20 Days", M2058&gt;=0, "0-10 Days")</f>
        <v>30-40 Days</v>
      </c>
    </row>
    <row r="2059" spans="1:14">
      <c r="A2059">
        <v>2058</v>
      </c>
      <c r="B2059" t="s">
        <v>28</v>
      </c>
      <c r="C2059" s="5">
        <v>45162</v>
      </c>
      <c r="D2059" s="8">
        <v>45162</v>
      </c>
      <c r="E2059" s="8">
        <f>IF(B2059="Inactive", EDATE(D2059,K2059), "")</f>
        <v>45436</v>
      </c>
      <c r="F2059" t="s">
        <v>12</v>
      </c>
      <c r="G2059">
        <v>14</v>
      </c>
      <c r="H2059" t="str" cm="1">
        <f t="array" ref="H2059">_xlfn.IFS(G2059&gt;=20,"20-25", G2059&gt;=15,"15-20", G2059&gt;=10,"10-15", G2059&gt;=5,"5-10", G2059&gt;=1,"1-5", G2059&lt;1,"Less than 1")</f>
        <v>10-15</v>
      </c>
      <c r="I2059">
        <v>0</v>
      </c>
      <c r="J2059">
        <v>1</v>
      </c>
      <c r="K2059" s="6">
        <v>9</v>
      </c>
      <c r="L2059" s="2">
        <v>1.99</v>
      </c>
      <c r="M2059" s="6">
        <v>37</v>
      </c>
      <c r="N2059" t="str" cm="1">
        <f t="array" ref="N2059">_xlfn.IFS(M2059&gt;=50,"50-60 Days", M2059&gt;=40,"40-50 Days", M2059&gt;=30, "30-40 Days", M2059&gt;=20, "20-30 Days", M2059&gt;=10, "10-20 Days", M2059&gt;=0, "0-10 Days")</f>
        <v>30-40 Days</v>
      </c>
    </row>
    <row r="2060" spans="1:14">
      <c r="A2060">
        <v>2059</v>
      </c>
      <c r="B2060" t="s">
        <v>28</v>
      </c>
      <c r="C2060" s="5">
        <v>45095</v>
      </c>
      <c r="D2060" s="8">
        <v>45095</v>
      </c>
      <c r="E2060" s="8">
        <f>IF(B2060="Inactive", EDATE(D2060,K2060), "")</f>
        <v>45430</v>
      </c>
      <c r="F2060" t="s">
        <v>10</v>
      </c>
      <c r="G2060">
        <v>0.7</v>
      </c>
      <c r="H2060" t="str" cm="1">
        <f t="array" ref="H2060">_xlfn.IFS(G2060&gt;=20,"20-25", G2060&gt;=15,"15-20", G2060&gt;=10,"10-15", G2060&gt;=5,"5-10", G2060&gt;=1,"1-5", G2060&lt;1,"Less than 1")</f>
        <v>Less than 1</v>
      </c>
      <c r="I2060">
        <v>1</v>
      </c>
      <c r="J2060">
        <v>4</v>
      </c>
      <c r="K2060" s="6">
        <v>11</v>
      </c>
      <c r="L2060" s="2">
        <v>6.99</v>
      </c>
      <c r="M2060" s="6">
        <v>56</v>
      </c>
      <c r="N2060" t="str" cm="1">
        <f t="array" ref="N2060">_xlfn.IFS(M2060&gt;=50,"50-60 Days", M2060&gt;=40,"40-50 Days", M2060&gt;=30, "30-40 Days", M2060&gt;=20, "20-30 Days", M2060&gt;=10, "10-20 Days", M2060&gt;=0, "0-10 Days")</f>
        <v>50-60 Days</v>
      </c>
    </row>
    <row r="2061" spans="1:14">
      <c r="A2061">
        <v>2060</v>
      </c>
      <c r="B2061" t="s">
        <v>28</v>
      </c>
      <c r="C2061" s="5">
        <v>45199</v>
      </c>
      <c r="D2061" s="8">
        <v>45199</v>
      </c>
      <c r="E2061" s="8">
        <f>IF(B2061="Inactive", EDATE(D2061,K2061), "")</f>
        <v>45351</v>
      </c>
      <c r="F2061" t="s">
        <v>14</v>
      </c>
      <c r="G2061">
        <v>4.2</v>
      </c>
      <c r="H2061" t="str" cm="1">
        <f t="array" ref="H2061">_xlfn.IFS(G2061&gt;=20,"20-25", G2061&gt;=15,"15-20", G2061&gt;=10,"10-15", G2061&gt;=5,"5-10", G2061&gt;=1,"1-5", G2061&lt;1,"Less than 1")</f>
        <v>1-5</v>
      </c>
      <c r="I2061">
        <v>0</v>
      </c>
      <c r="J2061">
        <v>5</v>
      </c>
      <c r="K2061" s="6">
        <v>5</v>
      </c>
      <c r="L2061" s="2">
        <v>3.99</v>
      </c>
      <c r="M2061" s="6">
        <v>47</v>
      </c>
      <c r="N2061" t="str" cm="1">
        <f t="array" ref="N2061">_xlfn.IFS(M2061&gt;=50,"50-60 Days", M2061&gt;=40,"40-50 Days", M2061&gt;=30, "30-40 Days", M2061&gt;=20, "20-30 Days", M2061&gt;=10, "10-20 Days", M2061&gt;=0, "0-10 Days")</f>
        <v>40-50 Days</v>
      </c>
    </row>
    <row r="2062" spans="1:14">
      <c r="A2062">
        <v>2061</v>
      </c>
      <c r="B2062" t="s">
        <v>29</v>
      </c>
      <c r="C2062" s="5">
        <v>45269</v>
      </c>
      <c r="D2062" s="8">
        <v>45269</v>
      </c>
      <c r="E2062" s="8" t="str">
        <f>IF(B2062="Inactive", EDATE(D2062,K2062), "")</f>
        <v/>
      </c>
      <c r="F2062" t="s">
        <v>10</v>
      </c>
      <c r="G2062">
        <v>13</v>
      </c>
      <c r="H2062" t="str" cm="1">
        <f t="array" ref="H2062">_xlfn.IFS(G2062&gt;=20,"20-25", G2062&gt;=15,"15-20", G2062&gt;=10,"10-15", G2062&gt;=5,"5-10", G2062&gt;=1,"1-5", G2062&lt;1,"Less than 1")</f>
        <v>10-15</v>
      </c>
      <c r="I2062">
        <v>2</v>
      </c>
      <c r="J2062">
        <v>1</v>
      </c>
      <c r="K2062" s="6">
        <v>8</v>
      </c>
      <c r="L2062" s="2">
        <v>6.99</v>
      </c>
      <c r="M2062" s="6">
        <v>48</v>
      </c>
      <c r="N2062" t="str" cm="1">
        <f t="array" ref="N2062">_xlfn.IFS(M2062&gt;=50,"50-60 Days", M2062&gt;=40,"40-50 Days", M2062&gt;=30, "30-40 Days", M2062&gt;=20, "20-30 Days", M2062&gt;=10, "10-20 Days", M2062&gt;=0, "0-10 Days")</f>
        <v>40-50 Days</v>
      </c>
    </row>
    <row r="2063" spans="1:14">
      <c r="A2063">
        <v>2062</v>
      </c>
      <c r="B2063" t="s">
        <v>28</v>
      </c>
      <c r="C2063" s="5">
        <v>44956</v>
      </c>
      <c r="D2063" s="8">
        <v>44956</v>
      </c>
      <c r="E2063" s="8">
        <f>IF(B2063="Inactive", EDATE(D2063,K2063), "")</f>
        <v>45168</v>
      </c>
      <c r="F2063" t="s">
        <v>12</v>
      </c>
      <c r="G2063">
        <v>22.5</v>
      </c>
      <c r="H2063" t="str" cm="1">
        <f t="array" ref="H2063">_xlfn.IFS(G2063&gt;=20,"20-25", G2063&gt;=15,"15-20", G2063&gt;=10,"10-15", G2063&gt;=5,"5-10", G2063&gt;=1,"1-5", G2063&lt;1,"Less than 1")</f>
        <v>20-25</v>
      </c>
      <c r="I2063">
        <v>6</v>
      </c>
      <c r="J2063">
        <v>0</v>
      </c>
      <c r="K2063" s="6">
        <v>7</v>
      </c>
      <c r="L2063" s="2">
        <v>1.99</v>
      </c>
      <c r="M2063" s="6">
        <v>41</v>
      </c>
      <c r="N2063" t="str" cm="1">
        <f t="array" ref="N2063">_xlfn.IFS(M2063&gt;=50,"50-60 Days", M2063&gt;=40,"40-50 Days", M2063&gt;=30, "30-40 Days", M2063&gt;=20, "20-30 Days", M2063&gt;=10, "10-20 Days", M2063&gt;=0, "0-10 Days")</f>
        <v>40-50 Days</v>
      </c>
    </row>
    <row r="2064" spans="1:14">
      <c r="A2064">
        <v>2063</v>
      </c>
      <c r="B2064" t="s">
        <v>28</v>
      </c>
      <c r="C2064" s="5">
        <v>45036</v>
      </c>
      <c r="D2064" s="8">
        <v>45036</v>
      </c>
      <c r="E2064" s="8">
        <f>IF(B2064="Inactive", EDATE(D2064,K2064), "")</f>
        <v>45371</v>
      </c>
      <c r="F2064" t="s">
        <v>14</v>
      </c>
      <c r="G2064">
        <v>19.399999999999999</v>
      </c>
      <c r="H2064" t="str" cm="1">
        <f t="array" ref="H2064">_xlfn.IFS(G2064&gt;=20,"20-25", G2064&gt;=15,"15-20", G2064&gt;=10,"10-15", G2064&gt;=5,"5-10", G2064&gt;=1,"1-5", G2064&lt;1,"Less than 1")</f>
        <v>15-20</v>
      </c>
      <c r="I2064">
        <v>3</v>
      </c>
      <c r="J2064">
        <v>1</v>
      </c>
      <c r="K2064" s="6">
        <v>11</v>
      </c>
      <c r="L2064" s="2">
        <v>3.99</v>
      </c>
      <c r="M2064" s="6">
        <v>7</v>
      </c>
      <c r="N2064" t="str" cm="1">
        <f t="array" ref="N2064">_xlfn.IFS(M2064&gt;=50,"50-60 Days", M2064&gt;=40,"40-50 Days", M2064&gt;=30, "30-40 Days", M2064&gt;=20, "20-30 Days", M2064&gt;=10, "10-20 Days", M2064&gt;=0, "0-10 Days")</f>
        <v>0-10 Days</v>
      </c>
    </row>
    <row r="2065" spans="1:14">
      <c r="A2065">
        <v>2064</v>
      </c>
      <c r="B2065" t="s">
        <v>28</v>
      </c>
      <c r="C2065" s="5">
        <v>45534</v>
      </c>
      <c r="D2065" s="8">
        <v>45534</v>
      </c>
      <c r="E2065" s="8">
        <f>IF(B2065="Inactive", EDATE(D2065,K2065), "")</f>
        <v>45687</v>
      </c>
      <c r="F2065" t="s">
        <v>10</v>
      </c>
      <c r="G2065">
        <v>5.4</v>
      </c>
      <c r="H2065" t="str" cm="1">
        <f t="array" ref="H2065">_xlfn.IFS(G2065&gt;=20,"20-25", G2065&gt;=15,"15-20", G2065&gt;=10,"10-15", G2065&gt;=5,"5-10", G2065&gt;=1,"1-5", G2065&lt;1,"Less than 1")</f>
        <v>5-10</v>
      </c>
      <c r="I2065">
        <v>4</v>
      </c>
      <c r="J2065">
        <v>5</v>
      </c>
      <c r="K2065" s="6">
        <v>5</v>
      </c>
      <c r="L2065" s="2">
        <v>6.99</v>
      </c>
      <c r="M2065" s="6">
        <v>43</v>
      </c>
      <c r="N2065" t="str" cm="1">
        <f t="array" ref="N2065">_xlfn.IFS(M2065&gt;=50,"50-60 Days", M2065&gt;=40,"40-50 Days", M2065&gt;=30, "30-40 Days", M2065&gt;=20, "20-30 Days", M2065&gt;=10, "10-20 Days", M2065&gt;=0, "0-10 Days")</f>
        <v>40-50 Days</v>
      </c>
    </row>
    <row r="2066" spans="1:14">
      <c r="A2066">
        <v>2065</v>
      </c>
      <c r="B2066" t="s">
        <v>29</v>
      </c>
      <c r="C2066" s="5">
        <v>45185</v>
      </c>
      <c r="D2066" s="8">
        <v>45185</v>
      </c>
      <c r="E2066" s="8" t="str">
        <f>IF(B2066="Inactive", EDATE(D2066,K2066), "")</f>
        <v/>
      </c>
      <c r="F2066" t="s">
        <v>14</v>
      </c>
      <c r="G2066">
        <v>11.9</v>
      </c>
      <c r="H2066" t="str" cm="1">
        <f t="array" ref="H2066">_xlfn.IFS(G2066&gt;=20,"20-25", G2066&gt;=15,"15-20", G2066&gt;=10,"10-15", G2066&gt;=5,"5-10", G2066&gt;=1,"1-5", G2066&lt;1,"Less than 1")</f>
        <v>10-15</v>
      </c>
      <c r="I2066">
        <v>3</v>
      </c>
      <c r="J2066">
        <v>4</v>
      </c>
      <c r="K2066" s="6">
        <v>8</v>
      </c>
      <c r="L2066" s="2">
        <v>3.99</v>
      </c>
      <c r="M2066" s="6">
        <v>56</v>
      </c>
      <c r="N2066" t="str" cm="1">
        <f t="array" ref="N2066">_xlfn.IFS(M2066&gt;=50,"50-60 Days", M2066&gt;=40,"40-50 Days", M2066&gt;=30, "30-40 Days", M2066&gt;=20, "20-30 Days", M2066&gt;=10, "10-20 Days", M2066&gt;=0, "0-10 Days")</f>
        <v>50-60 Days</v>
      </c>
    </row>
    <row r="2067" spans="1:14">
      <c r="A2067">
        <v>2066</v>
      </c>
      <c r="B2067" t="s">
        <v>28</v>
      </c>
      <c r="C2067" s="5">
        <v>45268</v>
      </c>
      <c r="D2067" s="8">
        <v>45268</v>
      </c>
      <c r="E2067" s="8">
        <f>IF(B2067="Inactive", EDATE(D2067,K2067), "")</f>
        <v>45604</v>
      </c>
      <c r="F2067" t="s">
        <v>12</v>
      </c>
      <c r="G2067">
        <v>1.1000000000000001</v>
      </c>
      <c r="H2067" t="str" cm="1">
        <f t="array" ref="H2067">_xlfn.IFS(G2067&gt;=20,"20-25", G2067&gt;=15,"15-20", G2067&gt;=10,"10-15", G2067&gt;=5,"5-10", G2067&gt;=1,"1-5", G2067&lt;1,"Less than 1")</f>
        <v>1-5</v>
      </c>
      <c r="I2067">
        <v>0</v>
      </c>
      <c r="J2067">
        <v>1</v>
      </c>
      <c r="K2067" s="6">
        <v>11</v>
      </c>
      <c r="L2067" s="2">
        <v>1.99</v>
      </c>
      <c r="M2067" s="6">
        <v>53</v>
      </c>
      <c r="N2067" t="str" cm="1">
        <f t="array" ref="N2067">_xlfn.IFS(M2067&gt;=50,"50-60 Days", M2067&gt;=40,"40-50 Days", M2067&gt;=30, "30-40 Days", M2067&gt;=20, "20-30 Days", M2067&gt;=10, "10-20 Days", M2067&gt;=0, "0-10 Days")</f>
        <v>50-60 Days</v>
      </c>
    </row>
    <row r="2068" spans="1:14">
      <c r="A2068">
        <v>2067</v>
      </c>
      <c r="B2068" t="s">
        <v>28</v>
      </c>
      <c r="C2068" s="5">
        <v>45327</v>
      </c>
      <c r="D2068" s="8">
        <v>45327</v>
      </c>
      <c r="E2068" s="8">
        <f>IF(B2068="Inactive", EDATE(D2068,K2068), "")</f>
        <v>45662</v>
      </c>
      <c r="F2068" t="s">
        <v>12</v>
      </c>
      <c r="G2068">
        <v>23.7</v>
      </c>
      <c r="H2068" t="str" cm="1">
        <f t="array" ref="H2068">_xlfn.IFS(G2068&gt;=20,"20-25", G2068&gt;=15,"15-20", G2068&gt;=10,"10-15", G2068&gt;=5,"5-10", G2068&gt;=1,"1-5", G2068&lt;1,"Less than 1")</f>
        <v>20-25</v>
      </c>
      <c r="I2068">
        <v>6</v>
      </c>
      <c r="J2068">
        <v>5</v>
      </c>
      <c r="K2068" s="6">
        <v>11</v>
      </c>
      <c r="L2068" s="2">
        <v>1.99</v>
      </c>
      <c r="M2068" s="6">
        <v>20</v>
      </c>
      <c r="N2068" t="str" cm="1">
        <f t="array" ref="N2068">_xlfn.IFS(M2068&gt;=50,"50-60 Days", M2068&gt;=40,"40-50 Days", M2068&gt;=30, "30-40 Days", M2068&gt;=20, "20-30 Days", M2068&gt;=10, "10-20 Days", M2068&gt;=0, "0-10 Days")</f>
        <v>20-30 Days</v>
      </c>
    </row>
    <row r="2069" spans="1:14">
      <c r="A2069">
        <v>2068</v>
      </c>
      <c r="B2069" t="s">
        <v>28</v>
      </c>
      <c r="C2069" s="5">
        <v>45610</v>
      </c>
      <c r="D2069" s="8">
        <v>45610</v>
      </c>
      <c r="E2069" s="8">
        <f>IF(B2069="Inactive", EDATE(D2069,K2069), "")</f>
        <v>45730</v>
      </c>
      <c r="F2069" t="s">
        <v>10</v>
      </c>
      <c r="G2069">
        <v>23.1</v>
      </c>
      <c r="H2069" t="str" cm="1">
        <f t="array" ref="H2069">_xlfn.IFS(G2069&gt;=20,"20-25", G2069&gt;=15,"15-20", G2069&gt;=10,"10-15", G2069&gt;=5,"5-10", G2069&gt;=1,"1-5", G2069&lt;1,"Less than 1")</f>
        <v>20-25</v>
      </c>
      <c r="I2069">
        <v>7</v>
      </c>
      <c r="J2069">
        <v>4</v>
      </c>
      <c r="K2069" s="6">
        <v>4</v>
      </c>
      <c r="L2069" s="2">
        <v>6.99</v>
      </c>
      <c r="M2069" s="6">
        <v>38</v>
      </c>
      <c r="N2069" t="str" cm="1">
        <f t="array" ref="N2069">_xlfn.IFS(M2069&gt;=50,"50-60 Days", M2069&gt;=40,"40-50 Days", M2069&gt;=30, "30-40 Days", M2069&gt;=20, "20-30 Days", M2069&gt;=10, "10-20 Days", M2069&gt;=0, "0-10 Days")</f>
        <v>30-40 Days</v>
      </c>
    </row>
    <row r="2070" spans="1:14">
      <c r="A2070">
        <v>2069</v>
      </c>
      <c r="B2070" t="s">
        <v>28</v>
      </c>
      <c r="C2070" s="5">
        <v>44938</v>
      </c>
      <c r="D2070" s="8">
        <v>44938</v>
      </c>
      <c r="E2070" s="8">
        <f>IF(B2070="Inactive", EDATE(D2070,K2070), "")</f>
        <v>44997</v>
      </c>
      <c r="F2070" t="s">
        <v>12</v>
      </c>
      <c r="G2070">
        <v>15.6</v>
      </c>
      <c r="H2070" t="str" cm="1">
        <f t="array" ref="H2070">_xlfn.IFS(G2070&gt;=20,"20-25", G2070&gt;=15,"15-20", G2070&gt;=10,"10-15", G2070&gt;=5,"5-10", G2070&gt;=1,"1-5", G2070&lt;1,"Less than 1")</f>
        <v>15-20</v>
      </c>
      <c r="I2070">
        <v>0</v>
      </c>
      <c r="J2070">
        <v>0</v>
      </c>
      <c r="K2070" s="6">
        <v>2</v>
      </c>
      <c r="L2070" s="2">
        <v>1.99</v>
      </c>
      <c r="M2070" s="6">
        <v>39</v>
      </c>
      <c r="N2070" t="str" cm="1">
        <f t="array" ref="N2070">_xlfn.IFS(M2070&gt;=50,"50-60 Days", M2070&gt;=40,"40-50 Days", M2070&gt;=30, "30-40 Days", M2070&gt;=20, "20-30 Days", M2070&gt;=10, "10-20 Days", M2070&gt;=0, "0-10 Days")</f>
        <v>30-40 Days</v>
      </c>
    </row>
    <row r="2071" spans="1:14">
      <c r="A2071">
        <v>2070</v>
      </c>
      <c r="B2071" t="s">
        <v>29</v>
      </c>
      <c r="C2071" s="5">
        <v>45026</v>
      </c>
      <c r="D2071" s="8">
        <v>45026</v>
      </c>
      <c r="E2071" s="8" t="str">
        <f>IF(B2071="Inactive", EDATE(D2071,K2071), "")</f>
        <v/>
      </c>
      <c r="F2071" t="s">
        <v>14</v>
      </c>
      <c r="G2071">
        <v>7.9</v>
      </c>
      <c r="H2071" t="str" cm="1">
        <f t="array" ref="H2071">_xlfn.IFS(G2071&gt;=20,"20-25", G2071&gt;=15,"15-20", G2071&gt;=10,"10-15", G2071&gt;=5,"5-10", G2071&gt;=1,"1-5", G2071&lt;1,"Less than 1")</f>
        <v>5-10</v>
      </c>
      <c r="I2071">
        <v>6</v>
      </c>
      <c r="J2071">
        <v>5</v>
      </c>
      <c r="K2071" s="6">
        <v>1</v>
      </c>
      <c r="L2071" s="2">
        <v>3.99</v>
      </c>
      <c r="M2071" s="6">
        <v>36</v>
      </c>
      <c r="N2071" t="str" cm="1">
        <f t="array" ref="N2071">_xlfn.IFS(M2071&gt;=50,"50-60 Days", M2071&gt;=40,"40-50 Days", M2071&gt;=30, "30-40 Days", M2071&gt;=20, "20-30 Days", M2071&gt;=10, "10-20 Days", M2071&gt;=0, "0-10 Days")</f>
        <v>30-40 Days</v>
      </c>
    </row>
    <row r="2072" spans="1:14">
      <c r="A2072">
        <v>2071</v>
      </c>
      <c r="B2072" t="s">
        <v>29</v>
      </c>
      <c r="C2072" s="5">
        <v>45004</v>
      </c>
      <c r="D2072" s="8">
        <v>45004</v>
      </c>
      <c r="E2072" s="8" t="str">
        <f>IF(B2072="Inactive", EDATE(D2072,K2072), "")</f>
        <v/>
      </c>
      <c r="F2072" t="s">
        <v>12</v>
      </c>
      <c r="G2072">
        <v>5.8</v>
      </c>
      <c r="H2072" t="str" cm="1">
        <f t="array" ref="H2072">_xlfn.IFS(G2072&gt;=20,"20-25", G2072&gt;=15,"15-20", G2072&gt;=10,"10-15", G2072&gt;=5,"5-10", G2072&gt;=1,"1-5", G2072&lt;1,"Less than 1")</f>
        <v>5-10</v>
      </c>
      <c r="I2072">
        <v>3</v>
      </c>
      <c r="J2072">
        <v>3</v>
      </c>
      <c r="K2072" s="6">
        <v>8</v>
      </c>
      <c r="L2072" s="2">
        <v>1.99</v>
      </c>
      <c r="M2072" s="6">
        <v>47</v>
      </c>
      <c r="N2072" t="str" cm="1">
        <f t="array" ref="N2072">_xlfn.IFS(M2072&gt;=50,"50-60 Days", M2072&gt;=40,"40-50 Days", M2072&gt;=30, "30-40 Days", M2072&gt;=20, "20-30 Days", M2072&gt;=10, "10-20 Days", M2072&gt;=0, "0-10 Days")</f>
        <v>40-50 Days</v>
      </c>
    </row>
    <row r="2073" spans="1:14">
      <c r="A2073">
        <v>2072</v>
      </c>
      <c r="B2073" t="s">
        <v>28</v>
      </c>
      <c r="C2073" s="5">
        <v>45072</v>
      </c>
      <c r="D2073" s="8">
        <v>45072</v>
      </c>
      <c r="E2073" s="8">
        <f>IF(B2073="Inactive", EDATE(D2073,K2073), "")</f>
        <v>45348</v>
      </c>
      <c r="F2073" t="s">
        <v>14</v>
      </c>
      <c r="G2073">
        <v>16.5</v>
      </c>
      <c r="H2073" t="str" cm="1">
        <f t="array" ref="H2073">_xlfn.IFS(G2073&gt;=20,"20-25", G2073&gt;=15,"15-20", G2073&gt;=10,"10-15", G2073&gt;=5,"5-10", G2073&gt;=1,"1-5", G2073&lt;1,"Less than 1")</f>
        <v>15-20</v>
      </c>
      <c r="I2073">
        <v>4</v>
      </c>
      <c r="J2073">
        <v>0</v>
      </c>
      <c r="K2073" s="6">
        <v>9</v>
      </c>
      <c r="L2073" s="2">
        <v>3.99</v>
      </c>
      <c r="M2073" s="6">
        <v>57</v>
      </c>
      <c r="N2073" t="str" cm="1">
        <f t="array" ref="N2073">_xlfn.IFS(M2073&gt;=50,"50-60 Days", M2073&gt;=40,"40-50 Days", M2073&gt;=30, "30-40 Days", M2073&gt;=20, "20-30 Days", M2073&gt;=10, "10-20 Days", M2073&gt;=0, "0-10 Days")</f>
        <v>50-60 Days</v>
      </c>
    </row>
    <row r="2074" spans="1:14">
      <c r="A2074">
        <v>2073</v>
      </c>
      <c r="B2074" t="s">
        <v>29</v>
      </c>
      <c r="C2074" s="5">
        <v>45625</v>
      </c>
      <c r="D2074" s="8">
        <v>45625</v>
      </c>
      <c r="E2074" s="8" t="str">
        <f>IF(B2074="Inactive", EDATE(D2074,K2074), "")</f>
        <v/>
      </c>
      <c r="F2074" t="s">
        <v>14</v>
      </c>
      <c r="G2074">
        <v>23.3</v>
      </c>
      <c r="H2074" t="str" cm="1">
        <f t="array" ref="H2074">_xlfn.IFS(G2074&gt;=20,"20-25", G2074&gt;=15,"15-20", G2074&gt;=10,"10-15", G2074&gt;=5,"5-10", G2074&gt;=1,"1-5", G2074&lt;1,"Less than 1")</f>
        <v>20-25</v>
      </c>
      <c r="I2074">
        <v>3</v>
      </c>
      <c r="J2074">
        <v>0</v>
      </c>
      <c r="K2074" s="6">
        <v>10</v>
      </c>
      <c r="L2074" s="2">
        <v>3.99</v>
      </c>
      <c r="M2074" s="6">
        <v>58</v>
      </c>
      <c r="N2074" t="str" cm="1">
        <f t="array" ref="N2074">_xlfn.IFS(M2074&gt;=50,"50-60 Days", M2074&gt;=40,"40-50 Days", M2074&gt;=30, "30-40 Days", M2074&gt;=20, "20-30 Days", M2074&gt;=10, "10-20 Days", M2074&gt;=0, "0-10 Days")</f>
        <v>50-60 Days</v>
      </c>
    </row>
    <row r="2075" spans="1:14">
      <c r="A2075">
        <v>2074</v>
      </c>
      <c r="B2075" t="s">
        <v>28</v>
      </c>
      <c r="C2075" s="5">
        <v>45520</v>
      </c>
      <c r="D2075" s="8">
        <v>45520</v>
      </c>
      <c r="E2075" s="8">
        <f>IF(B2075="Inactive", EDATE(D2075,K2075), "")</f>
        <v>45854</v>
      </c>
      <c r="F2075" t="s">
        <v>12</v>
      </c>
      <c r="G2075">
        <v>4.8</v>
      </c>
      <c r="H2075" t="str" cm="1">
        <f t="array" ref="H2075">_xlfn.IFS(G2075&gt;=20,"20-25", G2075&gt;=15,"15-20", G2075&gt;=10,"10-15", G2075&gt;=5,"5-10", G2075&gt;=1,"1-5", G2075&lt;1,"Less than 1")</f>
        <v>1-5</v>
      </c>
      <c r="I2075">
        <v>1</v>
      </c>
      <c r="J2075">
        <v>0</v>
      </c>
      <c r="K2075" s="6">
        <v>11</v>
      </c>
      <c r="L2075" s="2">
        <v>1.99</v>
      </c>
      <c r="M2075" s="6">
        <v>46</v>
      </c>
      <c r="N2075" t="str" cm="1">
        <f t="array" ref="N2075">_xlfn.IFS(M2075&gt;=50,"50-60 Days", M2075&gt;=40,"40-50 Days", M2075&gt;=30, "30-40 Days", M2075&gt;=20, "20-30 Days", M2075&gt;=10, "10-20 Days", M2075&gt;=0, "0-10 Days")</f>
        <v>40-50 Days</v>
      </c>
    </row>
    <row r="2076" spans="1:14">
      <c r="A2076">
        <v>2075</v>
      </c>
      <c r="B2076" t="s">
        <v>28</v>
      </c>
      <c r="C2076" s="5">
        <v>45635</v>
      </c>
      <c r="D2076" s="8">
        <v>45635</v>
      </c>
      <c r="E2076" s="8">
        <f>IF(B2076="Inactive", EDATE(D2076,K2076), "")</f>
        <v>46000</v>
      </c>
      <c r="F2076" t="s">
        <v>10</v>
      </c>
      <c r="G2076">
        <v>7.2</v>
      </c>
      <c r="H2076" t="str" cm="1">
        <f t="array" ref="H2076">_xlfn.IFS(G2076&gt;=20,"20-25", G2076&gt;=15,"15-20", G2076&gt;=10,"10-15", G2076&gt;=5,"5-10", G2076&gt;=1,"1-5", G2076&lt;1,"Less than 1")</f>
        <v>5-10</v>
      </c>
      <c r="I2076">
        <v>0</v>
      </c>
      <c r="J2076">
        <v>5</v>
      </c>
      <c r="K2076" s="6">
        <v>12</v>
      </c>
      <c r="L2076" s="2">
        <v>6.99</v>
      </c>
      <c r="M2076" s="6">
        <v>36</v>
      </c>
      <c r="N2076" t="str" cm="1">
        <f t="array" ref="N2076">_xlfn.IFS(M2076&gt;=50,"50-60 Days", M2076&gt;=40,"40-50 Days", M2076&gt;=30, "30-40 Days", M2076&gt;=20, "20-30 Days", M2076&gt;=10, "10-20 Days", M2076&gt;=0, "0-10 Days")</f>
        <v>30-40 Days</v>
      </c>
    </row>
    <row r="2077" spans="1:14">
      <c r="A2077">
        <v>2076</v>
      </c>
      <c r="B2077" t="s">
        <v>28</v>
      </c>
      <c r="C2077" s="5">
        <v>45403</v>
      </c>
      <c r="D2077" s="8">
        <v>45403</v>
      </c>
      <c r="E2077" s="8">
        <f>IF(B2077="Inactive", EDATE(D2077,K2077), "")</f>
        <v>45556</v>
      </c>
      <c r="F2077" t="s">
        <v>12</v>
      </c>
      <c r="G2077">
        <v>2.1</v>
      </c>
      <c r="H2077" t="str" cm="1">
        <f t="array" ref="H2077">_xlfn.IFS(G2077&gt;=20,"20-25", G2077&gt;=15,"15-20", G2077&gt;=10,"10-15", G2077&gt;=5,"5-10", G2077&gt;=1,"1-5", G2077&lt;1,"Less than 1")</f>
        <v>1-5</v>
      </c>
      <c r="I2077">
        <v>6</v>
      </c>
      <c r="J2077">
        <v>0</v>
      </c>
      <c r="K2077" s="6">
        <v>5</v>
      </c>
      <c r="L2077" s="2">
        <v>1.99</v>
      </c>
      <c r="M2077" s="6">
        <v>2</v>
      </c>
      <c r="N2077" t="str" cm="1">
        <f t="array" ref="N2077">_xlfn.IFS(M2077&gt;=50,"50-60 Days", M2077&gt;=40,"40-50 Days", M2077&gt;=30, "30-40 Days", M2077&gt;=20, "20-30 Days", M2077&gt;=10, "10-20 Days", M2077&gt;=0, "0-10 Days")</f>
        <v>0-10 Days</v>
      </c>
    </row>
    <row r="2078" spans="1:14">
      <c r="A2078">
        <v>2077</v>
      </c>
      <c r="B2078" t="s">
        <v>29</v>
      </c>
      <c r="C2078" s="5">
        <v>45214</v>
      </c>
      <c r="D2078" s="8">
        <v>45214</v>
      </c>
      <c r="E2078" s="8" t="str">
        <f>IF(B2078="Inactive", EDATE(D2078,K2078), "")</f>
        <v/>
      </c>
      <c r="F2078" t="s">
        <v>14</v>
      </c>
      <c r="G2078">
        <v>24.3</v>
      </c>
      <c r="H2078" t="str" cm="1">
        <f t="array" ref="H2078">_xlfn.IFS(G2078&gt;=20,"20-25", G2078&gt;=15,"15-20", G2078&gt;=10,"10-15", G2078&gt;=5,"5-10", G2078&gt;=1,"1-5", G2078&lt;1,"Less than 1")</f>
        <v>20-25</v>
      </c>
      <c r="I2078">
        <v>0</v>
      </c>
      <c r="J2078">
        <v>5</v>
      </c>
      <c r="K2078" s="6">
        <v>4</v>
      </c>
      <c r="L2078" s="2">
        <v>3.99</v>
      </c>
      <c r="M2078" s="6">
        <v>4</v>
      </c>
      <c r="N2078" t="str" cm="1">
        <f t="array" ref="N2078">_xlfn.IFS(M2078&gt;=50,"50-60 Days", M2078&gt;=40,"40-50 Days", M2078&gt;=30, "30-40 Days", M2078&gt;=20, "20-30 Days", M2078&gt;=10, "10-20 Days", M2078&gt;=0, "0-10 Days")</f>
        <v>0-10 Days</v>
      </c>
    </row>
    <row r="2079" spans="1:14">
      <c r="A2079">
        <v>2078</v>
      </c>
      <c r="B2079" t="s">
        <v>29</v>
      </c>
      <c r="C2079" s="5">
        <v>45119</v>
      </c>
      <c r="D2079" s="8">
        <v>45119</v>
      </c>
      <c r="E2079" s="8" t="str">
        <f>IF(B2079="Inactive", EDATE(D2079,K2079), "")</f>
        <v/>
      </c>
      <c r="F2079" t="s">
        <v>10</v>
      </c>
      <c r="G2079">
        <v>18.100000000000001</v>
      </c>
      <c r="H2079" t="str" cm="1">
        <f t="array" ref="H2079">_xlfn.IFS(G2079&gt;=20,"20-25", G2079&gt;=15,"15-20", G2079&gt;=10,"10-15", G2079&gt;=5,"5-10", G2079&gt;=1,"1-5", G2079&lt;1,"Less than 1")</f>
        <v>15-20</v>
      </c>
      <c r="I2079">
        <v>3</v>
      </c>
      <c r="J2079">
        <v>2</v>
      </c>
      <c r="K2079" s="6">
        <v>7</v>
      </c>
      <c r="L2079" s="2">
        <v>6.99</v>
      </c>
      <c r="M2079" s="6">
        <v>1</v>
      </c>
      <c r="N2079" t="str" cm="1">
        <f t="array" ref="N2079">_xlfn.IFS(M2079&gt;=50,"50-60 Days", M2079&gt;=40,"40-50 Days", M2079&gt;=30, "30-40 Days", M2079&gt;=20, "20-30 Days", M2079&gt;=10, "10-20 Days", M2079&gt;=0, "0-10 Days")</f>
        <v>0-10 Days</v>
      </c>
    </row>
    <row r="2080" spans="1:14">
      <c r="A2080">
        <v>2079</v>
      </c>
      <c r="B2080" t="s">
        <v>29</v>
      </c>
      <c r="C2080" s="5">
        <v>45499</v>
      </c>
      <c r="D2080" s="8">
        <v>45499</v>
      </c>
      <c r="E2080" s="8" t="str">
        <f>IF(B2080="Inactive", EDATE(D2080,K2080), "")</f>
        <v/>
      </c>
      <c r="F2080" t="s">
        <v>12</v>
      </c>
      <c r="G2080">
        <v>20.399999999999999</v>
      </c>
      <c r="H2080" t="str" cm="1">
        <f t="array" ref="H2080">_xlfn.IFS(G2080&gt;=20,"20-25", G2080&gt;=15,"15-20", G2080&gt;=10,"10-15", G2080&gt;=5,"5-10", G2080&gt;=1,"1-5", G2080&lt;1,"Less than 1")</f>
        <v>20-25</v>
      </c>
      <c r="I2080">
        <v>0</v>
      </c>
      <c r="J2080">
        <v>4</v>
      </c>
      <c r="K2080" s="6">
        <v>10</v>
      </c>
      <c r="L2080" s="2">
        <v>1.99</v>
      </c>
      <c r="M2080" s="6">
        <v>53</v>
      </c>
      <c r="N2080" t="str" cm="1">
        <f t="array" ref="N2080">_xlfn.IFS(M2080&gt;=50,"50-60 Days", M2080&gt;=40,"40-50 Days", M2080&gt;=30, "30-40 Days", M2080&gt;=20, "20-30 Days", M2080&gt;=10, "10-20 Days", M2080&gt;=0, "0-10 Days")</f>
        <v>50-60 Days</v>
      </c>
    </row>
    <row r="2081" spans="1:14">
      <c r="A2081">
        <v>2080</v>
      </c>
      <c r="B2081" t="s">
        <v>28</v>
      </c>
      <c r="C2081" s="5">
        <v>45303</v>
      </c>
      <c r="D2081" s="8">
        <v>45303</v>
      </c>
      <c r="E2081" s="8">
        <f>IF(B2081="Inactive", EDATE(D2081,K2081), "")</f>
        <v>45638</v>
      </c>
      <c r="F2081" t="s">
        <v>10</v>
      </c>
      <c r="G2081">
        <v>19.899999999999999</v>
      </c>
      <c r="H2081" t="str" cm="1">
        <f t="array" ref="H2081">_xlfn.IFS(G2081&gt;=20,"20-25", G2081&gt;=15,"15-20", G2081&gt;=10,"10-15", G2081&gt;=5,"5-10", G2081&gt;=1,"1-5", G2081&lt;1,"Less than 1")</f>
        <v>15-20</v>
      </c>
      <c r="I2081">
        <v>0</v>
      </c>
      <c r="J2081">
        <v>2</v>
      </c>
      <c r="K2081" s="6">
        <v>11</v>
      </c>
      <c r="L2081" s="2">
        <v>6.99</v>
      </c>
      <c r="M2081" s="6">
        <v>23</v>
      </c>
      <c r="N2081" t="str" cm="1">
        <f t="array" ref="N2081">_xlfn.IFS(M2081&gt;=50,"50-60 Days", M2081&gt;=40,"40-50 Days", M2081&gt;=30, "30-40 Days", M2081&gt;=20, "20-30 Days", M2081&gt;=10, "10-20 Days", M2081&gt;=0, "0-10 Days")</f>
        <v>20-30 Days</v>
      </c>
    </row>
    <row r="2082" spans="1:14">
      <c r="A2082">
        <v>2081</v>
      </c>
      <c r="B2082" t="s">
        <v>28</v>
      </c>
      <c r="C2082" s="5">
        <v>45491</v>
      </c>
      <c r="D2082" s="8">
        <v>45491</v>
      </c>
      <c r="E2082" s="8">
        <f>IF(B2082="Inactive", EDATE(D2082,K2082), "")</f>
        <v>45826</v>
      </c>
      <c r="F2082" t="s">
        <v>14</v>
      </c>
      <c r="G2082">
        <v>13.8</v>
      </c>
      <c r="H2082" t="str" cm="1">
        <f t="array" ref="H2082">_xlfn.IFS(G2082&gt;=20,"20-25", G2082&gt;=15,"15-20", G2082&gt;=10,"10-15", G2082&gt;=5,"5-10", G2082&gt;=1,"1-5", G2082&lt;1,"Less than 1")</f>
        <v>10-15</v>
      </c>
      <c r="I2082">
        <v>5</v>
      </c>
      <c r="J2082">
        <v>5</v>
      </c>
      <c r="K2082" s="6">
        <v>11</v>
      </c>
      <c r="L2082" s="2">
        <v>3.99</v>
      </c>
      <c r="M2082" s="6">
        <v>57</v>
      </c>
      <c r="N2082" t="str" cm="1">
        <f t="array" ref="N2082">_xlfn.IFS(M2082&gt;=50,"50-60 Days", M2082&gt;=40,"40-50 Days", M2082&gt;=30, "30-40 Days", M2082&gt;=20, "20-30 Days", M2082&gt;=10, "10-20 Days", M2082&gt;=0, "0-10 Days")</f>
        <v>50-60 Days</v>
      </c>
    </row>
    <row r="2083" spans="1:14">
      <c r="A2083">
        <v>2082</v>
      </c>
      <c r="B2083" t="s">
        <v>29</v>
      </c>
      <c r="C2083" s="5">
        <v>45308</v>
      </c>
      <c r="D2083" s="8">
        <v>45308</v>
      </c>
      <c r="E2083" s="8" t="str">
        <f>IF(B2083="Inactive", EDATE(D2083,K2083), "")</f>
        <v/>
      </c>
      <c r="F2083" t="s">
        <v>10</v>
      </c>
      <c r="G2083">
        <v>8.4</v>
      </c>
      <c r="H2083" t="str" cm="1">
        <f t="array" ref="H2083">_xlfn.IFS(G2083&gt;=20,"20-25", G2083&gt;=15,"15-20", G2083&gt;=10,"10-15", G2083&gt;=5,"5-10", G2083&gt;=1,"1-5", G2083&lt;1,"Less than 1")</f>
        <v>5-10</v>
      </c>
      <c r="I2083">
        <v>5</v>
      </c>
      <c r="J2083">
        <v>3</v>
      </c>
      <c r="K2083" s="6">
        <v>4</v>
      </c>
      <c r="L2083" s="2">
        <v>6.99</v>
      </c>
      <c r="M2083" s="6">
        <v>11</v>
      </c>
      <c r="N2083" t="str" cm="1">
        <f t="array" ref="N2083">_xlfn.IFS(M2083&gt;=50,"50-60 Days", M2083&gt;=40,"40-50 Days", M2083&gt;=30, "30-40 Days", M2083&gt;=20, "20-30 Days", M2083&gt;=10, "10-20 Days", M2083&gt;=0, "0-10 Days")</f>
        <v>10-20 Days</v>
      </c>
    </row>
    <row r="2084" spans="1:14">
      <c r="A2084">
        <v>2083</v>
      </c>
      <c r="B2084" t="s">
        <v>29</v>
      </c>
      <c r="C2084" s="5">
        <v>45618</v>
      </c>
      <c r="D2084" s="8">
        <v>45618</v>
      </c>
      <c r="E2084" s="8" t="str">
        <f>IF(B2084="Inactive", EDATE(D2084,K2084), "")</f>
        <v/>
      </c>
      <c r="F2084" t="s">
        <v>14</v>
      </c>
      <c r="G2084">
        <v>19.3</v>
      </c>
      <c r="H2084" t="str" cm="1">
        <f t="array" ref="H2084">_xlfn.IFS(G2084&gt;=20,"20-25", G2084&gt;=15,"15-20", G2084&gt;=10,"10-15", G2084&gt;=5,"5-10", G2084&gt;=1,"1-5", G2084&lt;1,"Less than 1")</f>
        <v>15-20</v>
      </c>
      <c r="I2084">
        <v>2</v>
      </c>
      <c r="J2084">
        <v>5</v>
      </c>
      <c r="K2084" s="6">
        <v>8</v>
      </c>
      <c r="L2084" s="2">
        <v>3.99</v>
      </c>
      <c r="M2084" s="6">
        <v>48</v>
      </c>
      <c r="N2084" t="str" cm="1">
        <f t="array" ref="N2084">_xlfn.IFS(M2084&gt;=50,"50-60 Days", M2084&gt;=40,"40-50 Days", M2084&gt;=30, "30-40 Days", M2084&gt;=20, "20-30 Days", M2084&gt;=10, "10-20 Days", M2084&gt;=0, "0-10 Days")</f>
        <v>40-50 Days</v>
      </c>
    </row>
    <row r="2085" spans="1:14">
      <c r="A2085">
        <v>2084</v>
      </c>
      <c r="B2085" t="s">
        <v>28</v>
      </c>
      <c r="C2085" s="5">
        <v>45067</v>
      </c>
      <c r="D2085" s="8">
        <v>45067</v>
      </c>
      <c r="E2085" s="8">
        <f>IF(B2085="Inactive", EDATE(D2085,K2085), "")</f>
        <v>45343</v>
      </c>
      <c r="F2085" t="s">
        <v>10</v>
      </c>
      <c r="G2085">
        <v>9.3000000000000007</v>
      </c>
      <c r="H2085" t="str" cm="1">
        <f t="array" ref="H2085">_xlfn.IFS(G2085&gt;=20,"20-25", G2085&gt;=15,"15-20", G2085&gt;=10,"10-15", G2085&gt;=5,"5-10", G2085&gt;=1,"1-5", G2085&lt;1,"Less than 1")</f>
        <v>5-10</v>
      </c>
      <c r="I2085">
        <v>6</v>
      </c>
      <c r="J2085">
        <v>0</v>
      </c>
      <c r="K2085" s="6">
        <v>9</v>
      </c>
      <c r="L2085" s="2">
        <v>6.99</v>
      </c>
      <c r="M2085" s="6">
        <v>38</v>
      </c>
      <c r="N2085" t="str" cm="1">
        <f t="array" ref="N2085">_xlfn.IFS(M2085&gt;=50,"50-60 Days", M2085&gt;=40,"40-50 Days", M2085&gt;=30, "30-40 Days", M2085&gt;=20, "20-30 Days", M2085&gt;=10, "10-20 Days", M2085&gt;=0, "0-10 Days")</f>
        <v>30-40 Days</v>
      </c>
    </row>
    <row r="2086" spans="1:14">
      <c r="A2086">
        <v>2085</v>
      </c>
      <c r="B2086" t="s">
        <v>28</v>
      </c>
      <c r="C2086" s="5">
        <v>44970</v>
      </c>
      <c r="D2086" s="8">
        <v>44970</v>
      </c>
      <c r="E2086" s="8">
        <f>IF(B2086="Inactive", EDATE(D2086,K2086), "")</f>
        <v>45212</v>
      </c>
      <c r="F2086" t="s">
        <v>14</v>
      </c>
      <c r="G2086">
        <v>16.3</v>
      </c>
      <c r="H2086" t="str" cm="1">
        <f t="array" ref="H2086">_xlfn.IFS(G2086&gt;=20,"20-25", G2086&gt;=15,"15-20", G2086&gt;=10,"10-15", G2086&gt;=5,"5-10", G2086&gt;=1,"1-5", G2086&lt;1,"Less than 1")</f>
        <v>15-20</v>
      </c>
      <c r="I2086">
        <v>7</v>
      </c>
      <c r="J2086">
        <v>4</v>
      </c>
      <c r="K2086" s="6">
        <v>8</v>
      </c>
      <c r="L2086" s="2">
        <v>3.99</v>
      </c>
      <c r="M2086" s="6">
        <v>55</v>
      </c>
      <c r="N2086" t="str" cm="1">
        <f t="array" ref="N2086">_xlfn.IFS(M2086&gt;=50,"50-60 Days", M2086&gt;=40,"40-50 Days", M2086&gt;=30, "30-40 Days", M2086&gt;=20, "20-30 Days", M2086&gt;=10, "10-20 Days", M2086&gt;=0, "0-10 Days")</f>
        <v>50-60 Days</v>
      </c>
    </row>
    <row r="2087" spans="1:14">
      <c r="A2087">
        <v>2086</v>
      </c>
      <c r="B2087" t="s">
        <v>28</v>
      </c>
      <c r="C2087" s="5">
        <v>45090</v>
      </c>
      <c r="D2087" s="8">
        <v>45090</v>
      </c>
      <c r="E2087" s="8">
        <f>IF(B2087="Inactive", EDATE(D2087,K2087), "")</f>
        <v>45425</v>
      </c>
      <c r="F2087" t="s">
        <v>14</v>
      </c>
      <c r="G2087">
        <v>23</v>
      </c>
      <c r="H2087" t="str" cm="1">
        <f t="array" ref="H2087">_xlfn.IFS(G2087&gt;=20,"20-25", G2087&gt;=15,"15-20", G2087&gt;=10,"10-15", G2087&gt;=5,"5-10", G2087&gt;=1,"1-5", G2087&lt;1,"Less than 1")</f>
        <v>20-25</v>
      </c>
      <c r="I2087">
        <v>2</v>
      </c>
      <c r="J2087">
        <v>4</v>
      </c>
      <c r="K2087" s="6">
        <v>11</v>
      </c>
      <c r="L2087" s="2">
        <v>3.99</v>
      </c>
      <c r="M2087" s="6">
        <v>21</v>
      </c>
      <c r="N2087" t="str" cm="1">
        <f t="array" ref="N2087">_xlfn.IFS(M2087&gt;=50,"50-60 Days", M2087&gt;=40,"40-50 Days", M2087&gt;=30, "30-40 Days", M2087&gt;=20, "20-30 Days", M2087&gt;=10, "10-20 Days", M2087&gt;=0, "0-10 Days")</f>
        <v>20-30 Days</v>
      </c>
    </row>
    <row r="2088" spans="1:14">
      <c r="A2088">
        <v>2087</v>
      </c>
      <c r="B2088" t="s">
        <v>28</v>
      </c>
      <c r="C2088" s="5">
        <v>45356</v>
      </c>
      <c r="D2088" s="8">
        <v>45356</v>
      </c>
      <c r="E2088" s="8">
        <f>IF(B2088="Inactive", EDATE(D2088,K2088), "")</f>
        <v>45448</v>
      </c>
      <c r="F2088" t="s">
        <v>10</v>
      </c>
      <c r="G2088">
        <v>24.4</v>
      </c>
      <c r="H2088" t="str" cm="1">
        <f t="array" ref="H2088">_xlfn.IFS(G2088&gt;=20,"20-25", G2088&gt;=15,"15-20", G2088&gt;=10,"10-15", G2088&gt;=5,"5-10", G2088&gt;=1,"1-5", G2088&lt;1,"Less than 1")</f>
        <v>20-25</v>
      </c>
      <c r="I2088">
        <v>3</v>
      </c>
      <c r="J2088">
        <v>5</v>
      </c>
      <c r="K2088" s="6">
        <v>3</v>
      </c>
      <c r="L2088" s="2">
        <v>6.99</v>
      </c>
      <c r="M2088" s="6">
        <v>25</v>
      </c>
      <c r="N2088" t="str" cm="1">
        <f t="array" ref="N2088">_xlfn.IFS(M2088&gt;=50,"50-60 Days", M2088&gt;=40,"40-50 Days", M2088&gt;=30, "30-40 Days", M2088&gt;=20, "20-30 Days", M2088&gt;=10, "10-20 Days", M2088&gt;=0, "0-10 Days")</f>
        <v>20-30 Days</v>
      </c>
    </row>
    <row r="2089" spans="1:14">
      <c r="A2089">
        <v>2088</v>
      </c>
      <c r="B2089" t="s">
        <v>28</v>
      </c>
      <c r="C2089" s="5">
        <v>45490</v>
      </c>
      <c r="D2089" s="8">
        <v>45490</v>
      </c>
      <c r="E2089" s="8">
        <f>IF(B2089="Inactive", EDATE(D2089,K2089), "")</f>
        <v>45825</v>
      </c>
      <c r="F2089" t="s">
        <v>12</v>
      </c>
      <c r="G2089">
        <v>13.8</v>
      </c>
      <c r="H2089" t="str" cm="1">
        <f t="array" ref="H2089">_xlfn.IFS(G2089&gt;=20,"20-25", G2089&gt;=15,"15-20", G2089&gt;=10,"10-15", G2089&gt;=5,"5-10", G2089&gt;=1,"1-5", G2089&lt;1,"Less than 1")</f>
        <v>10-15</v>
      </c>
      <c r="I2089">
        <v>8</v>
      </c>
      <c r="J2089">
        <v>0</v>
      </c>
      <c r="K2089" s="6">
        <v>11</v>
      </c>
      <c r="L2089" s="2">
        <v>1.99</v>
      </c>
      <c r="M2089" s="6">
        <v>36</v>
      </c>
      <c r="N2089" t="str" cm="1">
        <f t="array" ref="N2089">_xlfn.IFS(M2089&gt;=50,"50-60 Days", M2089&gt;=40,"40-50 Days", M2089&gt;=30, "30-40 Days", M2089&gt;=20, "20-30 Days", M2089&gt;=10, "10-20 Days", M2089&gt;=0, "0-10 Days")</f>
        <v>30-40 Days</v>
      </c>
    </row>
    <row r="2090" spans="1:14">
      <c r="A2090">
        <v>2089</v>
      </c>
      <c r="B2090" t="s">
        <v>28</v>
      </c>
      <c r="C2090" s="5">
        <v>45309</v>
      </c>
      <c r="D2090" s="8">
        <v>45309</v>
      </c>
      <c r="E2090" s="8">
        <f>IF(B2090="Inactive", EDATE(D2090,K2090), "")</f>
        <v>45430</v>
      </c>
      <c r="F2090" t="s">
        <v>10</v>
      </c>
      <c r="G2090">
        <v>18.600000000000001</v>
      </c>
      <c r="H2090" t="str" cm="1">
        <f t="array" ref="H2090">_xlfn.IFS(G2090&gt;=20,"20-25", G2090&gt;=15,"15-20", G2090&gt;=10,"10-15", G2090&gt;=5,"5-10", G2090&gt;=1,"1-5", G2090&lt;1,"Less than 1")</f>
        <v>15-20</v>
      </c>
      <c r="I2090">
        <v>5</v>
      </c>
      <c r="J2090">
        <v>3</v>
      </c>
      <c r="K2090" s="6">
        <v>4</v>
      </c>
      <c r="L2090" s="2">
        <v>6.99</v>
      </c>
      <c r="M2090" s="6">
        <v>7</v>
      </c>
      <c r="N2090" t="str" cm="1">
        <f t="array" ref="N2090">_xlfn.IFS(M2090&gt;=50,"50-60 Days", M2090&gt;=40,"40-50 Days", M2090&gt;=30, "30-40 Days", M2090&gt;=20, "20-30 Days", M2090&gt;=10, "10-20 Days", M2090&gt;=0, "0-10 Days")</f>
        <v>0-10 Days</v>
      </c>
    </row>
    <row r="2091" spans="1:14">
      <c r="A2091">
        <v>2090</v>
      </c>
      <c r="B2091" t="s">
        <v>28</v>
      </c>
      <c r="C2091" s="5">
        <v>45344</v>
      </c>
      <c r="D2091" s="8">
        <v>45344</v>
      </c>
      <c r="E2091" s="8">
        <f>IF(B2091="Inactive", EDATE(D2091,K2091), "")</f>
        <v>45618</v>
      </c>
      <c r="F2091" t="s">
        <v>10</v>
      </c>
      <c r="G2091">
        <v>13.3</v>
      </c>
      <c r="H2091" t="str" cm="1">
        <f t="array" ref="H2091">_xlfn.IFS(G2091&gt;=20,"20-25", G2091&gt;=15,"15-20", G2091&gt;=10,"10-15", G2091&gt;=5,"5-10", G2091&gt;=1,"1-5", G2091&lt;1,"Less than 1")</f>
        <v>10-15</v>
      </c>
      <c r="I2091">
        <v>6</v>
      </c>
      <c r="J2091">
        <v>1</v>
      </c>
      <c r="K2091" s="6">
        <v>9</v>
      </c>
      <c r="L2091" s="2">
        <v>6.99</v>
      </c>
      <c r="M2091" s="6">
        <v>36</v>
      </c>
      <c r="N2091" t="str" cm="1">
        <f t="array" ref="N2091">_xlfn.IFS(M2091&gt;=50,"50-60 Days", M2091&gt;=40,"40-50 Days", M2091&gt;=30, "30-40 Days", M2091&gt;=20, "20-30 Days", M2091&gt;=10, "10-20 Days", M2091&gt;=0, "0-10 Days")</f>
        <v>30-40 Days</v>
      </c>
    </row>
    <row r="2092" spans="1:14">
      <c r="A2092">
        <v>2091</v>
      </c>
      <c r="B2092" t="s">
        <v>29</v>
      </c>
      <c r="C2092" s="5">
        <v>45119</v>
      </c>
      <c r="D2092" s="8">
        <v>45119</v>
      </c>
      <c r="E2092" s="8" t="str">
        <f>IF(B2092="Inactive", EDATE(D2092,K2092), "")</f>
        <v/>
      </c>
      <c r="F2092" t="s">
        <v>10</v>
      </c>
      <c r="G2092">
        <v>6</v>
      </c>
      <c r="H2092" t="str" cm="1">
        <f t="array" ref="H2092">_xlfn.IFS(G2092&gt;=20,"20-25", G2092&gt;=15,"15-20", G2092&gt;=10,"10-15", G2092&gt;=5,"5-10", G2092&gt;=1,"1-5", G2092&lt;1,"Less than 1")</f>
        <v>5-10</v>
      </c>
      <c r="I2092">
        <v>7</v>
      </c>
      <c r="J2092">
        <v>1</v>
      </c>
      <c r="K2092" s="6">
        <v>3</v>
      </c>
      <c r="L2092" s="2">
        <v>6.99</v>
      </c>
      <c r="M2092" s="6">
        <v>53</v>
      </c>
      <c r="N2092" t="str" cm="1">
        <f t="array" ref="N2092">_xlfn.IFS(M2092&gt;=50,"50-60 Days", M2092&gt;=40,"40-50 Days", M2092&gt;=30, "30-40 Days", M2092&gt;=20, "20-30 Days", M2092&gt;=10, "10-20 Days", M2092&gt;=0, "0-10 Days")</f>
        <v>50-60 Days</v>
      </c>
    </row>
    <row r="2093" spans="1:14">
      <c r="A2093">
        <v>2092</v>
      </c>
      <c r="B2093" t="s">
        <v>28</v>
      </c>
      <c r="C2093" s="5">
        <v>45000</v>
      </c>
      <c r="D2093" s="8">
        <v>45000</v>
      </c>
      <c r="E2093" s="8">
        <f>IF(B2093="Inactive", EDATE(D2093,K2093), "")</f>
        <v>45031</v>
      </c>
      <c r="F2093" t="s">
        <v>10</v>
      </c>
      <c r="G2093">
        <v>22.4</v>
      </c>
      <c r="H2093" t="str" cm="1">
        <f t="array" ref="H2093">_xlfn.IFS(G2093&gt;=20,"20-25", G2093&gt;=15,"15-20", G2093&gt;=10,"10-15", G2093&gt;=5,"5-10", G2093&gt;=1,"1-5", G2093&lt;1,"Less than 1")</f>
        <v>20-25</v>
      </c>
      <c r="I2093">
        <v>8</v>
      </c>
      <c r="J2093">
        <v>0</v>
      </c>
      <c r="K2093" s="6">
        <v>1</v>
      </c>
      <c r="L2093" s="2">
        <v>6.99</v>
      </c>
      <c r="M2093" s="6">
        <v>31</v>
      </c>
      <c r="N2093" t="str" cm="1">
        <f t="array" ref="N2093">_xlfn.IFS(M2093&gt;=50,"50-60 Days", M2093&gt;=40,"40-50 Days", M2093&gt;=30, "30-40 Days", M2093&gt;=20, "20-30 Days", M2093&gt;=10, "10-20 Days", M2093&gt;=0, "0-10 Days")</f>
        <v>30-40 Days</v>
      </c>
    </row>
    <row r="2094" spans="1:14">
      <c r="A2094">
        <v>2093</v>
      </c>
      <c r="B2094" t="s">
        <v>28</v>
      </c>
      <c r="C2094" s="5">
        <v>45580</v>
      </c>
      <c r="D2094" s="8">
        <v>45580</v>
      </c>
      <c r="E2094" s="8">
        <f>IF(B2094="Inactive", EDATE(D2094,K2094), "")</f>
        <v>45792</v>
      </c>
      <c r="F2094" t="s">
        <v>10</v>
      </c>
      <c r="G2094">
        <v>6.4</v>
      </c>
      <c r="H2094" t="str" cm="1">
        <f t="array" ref="H2094">_xlfn.IFS(G2094&gt;=20,"20-25", G2094&gt;=15,"15-20", G2094&gt;=10,"10-15", G2094&gt;=5,"5-10", G2094&gt;=1,"1-5", G2094&lt;1,"Less than 1")</f>
        <v>5-10</v>
      </c>
      <c r="I2094">
        <v>6</v>
      </c>
      <c r="J2094">
        <v>2</v>
      </c>
      <c r="K2094" s="6">
        <v>7</v>
      </c>
      <c r="L2094" s="2">
        <v>6.99</v>
      </c>
      <c r="M2094" s="6">
        <v>52</v>
      </c>
      <c r="N2094" t="str" cm="1">
        <f t="array" ref="N2094">_xlfn.IFS(M2094&gt;=50,"50-60 Days", M2094&gt;=40,"40-50 Days", M2094&gt;=30, "30-40 Days", M2094&gt;=20, "20-30 Days", M2094&gt;=10, "10-20 Days", M2094&gt;=0, "0-10 Days")</f>
        <v>50-60 Days</v>
      </c>
    </row>
    <row r="2095" spans="1:14">
      <c r="A2095">
        <v>2094</v>
      </c>
      <c r="B2095" t="s">
        <v>28</v>
      </c>
      <c r="C2095" s="5">
        <v>45623</v>
      </c>
      <c r="D2095" s="8">
        <v>45623</v>
      </c>
      <c r="E2095" s="8">
        <f>IF(B2095="Inactive", EDATE(D2095,K2095), "")</f>
        <v>45774</v>
      </c>
      <c r="F2095" t="s">
        <v>12</v>
      </c>
      <c r="G2095">
        <v>1.1000000000000001</v>
      </c>
      <c r="H2095" t="str" cm="1">
        <f t="array" ref="H2095">_xlfn.IFS(G2095&gt;=20,"20-25", G2095&gt;=15,"15-20", G2095&gt;=10,"10-15", G2095&gt;=5,"5-10", G2095&gt;=1,"1-5", G2095&lt;1,"Less than 1")</f>
        <v>1-5</v>
      </c>
      <c r="I2095">
        <v>0</v>
      </c>
      <c r="J2095">
        <v>2</v>
      </c>
      <c r="K2095" s="6">
        <v>5</v>
      </c>
      <c r="L2095" s="2">
        <v>1.99</v>
      </c>
      <c r="M2095" s="6">
        <v>7</v>
      </c>
      <c r="N2095" t="str" cm="1">
        <f t="array" ref="N2095">_xlfn.IFS(M2095&gt;=50,"50-60 Days", M2095&gt;=40,"40-50 Days", M2095&gt;=30, "30-40 Days", M2095&gt;=20, "20-30 Days", M2095&gt;=10, "10-20 Days", M2095&gt;=0, "0-10 Days")</f>
        <v>0-10 Days</v>
      </c>
    </row>
    <row r="2096" spans="1:14">
      <c r="A2096">
        <v>2095</v>
      </c>
      <c r="B2096" t="s">
        <v>28</v>
      </c>
      <c r="C2096" s="5">
        <v>45339</v>
      </c>
      <c r="D2096" s="8">
        <v>45339</v>
      </c>
      <c r="E2096" s="8">
        <f>IF(B2096="Inactive", EDATE(D2096,K2096), "")</f>
        <v>45399</v>
      </c>
      <c r="F2096" t="s">
        <v>12</v>
      </c>
      <c r="G2096">
        <v>6.7</v>
      </c>
      <c r="H2096" t="str" cm="1">
        <f t="array" ref="H2096">_xlfn.IFS(G2096&gt;=20,"20-25", G2096&gt;=15,"15-20", G2096&gt;=10,"10-15", G2096&gt;=5,"5-10", G2096&gt;=1,"1-5", G2096&lt;1,"Less than 1")</f>
        <v>5-10</v>
      </c>
      <c r="I2096">
        <v>1</v>
      </c>
      <c r="J2096">
        <v>3</v>
      </c>
      <c r="K2096" s="6">
        <v>2</v>
      </c>
      <c r="L2096" s="2">
        <v>1.99</v>
      </c>
      <c r="M2096" s="6">
        <v>60</v>
      </c>
      <c r="N2096" t="str" cm="1">
        <f t="array" ref="N2096">_xlfn.IFS(M2096&gt;=50,"50-60 Days", M2096&gt;=40,"40-50 Days", M2096&gt;=30, "30-40 Days", M2096&gt;=20, "20-30 Days", M2096&gt;=10, "10-20 Days", M2096&gt;=0, "0-10 Days")</f>
        <v>50-60 Days</v>
      </c>
    </row>
    <row r="2097" spans="1:14">
      <c r="A2097">
        <v>2096</v>
      </c>
      <c r="B2097" t="s">
        <v>29</v>
      </c>
      <c r="C2097" s="5">
        <v>45530</v>
      </c>
      <c r="D2097" s="8">
        <v>45530</v>
      </c>
      <c r="E2097" s="8" t="str">
        <f>IF(B2097="Inactive", EDATE(D2097,K2097), "")</f>
        <v/>
      </c>
      <c r="F2097" t="s">
        <v>12</v>
      </c>
      <c r="G2097">
        <v>8.9</v>
      </c>
      <c r="H2097" t="str" cm="1">
        <f t="array" ref="H2097">_xlfn.IFS(G2097&gt;=20,"20-25", G2097&gt;=15,"15-20", G2097&gt;=10,"10-15", G2097&gt;=5,"5-10", G2097&gt;=1,"1-5", G2097&lt;1,"Less than 1")</f>
        <v>5-10</v>
      </c>
      <c r="I2097">
        <v>5</v>
      </c>
      <c r="J2097">
        <v>1</v>
      </c>
      <c r="K2097" s="6">
        <v>7</v>
      </c>
      <c r="L2097" s="2">
        <v>1.99</v>
      </c>
      <c r="M2097" s="6">
        <v>19</v>
      </c>
      <c r="N2097" t="str" cm="1">
        <f t="array" ref="N2097">_xlfn.IFS(M2097&gt;=50,"50-60 Days", M2097&gt;=40,"40-50 Days", M2097&gt;=30, "30-40 Days", M2097&gt;=20, "20-30 Days", M2097&gt;=10, "10-20 Days", M2097&gt;=0, "0-10 Days")</f>
        <v>10-20 Days</v>
      </c>
    </row>
    <row r="2098" spans="1:14">
      <c r="A2098">
        <v>2097</v>
      </c>
      <c r="B2098" t="s">
        <v>29</v>
      </c>
      <c r="C2098" s="5">
        <v>45188</v>
      </c>
      <c r="D2098" s="8">
        <v>45188</v>
      </c>
      <c r="E2098" s="8" t="str">
        <f>IF(B2098="Inactive", EDATE(D2098,K2098), "")</f>
        <v/>
      </c>
      <c r="F2098" t="s">
        <v>14</v>
      </c>
      <c r="G2098">
        <v>17.100000000000001</v>
      </c>
      <c r="H2098" t="str" cm="1">
        <f t="array" ref="H2098">_xlfn.IFS(G2098&gt;=20,"20-25", G2098&gt;=15,"15-20", G2098&gt;=10,"10-15", G2098&gt;=5,"5-10", G2098&gt;=1,"1-5", G2098&lt;1,"Less than 1")</f>
        <v>15-20</v>
      </c>
      <c r="I2098">
        <v>0</v>
      </c>
      <c r="J2098">
        <v>3</v>
      </c>
      <c r="K2098" s="6">
        <v>1</v>
      </c>
      <c r="L2098" s="2">
        <v>3.99</v>
      </c>
      <c r="M2098" s="6">
        <v>20</v>
      </c>
      <c r="N2098" t="str" cm="1">
        <f t="array" ref="N2098">_xlfn.IFS(M2098&gt;=50,"50-60 Days", M2098&gt;=40,"40-50 Days", M2098&gt;=30, "30-40 Days", M2098&gt;=20, "20-30 Days", M2098&gt;=10, "10-20 Days", M2098&gt;=0, "0-10 Days")</f>
        <v>20-30 Days</v>
      </c>
    </row>
    <row r="2099" spans="1:14">
      <c r="A2099">
        <v>2098</v>
      </c>
      <c r="B2099" t="s">
        <v>28</v>
      </c>
      <c r="C2099" s="5">
        <v>45632</v>
      </c>
      <c r="D2099" s="8">
        <v>45632</v>
      </c>
      <c r="E2099" s="8">
        <f>IF(B2099="Inactive", EDATE(D2099,K2099), "")</f>
        <v>45967</v>
      </c>
      <c r="F2099" t="s">
        <v>10</v>
      </c>
      <c r="G2099">
        <v>21.6</v>
      </c>
      <c r="H2099" t="str" cm="1">
        <f t="array" ref="H2099">_xlfn.IFS(G2099&gt;=20,"20-25", G2099&gt;=15,"15-20", G2099&gt;=10,"10-15", G2099&gt;=5,"5-10", G2099&gt;=1,"1-5", G2099&lt;1,"Less than 1")</f>
        <v>20-25</v>
      </c>
      <c r="I2099">
        <v>6</v>
      </c>
      <c r="J2099">
        <v>4</v>
      </c>
      <c r="K2099" s="6">
        <v>11</v>
      </c>
      <c r="L2099" s="2">
        <v>6.99</v>
      </c>
      <c r="M2099" s="6">
        <v>49</v>
      </c>
      <c r="N2099" t="str" cm="1">
        <f t="array" ref="N2099">_xlfn.IFS(M2099&gt;=50,"50-60 Days", M2099&gt;=40,"40-50 Days", M2099&gt;=30, "30-40 Days", M2099&gt;=20, "20-30 Days", M2099&gt;=10, "10-20 Days", M2099&gt;=0, "0-10 Days")</f>
        <v>40-50 Days</v>
      </c>
    </row>
    <row r="2100" spans="1:14">
      <c r="A2100">
        <v>2099</v>
      </c>
      <c r="B2100" t="s">
        <v>28</v>
      </c>
      <c r="C2100" s="5">
        <v>45426</v>
      </c>
      <c r="D2100" s="8">
        <v>45426</v>
      </c>
      <c r="E2100" s="8">
        <f>IF(B2100="Inactive", EDATE(D2100,K2100), "")</f>
        <v>45671</v>
      </c>
      <c r="F2100" t="s">
        <v>10</v>
      </c>
      <c r="G2100">
        <v>23.8</v>
      </c>
      <c r="H2100" t="str" cm="1">
        <f t="array" ref="H2100">_xlfn.IFS(G2100&gt;=20,"20-25", G2100&gt;=15,"15-20", G2100&gt;=10,"10-15", G2100&gt;=5,"5-10", G2100&gt;=1,"1-5", G2100&lt;1,"Less than 1")</f>
        <v>20-25</v>
      </c>
      <c r="I2100">
        <v>7</v>
      </c>
      <c r="J2100">
        <v>0</v>
      </c>
      <c r="K2100" s="6">
        <v>8</v>
      </c>
      <c r="L2100" s="2">
        <v>6.99</v>
      </c>
      <c r="M2100" s="6">
        <v>24</v>
      </c>
      <c r="N2100" t="str" cm="1">
        <f t="array" ref="N2100">_xlfn.IFS(M2100&gt;=50,"50-60 Days", M2100&gt;=40,"40-50 Days", M2100&gt;=30, "30-40 Days", M2100&gt;=20, "20-30 Days", M2100&gt;=10, "10-20 Days", M2100&gt;=0, "0-10 Days")</f>
        <v>20-30 Days</v>
      </c>
    </row>
    <row r="2101" spans="1:14">
      <c r="A2101">
        <v>2100</v>
      </c>
      <c r="B2101" t="s">
        <v>29</v>
      </c>
      <c r="C2101" s="5">
        <v>45573</v>
      </c>
      <c r="D2101" s="8">
        <v>45573</v>
      </c>
      <c r="E2101" s="8" t="str">
        <f>IF(B2101="Inactive", EDATE(D2101,K2101), "")</f>
        <v/>
      </c>
      <c r="F2101" t="s">
        <v>12</v>
      </c>
      <c r="G2101">
        <v>6.7</v>
      </c>
      <c r="H2101" t="str" cm="1">
        <f t="array" ref="H2101">_xlfn.IFS(G2101&gt;=20,"20-25", G2101&gt;=15,"15-20", G2101&gt;=10,"10-15", G2101&gt;=5,"5-10", G2101&gt;=1,"1-5", G2101&lt;1,"Less than 1")</f>
        <v>5-10</v>
      </c>
      <c r="I2101">
        <v>1</v>
      </c>
      <c r="J2101">
        <v>0</v>
      </c>
      <c r="K2101" s="6">
        <v>11</v>
      </c>
      <c r="L2101" s="2">
        <v>1.99</v>
      </c>
      <c r="M2101" s="6">
        <v>15</v>
      </c>
      <c r="N2101" t="str" cm="1">
        <f t="array" ref="N2101">_xlfn.IFS(M2101&gt;=50,"50-60 Days", M2101&gt;=40,"40-50 Days", M2101&gt;=30, "30-40 Days", M2101&gt;=20, "20-30 Days", M2101&gt;=10, "10-20 Days", M2101&gt;=0, "0-10 Days")</f>
        <v>10-20 Days</v>
      </c>
    </row>
    <row r="2102" spans="1:14">
      <c r="A2102">
        <v>2101</v>
      </c>
      <c r="B2102" t="s">
        <v>29</v>
      </c>
      <c r="C2102" s="5">
        <v>44962</v>
      </c>
      <c r="D2102" s="8">
        <v>44962</v>
      </c>
      <c r="E2102" s="8" t="str">
        <f>IF(B2102="Inactive", EDATE(D2102,K2102), "")</f>
        <v/>
      </c>
      <c r="F2102" t="s">
        <v>12</v>
      </c>
      <c r="G2102">
        <v>9.8000000000000007</v>
      </c>
      <c r="H2102" t="str" cm="1">
        <f t="array" ref="H2102">_xlfn.IFS(G2102&gt;=20,"20-25", G2102&gt;=15,"15-20", G2102&gt;=10,"10-15", G2102&gt;=5,"5-10", G2102&gt;=1,"1-5", G2102&lt;1,"Less than 1")</f>
        <v>5-10</v>
      </c>
      <c r="I2102">
        <v>5</v>
      </c>
      <c r="J2102">
        <v>1</v>
      </c>
      <c r="K2102" s="6">
        <v>10</v>
      </c>
      <c r="L2102" s="2">
        <v>1.99</v>
      </c>
      <c r="M2102" s="6">
        <v>38</v>
      </c>
      <c r="N2102" t="str" cm="1">
        <f t="array" ref="N2102">_xlfn.IFS(M2102&gt;=50,"50-60 Days", M2102&gt;=40,"40-50 Days", M2102&gt;=30, "30-40 Days", M2102&gt;=20, "20-30 Days", M2102&gt;=10, "10-20 Days", M2102&gt;=0, "0-10 Days")</f>
        <v>30-40 Days</v>
      </c>
    </row>
    <row r="2103" spans="1:14">
      <c r="A2103">
        <v>2102</v>
      </c>
      <c r="B2103" t="s">
        <v>28</v>
      </c>
      <c r="C2103" s="5">
        <v>44937</v>
      </c>
      <c r="D2103" s="8">
        <v>44937</v>
      </c>
      <c r="E2103" s="8">
        <f>IF(B2103="Inactive", EDATE(D2103,K2103), "")</f>
        <v>45149</v>
      </c>
      <c r="F2103" t="s">
        <v>14</v>
      </c>
      <c r="G2103">
        <v>14</v>
      </c>
      <c r="H2103" t="str" cm="1">
        <f t="array" ref="H2103">_xlfn.IFS(G2103&gt;=20,"20-25", G2103&gt;=15,"15-20", G2103&gt;=10,"10-15", G2103&gt;=5,"5-10", G2103&gt;=1,"1-5", G2103&lt;1,"Less than 1")</f>
        <v>10-15</v>
      </c>
      <c r="I2103">
        <v>7</v>
      </c>
      <c r="J2103">
        <v>1</v>
      </c>
      <c r="K2103" s="6">
        <v>7</v>
      </c>
      <c r="L2103" s="2">
        <v>3.99</v>
      </c>
      <c r="M2103" s="6">
        <v>39</v>
      </c>
      <c r="N2103" t="str" cm="1">
        <f t="array" ref="N2103">_xlfn.IFS(M2103&gt;=50,"50-60 Days", M2103&gt;=40,"40-50 Days", M2103&gt;=30, "30-40 Days", M2103&gt;=20, "20-30 Days", M2103&gt;=10, "10-20 Days", M2103&gt;=0, "0-10 Days")</f>
        <v>30-40 Days</v>
      </c>
    </row>
    <row r="2104" spans="1:14">
      <c r="A2104">
        <v>2103</v>
      </c>
      <c r="B2104" t="s">
        <v>28</v>
      </c>
      <c r="C2104" s="5">
        <v>45112</v>
      </c>
      <c r="D2104" s="8">
        <v>45112</v>
      </c>
      <c r="E2104" s="8">
        <f>IF(B2104="Inactive", EDATE(D2104,K2104), "")</f>
        <v>45204</v>
      </c>
      <c r="F2104" t="s">
        <v>10</v>
      </c>
      <c r="G2104">
        <v>15</v>
      </c>
      <c r="H2104" t="str" cm="1">
        <f t="array" ref="H2104">_xlfn.IFS(G2104&gt;=20,"20-25", G2104&gt;=15,"15-20", G2104&gt;=10,"10-15", G2104&gt;=5,"5-10", G2104&gt;=1,"1-5", G2104&lt;1,"Less than 1")</f>
        <v>15-20</v>
      </c>
      <c r="I2104">
        <v>0</v>
      </c>
      <c r="J2104">
        <v>4</v>
      </c>
      <c r="K2104" s="6">
        <v>3</v>
      </c>
      <c r="L2104" s="2">
        <v>6.99</v>
      </c>
      <c r="M2104" s="6">
        <v>28</v>
      </c>
      <c r="N2104" t="str" cm="1">
        <f t="array" ref="N2104">_xlfn.IFS(M2104&gt;=50,"50-60 Days", M2104&gt;=40,"40-50 Days", M2104&gt;=30, "30-40 Days", M2104&gt;=20, "20-30 Days", M2104&gt;=10, "10-20 Days", M2104&gt;=0, "0-10 Days")</f>
        <v>20-30 Days</v>
      </c>
    </row>
    <row r="2105" spans="1:14">
      <c r="A2105">
        <v>2104</v>
      </c>
      <c r="B2105" t="s">
        <v>28</v>
      </c>
      <c r="C2105" s="5">
        <v>45186</v>
      </c>
      <c r="D2105" s="8">
        <v>45186</v>
      </c>
      <c r="E2105" s="8">
        <f>IF(B2105="Inactive", EDATE(D2105,K2105), "")</f>
        <v>45368</v>
      </c>
      <c r="F2105" t="s">
        <v>14</v>
      </c>
      <c r="G2105">
        <v>17.600000000000001</v>
      </c>
      <c r="H2105" t="str" cm="1">
        <f t="array" ref="H2105">_xlfn.IFS(G2105&gt;=20,"20-25", G2105&gt;=15,"15-20", G2105&gt;=10,"10-15", G2105&gt;=5,"5-10", G2105&gt;=1,"1-5", G2105&lt;1,"Less than 1")</f>
        <v>15-20</v>
      </c>
      <c r="I2105">
        <v>6</v>
      </c>
      <c r="J2105">
        <v>4</v>
      </c>
      <c r="K2105" s="6">
        <v>6</v>
      </c>
      <c r="L2105" s="2">
        <v>3.99</v>
      </c>
      <c r="M2105" s="6">
        <v>41</v>
      </c>
      <c r="N2105" t="str" cm="1">
        <f t="array" ref="N2105">_xlfn.IFS(M2105&gt;=50,"50-60 Days", M2105&gt;=40,"40-50 Days", M2105&gt;=30, "30-40 Days", M2105&gt;=20, "20-30 Days", M2105&gt;=10, "10-20 Days", M2105&gt;=0, "0-10 Days")</f>
        <v>40-50 Days</v>
      </c>
    </row>
    <row r="2106" spans="1:14">
      <c r="A2106">
        <v>2105</v>
      </c>
      <c r="B2106" t="s">
        <v>28</v>
      </c>
      <c r="C2106" s="5">
        <v>45093</v>
      </c>
      <c r="D2106" s="8">
        <v>45093</v>
      </c>
      <c r="E2106" s="8">
        <f>IF(B2106="Inactive", EDATE(D2106,K2106), "")</f>
        <v>45185</v>
      </c>
      <c r="F2106" t="s">
        <v>10</v>
      </c>
      <c r="G2106">
        <v>17.600000000000001</v>
      </c>
      <c r="H2106" t="str" cm="1">
        <f t="array" ref="H2106">_xlfn.IFS(G2106&gt;=20,"20-25", G2106&gt;=15,"15-20", G2106&gt;=10,"10-15", G2106&gt;=5,"5-10", G2106&gt;=1,"1-5", G2106&lt;1,"Less than 1")</f>
        <v>15-20</v>
      </c>
      <c r="I2106">
        <v>7</v>
      </c>
      <c r="J2106">
        <v>1</v>
      </c>
      <c r="K2106" s="6">
        <v>3</v>
      </c>
      <c r="L2106" s="2">
        <v>6.99</v>
      </c>
      <c r="M2106" s="6">
        <v>57</v>
      </c>
      <c r="N2106" t="str" cm="1">
        <f t="array" ref="N2106">_xlfn.IFS(M2106&gt;=50,"50-60 Days", M2106&gt;=40,"40-50 Days", M2106&gt;=30, "30-40 Days", M2106&gt;=20, "20-30 Days", M2106&gt;=10, "10-20 Days", M2106&gt;=0, "0-10 Days")</f>
        <v>50-60 Days</v>
      </c>
    </row>
    <row r="2107" spans="1:14">
      <c r="A2107">
        <v>2106</v>
      </c>
      <c r="B2107" t="s">
        <v>28</v>
      </c>
      <c r="C2107" s="5">
        <v>45005</v>
      </c>
      <c r="D2107" s="8">
        <v>45005</v>
      </c>
      <c r="E2107" s="8">
        <f>IF(B2107="Inactive", EDATE(D2107,K2107), "")</f>
        <v>45219</v>
      </c>
      <c r="F2107" t="s">
        <v>12</v>
      </c>
      <c r="G2107">
        <v>15.2</v>
      </c>
      <c r="H2107" t="str" cm="1">
        <f t="array" ref="H2107">_xlfn.IFS(G2107&gt;=20,"20-25", G2107&gt;=15,"15-20", G2107&gt;=10,"10-15", G2107&gt;=5,"5-10", G2107&gt;=1,"1-5", G2107&lt;1,"Less than 1")</f>
        <v>15-20</v>
      </c>
      <c r="I2107">
        <v>6</v>
      </c>
      <c r="J2107">
        <v>0</v>
      </c>
      <c r="K2107" s="6">
        <v>7</v>
      </c>
      <c r="L2107" s="2">
        <v>1.99</v>
      </c>
      <c r="M2107" s="6">
        <v>43</v>
      </c>
      <c r="N2107" t="str" cm="1">
        <f t="array" ref="N2107">_xlfn.IFS(M2107&gt;=50,"50-60 Days", M2107&gt;=40,"40-50 Days", M2107&gt;=30, "30-40 Days", M2107&gt;=20, "20-30 Days", M2107&gt;=10, "10-20 Days", M2107&gt;=0, "0-10 Days")</f>
        <v>40-50 Days</v>
      </c>
    </row>
    <row r="2108" spans="1:14">
      <c r="A2108">
        <v>2107</v>
      </c>
      <c r="B2108" t="s">
        <v>29</v>
      </c>
      <c r="C2108" s="5">
        <v>45596</v>
      </c>
      <c r="D2108" s="8">
        <v>45596</v>
      </c>
      <c r="E2108" s="8" t="str">
        <f>IF(B2108="Inactive", EDATE(D2108,K2108), "")</f>
        <v/>
      </c>
      <c r="F2108" t="s">
        <v>12</v>
      </c>
      <c r="G2108">
        <v>12.4</v>
      </c>
      <c r="H2108" t="str" cm="1">
        <f t="array" ref="H2108">_xlfn.IFS(G2108&gt;=20,"20-25", G2108&gt;=15,"15-20", G2108&gt;=10,"10-15", G2108&gt;=5,"5-10", G2108&gt;=1,"1-5", G2108&lt;1,"Less than 1")</f>
        <v>10-15</v>
      </c>
      <c r="I2108">
        <v>0</v>
      </c>
      <c r="J2108">
        <v>3</v>
      </c>
      <c r="K2108" s="6">
        <v>11</v>
      </c>
      <c r="L2108" s="2">
        <v>1.99</v>
      </c>
      <c r="M2108" s="6">
        <v>49</v>
      </c>
      <c r="N2108" t="str" cm="1">
        <f t="array" ref="N2108">_xlfn.IFS(M2108&gt;=50,"50-60 Days", M2108&gt;=40,"40-50 Days", M2108&gt;=30, "30-40 Days", M2108&gt;=20, "20-30 Days", M2108&gt;=10, "10-20 Days", M2108&gt;=0, "0-10 Days")</f>
        <v>40-50 Days</v>
      </c>
    </row>
    <row r="2109" spans="1:14">
      <c r="A2109">
        <v>2108</v>
      </c>
      <c r="B2109" t="s">
        <v>29</v>
      </c>
      <c r="C2109" s="5">
        <v>45524</v>
      </c>
      <c r="D2109" s="8">
        <v>45524</v>
      </c>
      <c r="E2109" s="8" t="str">
        <f>IF(B2109="Inactive", EDATE(D2109,K2109), "")</f>
        <v/>
      </c>
      <c r="F2109" t="s">
        <v>12</v>
      </c>
      <c r="G2109">
        <v>1.6</v>
      </c>
      <c r="H2109" t="str" cm="1">
        <f t="array" ref="H2109">_xlfn.IFS(G2109&gt;=20,"20-25", G2109&gt;=15,"15-20", G2109&gt;=10,"10-15", G2109&gt;=5,"5-10", G2109&gt;=1,"1-5", G2109&lt;1,"Less than 1")</f>
        <v>1-5</v>
      </c>
      <c r="I2109">
        <v>2</v>
      </c>
      <c r="J2109">
        <v>1</v>
      </c>
      <c r="K2109" s="6">
        <v>9</v>
      </c>
      <c r="L2109" s="2">
        <v>1.99</v>
      </c>
      <c r="M2109" s="6">
        <v>21</v>
      </c>
      <c r="N2109" t="str" cm="1">
        <f t="array" ref="N2109">_xlfn.IFS(M2109&gt;=50,"50-60 Days", M2109&gt;=40,"40-50 Days", M2109&gt;=30, "30-40 Days", M2109&gt;=20, "20-30 Days", M2109&gt;=10, "10-20 Days", M2109&gt;=0, "0-10 Days")</f>
        <v>20-30 Days</v>
      </c>
    </row>
    <row r="2110" spans="1:14">
      <c r="A2110">
        <v>2109</v>
      </c>
      <c r="B2110" t="s">
        <v>29</v>
      </c>
      <c r="C2110" s="5">
        <v>45546</v>
      </c>
      <c r="D2110" s="8">
        <v>45546</v>
      </c>
      <c r="E2110" s="8" t="str">
        <f>IF(B2110="Inactive", EDATE(D2110,K2110), "")</f>
        <v/>
      </c>
      <c r="F2110" t="s">
        <v>14</v>
      </c>
      <c r="G2110">
        <v>18</v>
      </c>
      <c r="H2110" t="str" cm="1">
        <f t="array" ref="H2110">_xlfn.IFS(G2110&gt;=20,"20-25", G2110&gt;=15,"15-20", G2110&gt;=10,"10-15", G2110&gt;=5,"5-10", G2110&gt;=1,"1-5", G2110&lt;1,"Less than 1")</f>
        <v>15-20</v>
      </c>
      <c r="I2110">
        <v>1</v>
      </c>
      <c r="J2110">
        <v>0</v>
      </c>
      <c r="K2110" s="6">
        <v>5</v>
      </c>
      <c r="L2110" s="2">
        <v>3.99</v>
      </c>
      <c r="M2110" s="6">
        <v>10</v>
      </c>
      <c r="N2110" t="str" cm="1">
        <f t="array" ref="N2110">_xlfn.IFS(M2110&gt;=50,"50-60 Days", M2110&gt;=40,"40-50 Days", M2110&gt;=30, "30-40 Days", M2110&gt;=20, "20-30 Days", M2110&gt;=10, "10-20 Days", M2110&gt;=0, "0-10 Days")</f>
        <v>10-20 Days</v>
      </c>
    </row>
    <row r="2111" spans="1:14">
      <c r="A2111">
        <v>2110</v>
      </c>
      <c r="B2111" t="s">
        <v>28</v>
      </c>
      <c r="C2111" s="5">
        <v>45464</v>
      </c>
      <c r="D2111" s="8">
        <v>45464</v>
      </c>
      <c r="E2111" s="8">
        <f>IF(B2111="Inactive", EDATE(D2111,K2111), "")</f>
        <v>45494</v>
      </c>
      <c r="F2111" t="s">
        <v>10</v>
      </c>
      <c r="G2111">
        <v>11.2</v>
      </c>
      <c r="H2111" t="str" cm="1">
        <f t="array" ref="H2111">_xlfn.IFS(G2111&gt;=20,"20-25", G2111&gt;=15,"15-20", G2111&gt;=10,"10-15", G2111&gt;=5,"5-10", G2111&gt;=1,"1-5", G2111&lt;1,"Less than 1")</f>
        <v>10-15</v>
      </c>
      <c r="I2111">
        <v>5</v>
      </c>
      <c r="J2111">
        <v>5</v>
      </c>
      <c r="K2111" s="6">
        <v>1</v>
      </c>
      <c r="L2111" s="2">
        <v>6.99</v>
      </c>
      <c r="M2111" s="6">
        <v>27</v>
      </c>
      <c r="N2111" t="str" cm="1">
        <f t="array" ref="N2111">_xlfn.IFS(M2111&gt;=50,"50-60 Days", M2111&gt;=40,"40-50 Days", M2111&gt;=30, "30-40 Days", M2111&gt;=20, "20-30 Days", M2111&gt;=10, "10-20 Days", M2111&gt;=0, "0-10 Days")</f>
        <v>20-30 Days</v>
      </c>
    </row>
    <row r="2112" spans="1:14">
      <c r="A2112">
        <v>2111</v>
      </c>
      <c r="B2112" t="s">
        <v>28</v>
      </c>
      <c r="C2112" s="5">
        <v>45373</v>
      </c>
      <c r="D2112" s="8">
        <v>45373</v>
      </c>
      <c r="E2112" s="8">
        <f>IF(B2112="Inactive", EDATE(D2112,K2112), "")</f>
        <v>45618</v>
      </c>
      <c r="F2112" t="s">
        <v>10</v>
      </c>
      <c r="G2112">
        <v>16.100000000000001</v>
      </c>
      <c r="H2112" t="str" cm="1">
        <f t="array" ref="H2112">_xlfn.IFS(G2112&gt;=20,"20-25", G2112&gt;=15,"15-20", G2112&gt;=10,"10-15", G2112&gt;=5,"5-10", G2112&gt;=1,"1-5", G2112&lt;1,"Less than 1")</f>
        <v>15-20</v>
      </c>
      <c r="I2112">
        <v>1</v>
      </c>
      <c r="J2112">
        <v>3</v>
      </c>
      <c r="K2112" s="6">
        <v>8</v>
      </c>
      <c r="L2112" s="2">
        <v>6.99</v>
      </c>
      <c r="M2112" s="6">
        <v>30</v>
      </c>
      <c r="N2112" t="str" cm="1">
        <f t="array" ref="N2112">_xlfn.IFS(M2112&gt;=50,"50-60 Days", M2112&gt;=40,"40-50 Days", M2112&gt;=30, "30-40 Days", M2112&gt;=20, "20-30 Days", M2112&gt;=10, "10-20 Days", M2112&gt;=0, "0-10 Days")</f>
        <v>30-40 Days</v>
      </c>
    </row>
    <row r="2113" spans="1:14">
      <c r="A2113">
        <v>2112</v>
      </c>
      <c r="B2113" t="s">
        <v>29</v>
      </c>
      <c r="C2113" s="5">
        <v>45293</v>
      </c>
      <c r="D2113" s="8">
        <v>45293</v>
      </c>
      <c r="E2113" s="8" t="str">
        <f>IF(B2113="Inactive", EDATE(D2113,K2113), "")</f>
        <v/>
      </c>
      <c r="F2113" t="s">
        <v>10</v>
      </c>
      <c r="G2113">
        <v>2.1</v>
      </c>
      <c r="H2113" t="str" cm="1">
        <f t="array" ref="H2113">_xlfn.IFS(G2113&gt;=20,"20-25", G2113&gt;=15,"15-20", G2113&gt;=10,"10-15", G2113&gt;=5,"5-10", G2113&gt;=1,"1-5", G2113&lt;1,"Less than 1")</f>
        <v>1-5</v>
      </c>
      <c r="I2113">
        <v>1</v>
      </c>
      <c r="J2113">
        <v>2</v>
      </c>
      <c r="K2113" s="6">
        <v>10</v>
      </c>
      <c r="L2113" s="2">
        <v>6.99</v>
      </c>
      <c r="M2113" s="6">
        <v>56</v>
      </c>
      <c r="N2113" t="str" cm="1">
        <f t="array" ref="N2113">_xlfn.IFS(M2113&gt;=50,"50-60 Days", M2113&gt;=40,"40-50 Days", M2113&gt;=30, "30-40 Days", M2113&gt;=20, "20-30 Days", M2113&gt;=10, "10-20 Days", M2113&gt;=0, "0-10 Days")</f>
        <v>50-60 Days</v>
      </c>
    </row>
    <row r="2114" spans="1:14">
      <c r="A2114">
        <v>2113</v>
      </c>
      <c r="B2114" t="s">
        <v>28</v>
      </c>
      <c r="C2114" s="5">
        <v>45015</v>
      </c>
      <c r="D2114" s="8">
        <v>45015</v>
      </c>
      <c r="E2114" s="8">
        <f>IF(B2114="Inactive", EDATE(D2114,K2114), "")</f>
        <v>45290</v>
      </c>
      <c r="F2114" t="s">
        <v>14</v>
      </c>
      <c r="G2114">
        <v>12.9</v>
      </c>
      <c r="H2114" t="str" cm="1">
        <f t="array" ref="H2114">_xlfn.IFS(G2114&gt;=20,"20-25", G2114&gt;=15,"15-20", G2114&gt;=10,"10-15", G2114&gt;=5,"5-10", G2114&gt;=1,"1-5", G2114&lt;1,"Less than 1")</f>
        <v>10-15</v>
      </c>
      <c r="I2114">
        <v>3</v>
      </c>
      <c r="J2114">
        <v>1</v>
      </c>
      <c r="K2114" s="6">
        <v>9</v>
      </c>
      <c r="L2114" s="2">
        <v>3.99</v>
      </c>
      <c r="M2114" s="6">
        <v>7</v>
      </c>
      <c r="N2114" t="str" cm="1">
        <f t="array" ref="N2114">_xlfn.IFS(M2114&gt;=50,"50-60 Days", M2114&gt;=40,"40-50 Days", M2114&gt;=30, "30-40 Days", M2114&gt;=20, "20-30 Days", M2114&gt;=10, "10-20 Days", M2114&gt;=0, "0-10 Days")</f>
        <v>0-10 Days</v>
      </c>
    </row>
    <row r="2115" spans="1:14">
      <c r="A2115">
        <v>2114</v>
      </c>
      <c r="B2115" t="s">
        <v>28</v>
      </c>
      <c r="C2115" s="5">
        <v>45196</v>
      </c>
      <c r="D2115" s="8">
        <v>45196</v>
      </c>
      <c r="E2115" s="8">
        <f>IF(B2115="Inactive", EDATE(D2115,K2115), "")</f>
        <v>45318</v>
      </c>
      <c r="F2115" t="s">
        <v>10</v>
      </c>
      <c r="G2115">
        <v>16.8</v>
      </c>
      <c r="H2115" t="str" cm="1">
        <f t="array" ref="H2115">_xlfn.IFS(G2115&gt;=20,"20-25", G2115&gt;=15,"15-20", G2115&gt;=10,"10-15", G2115&gt;=5,"5-10", G2115&gt;=1,"1-5", G2115&lt;1,"Less than 1")</f>
        <v>15-20</v>
      </c>
      <c r="I2115">
        <v>7</v>
      </c>
      <c r="J2115">
        <v>5</v>
      </c>
      <c r="K2115" s="6">
        <v>4</v>
      </c>
      <c r="L2115" s="2">
        <v>6.99</v>
      </c>
      <c r="M2115" s="6">
        <v>34</v>
      </c>
      <c r="N2115" t="str" cm="1">
        <f t="array" ref="N2115">_xlfn.IFS(M2115&gt;=50,"50-60 Days", M2115&gt;=40,"40-50 Days", M2115&gt;=30, "30-40 Days", M2115&gt;=20, "20-30 Days", M2115&gt;=10, "10-20 Days", M2115&gt;=0, "0-10 Days")</f>
        <v>30-40 Days</v>
      </c>
    </row>
    <row r="2116" spans="1:14">
      <c r="A2116">
        <v>2115</v>
      </c>
      <c r="B2116" t="s">
        <v>28</v>
      </c>
      <c r="C2116" s="5">
        <v>44967</v>
      </c>
      <c r="D2116" s="8">
        <v>44967</v>
      </c>
      <c r="E2116" s="8">
        <f>IF(B2116="Inactive", EDATE(D2116,K2116), "")</f>
        <v>45026</v>
      </c>
      <c r="F2116" t="s">
        <v>14</v>
      </c>
      <c r="G2116">
        <v>24.3</v>
      </c>
      <c r="H2116" t="str" cm="1">
        <f t="array" ref="H2116">_xlfn.IFS(G2116&gt;=20,"20-25", G2116&gt;=15,"15-20", G2116&gt;=10,"10-15", G2116&gt;=5,"5-10", G2116&gt;=1,"1-5", G2116&lt;1,"Less than 1")</f>
        <v>20-25</v>
      </c>
      <c r="I2116">
        <v>2</v>
      </c>
      <c r="J2116">
        <v>4</v>
      </c>
      <c r="K2116" s="6">
        <v>2</v>
      </c>
      <c r="L2116" s="2">
        <v>3.99</v>
      </c>
      <c r="M2116" s="6">
        <v>26</v>
      </c>
      <c r="N2116" t="str" cm="1">
        <f t="array" ref="N2116">_xlfn.IFS(M2116&gt;=50,"50-60 Days", M2116&gt;=40,"40-50 Days", M2116&gt;=30, "30-40 Days", M2116&gt;=20, "20-30 Days", M2116&gt;=10, "10-20 Days", M2116&gt;=0, "0-10 Days")</f>
        <v>20-30 Days</v>
      </c>
    </row>
    <row r="2117" spans="1:14">
      <c r="A2117">
        <v>2116</v>
      </c>
      <c r="B2117" t="s">
        <v>28</v>
      </c>
      <c r="C2117" s="5">
        <v>45307</v>
      </c>
      <c r="D2117" s="8">
        <v>45307</v>
      </c>
      <c r="E2117" s="8">
        <f>IF(B2117="Inactive", EDATE(D2117,K2117), "")</f>
        <v>45459</v>
      </c>
      <c r="F2117" t="s">
        <v>12</v>
      </c>
      <c r="G2117">
        <v>4.0999999999999996</v>
      </c>
      <c r="H2117" t="str" cm="1">
        <f t="array" ref="H2117">_xlfn.IFS(G2117&gt;=20,"20-25", G2117&gt;=15,"15-20", G2117&gt;=10,"10-15", G2117&gt;=5,"5-10", G2117&gt;=1,"1-5", G2117&lt;1,"Less than 1")</f>
        <v>1-5</v>
      </c>
      <c r="I2117">
        <v>2</v>
      </c>
      <c r="J2117">
        <v>5</v>
      </c>
      <c r="K2117" s="6">
        <v>5</v>
      </c>
      <c r="L2117" s="2">
        <v>1.99</v>
      </c>
      <c r="M2117" s="6">
        <v>44</v>
      </c>
      <c r="N2117" t="str" cm="1">
        <f t="array" ref="N2117">_xlfn.IFS(M2117&gt;=50,"50-60 Days", M2117&gt;=40,"40-50 Days", M2117&gt;=30, "30-40 Days", M2117&gt;=20, "20-30 Days", M2117&gt;=10, "10-20 Days", M2117&gt;=0, "0-10 Days")</f>
        <v>40-50 Days</v>
      </c>
    </row>
    <row r="2118" spans="1:14">
      <c r="A2118">
        <v>2117</v>
      </c>
      <c r="B2118" t="s">
        <v>28</v>
      </c>
      <c r="C2118" s="5">
        <v>45470</v>
      </c>
      <c r="D2118" s="8">
        <v>45470</v>
      </c>
      <c r="E2118" s="8">
        <f>IF(B2118="Inactive", EDATE(D2118,K2118), "")</f>
        <v>45804</v>
      </c>
      <c r="F2118" t="s">
        <v>12</v>
      </c>
      <c r="G2118">
        <v>19.8</v>
      </c>
      <c r="H2118" t="str" cm="1">
        <f t="array" ref="H2118">_xlfn.IFS(G2118&gt;=20,"20-25", G2118&gt;=15,"15-20", G2118&gt;=10,"10-15", G2118&gt;=5,"5-10", G2118&gt;=1,"1-5", G2118&lt;1,"Less than 1")</f>
        <v>15-20</v>
      </c>
      <c r="I2118">
        <v>1</v>
      </c>
      <c r="J2118">
        <v>4</v>
      </c>
      <c r="K2118" s="6">
        <v>11</v>
      </c>
      <c r="L2118" s="2">
        <v>1.99</v>
      </c>
      <c r="M2118" s="6">
        <v>42</v>
      </c>
      <c r="N2118" t="str" cm="1">
        <f t="array" ref="N2118">_xlfn.IFS(M2118&gt;=50,"50-60 Days", M2118&gt;=40,"40-50 Days", M2118&gt;=30, "30-40 Days", M2118&gt;=20, "20-30 Days", M2118&gt;=10, "10-20 Days", M2118&gt;=0, "0-10 Days")</f>
        <v>40-50 Days</v>
      </c>
    </row>
    <row r="2119" spans="1:14">
      <c r="A2119">
        <v>2118</v>
      </c>
      <c r="B2119" t="s">
        <v>28</v>
      </c>
      <c r="C2119" s="5">
        <v>45418</v>
      </c>
      <c r="D2119" s="8">
        <v>45418</v>
      </c>
      <c r="E2119" s="8">
        <f>IF(B2119="Inactive", EDATE(D2119,K2119), "")</f>
        <v>45632</v>
      </c>
      <c r="F2119" t="s">
        <v>12</v>
      </c>
      <c r="G2119">
        <v>22.1</v>
      </c>
      <c r="H2119" t="str" cm="1">
        <f t="array" ref="H2119">_xlfn.IFS(G2119&gt;=20,"20-25", G2119&gt;=15,"15-20", G2119&gt;=10,"10-15", G2119&gt;=5,"5-10", G2119&gt;=1,"1-5", G2119&lt;1,"Less than 1")</f>
        <v>20-25</v>
      </c>
      <c r="I2119">
        <v>2</v>
      </c>
      <c r="J2119">
        <v>2</v>
      </c>
      <c r="K2119" s="6">
        <v>7</v>
      </c>
      <c r="L2119" s="2">
        <v>1.99</v>
      </c>
      <c r="M2119" s="6">
        <v>58</v>
      </c>
      <c r="N2119" t="str" cm="1">
        <f t="array" ref="N2119">_xlfn.IFS(M2119&gt;=50,"50-60 Days", M2119&gt;=40,"40-50 Days", M2119&gt;=30, "30-40 Days", M2119&gt;=20, "20-30 Days", M2119&gt;=10, "10-20 Days", M2119&gt;=0, "0-10 Days")</f>
        <v>50-60 Days</v>
      </c>
    </row>
    <row r="2120" spans="1:14">
      <c r="A2120">
        <v>2119</v>
      </c>
      <c r="B2120" t="s">
        <v>28</v>
      </c>
      <c r="C2120" s="5">
        <v>45324</v>
      </c>
      <c r="D2120" s="8">
        <v>45324</v>
      </c>
      <c r="E2120" s="8">
        <f>IF(B2120="Inactive", EDATE(D2120,K2120), "")</f>
        <v>45475</v>
      </c>
      <c r="F2120" t="s">
        <v>12</v>
      </c>
      <c r="G2120">
        <v>16.8</v>
      </c>
      <c r="H2120" t="str" cm="1">
        <f t="array" ref="H2120">_xlfn.IFS(G2120&gt;=20,"20-25", G2120&gt;=15,"15-20", G2120&gt;=10,"10-15", G2120&gt;=5,"5-10", G2120&gt;=1,"1-5", G2120&lt;1,"Less than 1")</f>
        <v>15-20</v>
      </c>
      <c r="I2120">
        <v>7</v>
      </c>
      <c r="J2120">
        <v>3</v>
      </c>
      <c r="K2120" s="6">
        <v>5</v>
      </c>
      <c r="L2120" s="2">
        <v>1.99</v>
      </c>
      <c r="M2120" s="6">
        <v>13</v>
      </c>
      <c r="N2120" t="str" cm="1">
        <f t="array" ref="N2120">_xlfn.IFS(M2120&gt;=50,"50-60 Days", M2120&gt;=40,"40-50 Days", M2120&gt;=30, "30-40 Days", M2120&gt;=20, "20-30 Days", M2120&gt;=10, "10-20 Days", M2120&gt;=0, "0-10 Days")</f>
        <v>10-20 Days</v>
      </c>
    </row>
    <row r="2121" spans="1:14">
      <c r="A2121">
        <v>2120</v>
      </c>
      <c r="B2121" t="s">
        <v>28</v>
      </c>
      <c r="C2121" s="5">
        <v>45449</v>
      </c>
      <c r="D2121" s="8">
        <v>45449</v>
      </c>
      <c r="E2121" s="8">
        <f>IF(B2121="Inactive", EDATE(D2121,K2121), "")</f>
        <v>45814</v>
      </c>
      <c r="F2121" t="s">
        <v>10</v>
      </c>
      <c r="G2121">
        <v>21.5</v>
      </c>
      <c r="H2121" t="str" cm="1">
        <f t="array" ref="H2121">_xlfn.IFS(G2121&gt;=20,"20-25", G2121&gt;=15,"15-20", G2121&gt;=10,"10-15", G2121&gt;=5,"5-10", G2121&gt;=1,"1-5", G2121&lt;1,"Less than 1")</f>
        <v>20-25</v>
      </c>
      <c r="I2121">
        <v>1</v>
      </c>
      <c r="J2121">
        <v>1</v>
      </c>
      <c r="K2121" s="6">
        <v>12</v>
      </c>
      <c r="L2121" s="2">
        <v>6.99</v>
      </c>
      <c r="M2121" s="6">
        <v>42</v>
      </c>
      <c r="N2121" t="str" cm="1">
        <f t="array" ref="N2121">_xlfn.IFS(M2121&gt;=50,"50-60 Days", M2121&gt;=40,"40-50 Days", M2121&gt;=30, "30-40 Days", M2121&gt;=20, "20-30 Days", M2121&gt;=10, "10-20 Days", M2121&gt;=0, "0-10 Days")</f>
        <v>40-50 Days</v>
      </c>
    </row>
    <row r="2122" spans="1:14">
      <c r="A2122">
        <v>2121</v>
      </c>
      <c r="B2122" t="s">
        <v>28</v>
      </c>
      <c r="C2122" s="5">
        <v>45350</v>
      </c>
      <c r="D2122" s="8">
        <v>45350</v>
      </c>
      <c r="E2122" s="8">
        <f>IF(B2122="Inactive", EDATE(D2122,K2122), "")</f>
        <v>45410</v>
      </c>
      <c r="F2122" t="s">
        <v>12</v>
      </c>
      <c r="G2122">
        <v>12.2</v>
      </c>
      <c r="H2122" t="str" cm="1">
        <f t="array" ref="H2122">_xlfn.IFS(G2122&gt;=20,"20-25", G2122&gt;=15,"15-20", G2122&gt;=10,"10-15", G2122&gt;=5,"5-10", G2122&gt;=1,"1-5", G2122&lt;1,"Less than 1")</f>
        <v>10-15</v>
      </c>
      <c r="I2122">
        <v>1</v>
      </c>
      <c r="J2122">
        <v>4</v>
      </c>
      <c r="K2122" s="6">
        <v>2</v>
      </c>
      <c r="L2122" s="2">
        <v>1.99</v>
      </c>
      <c r="M2122" s="6">
        <v>10</v>
      </c>
      <c r="N2122" t="str" cm="1">
        <f t="array" ref="N2122">_xlfn.IFS(M2122&gt;=50,"50-60 Days", M2122&gt;=40,"40-50 Days", M2122&gt;=30, "30-40 Days", M2122&gt;=20, "20-30 Days", M2122&gt;=10, "10-20 Days", M2122&gt;=0, "0-10 Days")</f>
        <v>10-20 Days</v>
      </c>
    </row>
    <row r="2123" spans="1:14">
      <c r="A2123">
        <v>2122</v>
      </c>
      <c r="B2123" t="s">
        <v>29</v>
      </c>
      <c r="C2123" s="5">
        <v>44970</v>
      </c>
      <c r="D2123" s="8">
        <v>44970</v>
      </c>
      <c r="E2123" s="8" t="str">
        <f>IF(B2123="Inactive", EDATE(D2123,K2123), "")</f>
        <v/>
      </c>
      <c r="F2123" t="s">
        <v>10</v>
      </c>
      <c r="G2123">
        <v>23.5</v>
      </c>
      <c r="H2123" t="str" cm="1">
        <f t="array" ref="H2123">_xlfn.IFS(G2123&gt;=20,"20-25", G2123&gt;=15,"15-20", G2123&gt;=10,"10-15", G2123&gt;=5,"5-10", G2123&gt;=1,"1-5", G2123&lt;1,"Less than 1")</f>
        <v>20-25</v>
      </c>
      <c r="I2123">
        <v>4</v>
      </c>
      <c r="J2123">
        <v>3</v>
      </c>
      <c r="K2123" s="6">
        <v>8</v>
      </c>
      <c r="L2123" s="2">
        <v>6.99</v>
      </c>
      <c r="M2123" s="6">
        <v>3</v>
      </c>
      <c r="N2123" t="str" cm="1">
        <f t="array" ref="N2123">_xlfn.IFS(M2123&gt;=50,"50-60 Days", M2123&gt;=40,"40-50 Days", M2123&gt;=30, "30-40 Days", M2123&gt;=20, "20-30 Days", M2123&gt;=10, "10-20 Days", M2123&gt;=0, "0-10 Days")</f>
        <v>0-10 Days</v>
      </c>
    </row>
    <row r="2124" spans="1:14">
      <c r="A2124">
        <v>2123</v>
      </c>
      <c r="B2124" t="s">
        <v>28</v>
      </c>
      <c r="C2124" s="5">
        <v>45157</v>
      </c>
      <c r="D2124" s="8">
        <v>45157</v>
      </c>
      <c r="E2124" s="8">
        <f>IF(B2124="Inactive", EDATE(D2124,K2124), "")</f>
        <v>45431</v>
      </c>
      <c r="F2124" t="s">
        <v>14</v>
      </c>
      <c r="G2124">
        <v>1.2</v>
      </c>
      <c r="H2124" t="str" cm="1">
        <f t="array" ref="H2124">_xlfn.IFS(G2124&gt;=20,"20-25", G2124&gt;=15,"15-20", G2124&gt;=10,"10-15", G2124&gt;=5,"5-10", G2124&gt;=1,"1-5", G2124&lt;1,"Less than 1")</f>
        <v>1-5</v>
      </c>
      <c r="I2124">
        <v>5</v>
      </c>
      <c r="J2124">
        <v>3</v>
      </c>
      <c r="K2124" s="6">
        <v>9</v>
      </c>
      <c r="L2124" s="2">
        <v>3.99</v>
      </c>
      <c r="M2124" s="6">
        <v>28</v>
      </c>
      <c r="N2124" t="str" cm="1">
        <f t="array" ref="N2124">_xlfn.IFS(M2124&gt;=50,"50-60 Days", M2124&gt;=40,"40-50 Days", M2124&gt;=30, "30-40 Days", M2124&gt;=20, "20-30 Days", M2124&gt;=10, "10-20 Days", M2124&gt;=0, "0-10 Days")</f>
        <v>20-30 Days</v>
      </c>
    </row>
    <row r="2125" spans="1:14">
      <c r="A2125">
        <v>2124</v>
      </c>
      <c r="B2125" t="s">
        <v>29</v>
      </c>
      <c r="C2125" s="5">
        <v>45577</v>
      </c>
      <c r="D2125" s="8">
        <v>45577</v>
      </c>
      <c r="E2125" s="8" t="str">
        <f>IF(B2125="Inactive", EDATE(D2125,K2125), "")</f>
        <v/>
      </c>
      <c r="F2125" t="s">
        <v>10</v>
      </c>
      <c r="G2125">
        <v>12.2</v>
      </c>
      <c r="H2125" t="str" cm="1">
        <f t="array" ref="H2125">_xlfn.IFS(G2125&gt;=20,"20-25", G2125&gt;=15,"15-20", G2125&gt;=10,"10-15", G2125&gt;=5,"5-10", G2125&gt;=1,"1-5", G2125&lt;1,"Less than 1")</f>
        <v>10-15</v>
      </c>
      <c r="I2125">
        <v>8</v>
      </c>
      <c r="J2125">
        <v>3</v>
      </c>
      <c r="K2125" s="6">
        <v>3</v>
      </c>
      <c r="L2125" s="2">
        <v>6.99</v>
      </c>
      <c r="M2125" s="6">
        <v>41</v>
      </c>
      <c r="N2125" t="str" cm="1">
        <f t="array" ref="N2125">_xlfn.IFS(M2125&gt;=50,"50-60 Days", M2125&gt;=40,"40-50 Days", M2125&gt;=30, "30-40 Days", M2125&gt;=20, "20-30 Days", M2125&gt;=10, "10-20 Days", M2125&gt;=0, "0-10 Days")</f>
        <v>40-50 Days</v>
      </c>
    </row>
    <row r="2126" spans="1:14">
      <c r="A2126">
        <v>2125</v>
      </c>
      <c r="B2126" t="s">
        <v>28</v>
      </c>
      <c r="C2126" s="5">
        <v>45541</v>
      </c>
      <c r="D2126" s="8">
        <v>45541</v>
      </c>
      <c r="E2126" s="8">
        <f>IF(B2126="Inactive", EDATE(D2126,K2126), "")</f>
        <v>45722</v>
      </c>
      <c r="F2126" t="s">
        <v>12</v>
      </c>
      <c r="G2126">
        <v>15.2</v>
      </c>
      <c r="H2126" t="str" cm="1">
        <f t="array" ref="H2126">_xlfn.IFS(G2126&gt;=20,"20-25", G2126&gt;=15,"15-20", G2126&gt;=10,"10-15", G2126&gt;=5,"5-10", G2126&gt;=1,"1-5", G2126&lt;1,"Less than 1")</f>
        <v>15-20</v>
      </c>
      <c r="I2126">
        <v>4</v>
      </c>
      <c r="J2126">
        <v>3</v>
      </c>
      <c r="K2126" s="6">
        <v>6</v>
      </c>
      <c r="L2126" s="2">
        <v>1.99</v>
      </c>
      <c r="M2126" s="6">
        <v>49</v>
      </c>
      <c r="N2126" t="str" cm="1">
        <f t="array" ref="N2126">_xlfn.IFS(M2126&gt;=50,"50-60 Days", M2126&gt;=40,"40-50 Days", M2126&gt;=30, "30-40 Days", M2126&gt;=20, "20-30 Days", M2126&gt;=10, "10-20 Days", M2126&gt;=0, "0-10 Days")</f>
        <v>40-50 Days</v>
      </c>
    </row>
    <row r="2127" spans="1:14">
      <c r="A2127">
        <v>2126</v>
      </c>
      <c r="B2127" t="s">
        <v>28</v>
      </c>
      <c r="C2127" s="5">
        <v>45583</v>
      </c>
      <c r="D2127" s="8">
        <v>45583</v>
      </c>
      <c r="E2127" s="8">
        <f>IF(B2127="Inactive", EDATE(D2127,K2127), "")</f>
        <v>45856</v>
      </c>
      <c r="F2127" t="s">
        <v>12</v>
      </c>
      <c r="G2127">
        <v>2.1</v>
      </c>
      <c r="H2127" t="str" cm="1">
        <f t="array" ref="H2127">_xlfn.IFS(G2127&gt;=20,"20-25", G2127&gt;=15,"15-20", G2127&gt;=10,"10-15", G2127&gt;=5,"5-10", G2127&gt;=1,"1-5", G2127&lt;1,"Less than 1")</f>
        <v>1-5</v>
      </c>
      <c r="I2127">
        <v>1</v>
      </c>
      <c r="J2127">
        <v>5</v>
      </c>
      <c r="K2127" s="6">
        <v>9</v>
      </c>
      <c r="L2127" s="2">
        <v>1.99</v>
      </c>
      <c r="M2127" s="6">
        <v>57</v>
      </c>
      <c r="N2127" t="str" cm="1">
        <f t="array" ref="N2127">_xlfn.IFS(M2127&gt;=50,"50-60 Days", M2127&gt;=40,"40-50 Days", M2127&gt;=30, "30-40 Days", M2127&gt;=20, "20-30 Days", M2127&gt;=10, "10-20 Days", M2127&gt;=0, "0-10 Days")</f>
        <v>50-60 Days</v>
      </c>
    </row>
    <row r="2128" spans="1:14">
      <c r="A2128">
        <v>2127</v>
      </c>
      <c r="B2128" t="s">
        <v>29</v>
      </c>
      <c r="C2128" s="5">
        <v>45276</v>
      </c>
      <c r="D2128" s="8">
        <v>45276</v>
      </c>
      <c r="E2128" s="8" t="str">
        <f>IF(B2128="Inactive", EDATE(D2128,K2128), "")</f>
        <v/>
      </c>
      <c r="F2128" t="s">
        <v>12</v>
      </c>
      <c r="G2128">
        <v>7.3</v>
      </c>
      <c r="H2128" t="str" cm="1">
        <f t="array" ref="H2128">_xlfn.IFS(G2128&gt;=20,"20-25", G2128&gt;=15,"15-20", G2128&gt;=10,"10-15", G2128&gt;=5,"5-10", G2128&gt;=1,"1-5", G2128&lt;1,"Less than 1")</f>
        <v>5-10</v>
      </c>
      <c r="I2128">
        <v>4</v>
      </c>
      <c r="J2128">
        <v>3</v>
      </c>
      <c r="K2128" s="6">
        <v>8</v>
      </c>
      <c r="L2128" s="2">
        <v>1.99</v>
      </c>
      <c r="M2128" s="6">
        <v>41</v>
      </c>
      <c r="N2128" t="str" cm="1">
        <f t="array" ref="N2128">_xlfn.IFS(M2128&gt;=50,"50-60 Days", M2128&gt;=40,"40-50 Days", M2128&gt;=30, "30-40 Days", M2128&gt;=20, "20-30 Days", M2128&gt;=10, "10-20 Days", M2128&gt;=0, "0-10 Days")</f>
        <v>40-50 Days</v>
      </c>
    </row>
    <row r="2129" spans="1:14">
      <c r="A2129">
        <v>2128</v>
      </c>
      <c r="B2129" t="s">
        <v>28</v>
      </c>
      <c r="C2129" s="5">
        <v>45631</v>
      </c>
      <c r="D2129" s="8">
        <v>45631</v>
      </c>
      <c r="E2129" s="8">
        <f>IF(B2129="Inactive", EDATE(D2129,K2129), "")</f>
        <v>45996</v>
      </c>
      <c r="F2129" t="s">
        <v>14</v>
      </c>
      <c r="G2129">
        <v>15.3</v>
      </c>
      <c r="H2129" t="str" cm="1">
        <f t="array" ref="H2129">_xlfn.IFS(G2129&gt;=20,"20-25", G2129&gt;=15,"15-20", G2129&gt;=10,"10-15", G2129&gt;=5,"5-10", G2129&gt;=1,"1-5", G2129&lt;1,"Less than 1")</f>
        <v>15-20</v>
      </c>
      <c r="I2129">
        <v>4</v>
      </c>
      <c r="J2129">
        <v>3</v>
      </c>
      <c r="K2129" s="6">
        <v>12</v>
      </c>
      <c r="L2129" s="2">
        <v>3.99</v>
      </c>
      <c r="M2129" s="6">
        <v>32</v>
      </c>
      <c r="N2129" t="str" cm="1">
        <f t="array" ref="N2129">_xlfn.IFS(M2129&gt;=50,"50-60 Days", M2129&gt;=40,"40-50 Days", M2129&gt;=30, "30-40 Days", M2129&gt;=20, "20-30 Days", M2129&gt;=10, "10-20 Days", M2129&gt;=0, "0-10 Days")</f>
        <v>30-40 Days</v>
      </c>
    </row>
    <row r="2130" spans="1:14">
      <c r="A2130">
        <v>2129</v>
      </c>
      <c r="B2130" t="s">
        <v>28</v>
      </c>
      <c r="C2130" s="5">
        <v>45428</v>
      </c>
      <c r="D2130" s="8">
        <v>45428</v>
      </c>
      <c r="E2130" s="8">
        <f>IF(B2130="Inactive", EDATE(D2130,K2130), "")</f>
        <v>45793</v>
      </c>
      <c r="F2130" t="s">
        <v>10</v>
      </c>
      <c r="G2130">
        <v>23.1</v>
      </c>
      <c r="H2130" t="str" cm="1">
        <f t="array" ref="H2130">_xlfn.IFS(G2130&gt;=20,"20-25", G2130&gt;=15,"15-20", G2130&gt;=10,"10-15", G2130&gt;=5,"5-10", G2130&gt;=1,"1-5", G2130&lt;1,"Less than 1")</f>
        <v>20-25</v>
      </c>
      <c r="I2130">
        <v>2</v>
      </c>
      <c r="J2130">
        <v>3</v>
      </c>
      <c r="K2130" s="6">
        <v>12</v>
      </c>
      <c r="L2130" s="2">
        <v>6.99</v>
      </c>
      <c r="M2130" s="6">
        <v>21</v>
      </c>
      <c r="N2130" t="str" cm="1">
        <f t="array" ref="N2130">_xlfn.IFS(M2130&gt;=50,"50-60 Days", M2130&gt;=40,"40-50 Days", M2130&gt;=30, "30-40 Days", M2130&gt;=20, "20-30 Days", M2130&gt;=10, "10-20 Days", M2130&gt;=0, "0-10 Days")</f>
        <v>20-30 Days</v>
      </c>
    </row>
    <row r="2131" spans="1:14">
      <c r="A2131">
        <v>2130</v>
      </c>
      <c r="B2131" t="s">
        <v>28</v>
      </c>
      <c r="C2131" s="5">
        <v>45204</v>
      </c>
      <c r="D2131" s="8">
        <v>45204</v>
      </c>
      <c r="E2131" s="8">
        <f>IF(B2131="Inactive", EDATE(D2131,K2131), "")</f>
        <v>45570</v>
      </c>
      <c r="F2131" t="s">
        <v>14</v>
      </c>
      <c r="G2131">
        <v>13.2</v>
      </c>
      <c r="H2131" t="str" cm="1">
        <f t="array" ref="H2131">_xlfn.IFS(G2131&gt;=20,"20-25", G2131&gt;=15,"15-20", G2131&gt;=10,"10-15", G2131&gt;=5,"5-10", G2131&gt;=1,"1-5", G2131&lt;1,"Less than 1")</f>
        <v>10-15</v>
      </c>
      <c r="I2131">
        <v>1</v>
      </c>
      <c r="J2131">
        <v>2</v>
      </c>
      <c r="K2131" s="6">
        <v>12</v>
      </c>
      <c r="L2131" s="2">
        <v>3.99</v>
      </c>
      <c r="M2131" s="6">
        <v>40</v>
      </c>
      <c r="N2131" t="str" cm="1">
        <f t="array" ref="N2131">_xlfn.IFS(M2131&gt;=50,"50-60 Days", M2131&gt;=40,"40-50 Days", M2131&gt;=30, "30-40 Days", M2131&gt;=20, "20-30 Days", M2131&gt;=10, "10-20 Days", M2131&gt;=0, "0-10 Days")</f>
        <v>40-50 Days</v>
      </c>
    </row>
    <row r="2132" spans="1:14">
      <c r="A2132">
        <v>2131</v>
      </c>
      <c r="B2132" t="s">
        <v>28</v>
      </c>
      <c r="C2132" s="5">
        <v>45240</v>
      </c>
      <c r="D2132" s="8">
        <v>45240</v>
      </c>
      <c r="E2132" s="8">
        <f>IF(B2132="Inactive", EDATE(D2132,K2132), "")</f>
        <v>45575</v>
      </c>
      <c r="F2132" t="s">
        <v>14</v>
      </c>
      <c r="G2132">
        <v>6.1</v>
      </c>
      <c r="H2132" t="str" cm="1">
        <f t="array" ref="H2132">_xlfn.IFS(G2132&gt;=20,"20-25", G2132&gt;=15,"15-20", G2132&gt;=10,"10-15", G2132&gt;=5,"5-10", G2132&gt;=1,"1-5", G2132&lt;1,"Less than 1")</f>
        <v>5-10</v>
      </c>
      <c r="I2132">
        <v>5</v>
      </c>
      <c r="J2132">
        <v>1</v>
      </c>
      <c r="K2132" s="6">
        <v>11</v>
      </c>
      <c r="L2132" s="2">
        <v>3.99</v>
      </c>
      <c r="M2132" s="6">
        <v>36</v>
      </c>
      <c r="N2132" t="str" cm="1">
        <f t="array" ref="N2132">_xlfn.IFS(M2132&gt;=50,"50-60 Days", M2132&gt;=40,"40-50 Days", M2132&gt;=30, "30-40 Days", M2132&gt;=20, "20-30 Days", M2132&gt;=10, "10-20 Days", M2132&gt;=0, "0-10 Days")</f>
        <v>30-40 Days</v>
      </c>
    </row>
    <row r="2133" spans="1:14">
      <c r="A2133">
        <v>2132</v>
      </c>
      <c r="B2133" t="s">
        <v>29</v>
      </c>
      <c r="C2133" s="5">
        <v>45612</v>
      </c>
      <c r="D2133" s="8">
        <v>45612</v>
      </c>
      <c r="E2133" s="8" t="str">
        <f>IF(B2133="Inactive", EDATE(D2133,K2133), "")</f>
        <v/>
      </c>
      <c r="F2133" t="s">
        <v>12</v>
      </c>
      <c r="G2133">
        <v>13.2</v>
      </c>
      <c r="H2133" t="str" cm="1">
        <f t="array" ref="H2133">_xlfn.IFS(G2133&gt;=20,"20-25", G2133&gt;=15,"15-20", G2133&gt;=10,"10-15", G2133&gt;=5,"5-10", G2133&gt;=1,"1-5", G2133&lt;1,"Less than 1")</f>
        <v>10-15</v>
      </c>
      <c r="I2133">
        <v>6</v>
      </c>
      <c r="J2133">
        <v>2</v>
      </c>
      <c r="K2133" s="6">
        <v>8</v>
      </c>
      <c r="L2133" s="2">
        <v>1.99</v>
      </c>
      <c r="M2133" s="6">
        <v>16</v>
      </c>
      <c r="N2133" t="str" cm="1">
        <f t="array" ref="N2133">_xlfn.IFS(M2133&gt;=50,"50-60 Days", M2133&gt;=40,"40-50 Days", M2133&gt;=30, "30-40 Days", M2133&gt;=20, "20-30 Days", M2133&gt;=10, "10-20 Days", M2133&gt;=0, "0-10 Days")</f>
        <v>10-20 Days</v>
      </c>
    </row>
    <row r="2134" spans="1:14">
      <c r="A2134">
        <v>2133</v>
      </c>
      <c r="B2134" t="s">
        <v>28</v>
      </c>
      <c r="C2134" s="5">
        <v>45629</v>
      </c>
      <c r="D2134" s="8">
        <v>45629</v>
      </c>
      <c r="E2134" s="8">
        <f>IF(B2134="Inactive", EDATE(D2134,K2134), "")</f>
        <v>45780</v>
      </c>
      <c r="F2134" t="s">
        <v>10</v>
      </c>
      <c r="G2134">
        <v>19.3</v>
      </c>
      <c r="H2134" t="str" cm="1">
        <f t="array" ref="H2134">_xlfn.IFS(G2134&gt;=20,"20-25", G2134&gt;=15,"15-20", G2134&gt;=10,"10-15", G2134&gt;=5,"5-10", G2134&gt;=1,"1-5", G2134&lt;1,"Less than 1")</f>
        <v>15-20</v>
      </c>
      <c r="I2134">
        <v>2</v>
      </c>
      <c r="J2134">
        <v>5</v>
      </c>
      <c r="K2134" s="6">
        <v>5</v>
      </c>
      <c r="L2134" s="2">
        <v>6.99</v>
      </c>
      <c r="M2134" s="6">
        <v>18</v>
      </c>
      <c r="N2134" t="str" cm="1">
        <f t="array" ref="N2134">_xlfn.IFS(M2134&gt;=50,"50-60 Days", M2134&gt;=40,"40-50 Days", M2134&gt;=30, "30-40 Days", M2134&gt;=20, "20-30 Days", M2134&gt;=10, "10-20 Days", M2134&gt;=0, "0-10 Days")</f>
        <v>10-20 Days</v>
      </c>
    </row>
    <row r="2135" spans="1:14">
      <c r="A2135">
        <v>2134</v>
      </c>
      <c r="B2135" t="s">
        <v>28</v>
      </c>
      <c r="C2135" s="5">
        <v>45047</v>
      </c>
      <c r="D2135" s="8">
        <v>45047</v>
      </c>
      <c r="E2135" s="8">
        <f>IF(B2135="Inactive", EDATE(D2135,K2135), "")</f>
        <v>45413</v>
      </c>
      <c r="F2135" t="s">
        <v>14</v>
      </c>
      <c r="G2135">
        <v>14</v>
      </c>
      <c r="H2135" t="str" cm="1">
        <f t="array" ref="H2135">_xlfn.IFS(G2135&gt;=20,"20-25", G2135&gt;=15,"15-20", G2135&gt;=10,"10-15", G2135&gt;=5,"5-10", G2135&gt;=1,"1-5", G2135&lt;1,"Less than 1")</f>
        <v>10-15</v>
      </c>
      <c r="I2135">
        <v>3</v>
      </c>
      <c r="J2135">
        <v>3</v>
      </c>
      <c r="K2135" s="6">
        <v>12</v>
      </c>
      <c r="L2135" s="2">
        <v>3.99</v>
      </c>
      <c r="M2135" s="6">
        <v>37</v>
      </c>
      <c r="N2135" t="str" cm="1">
        <f t="array" ref="N2135">_xlfn.IFS(M2135&gt;=50,"50-60 Days", M2135&gt;=40,"40-50 Days", M2135&gt;=30, "30-40 Days", M2135&gt;=20, "20-30 Days", M2135&gt;=10, "10-20 Days", M2135&gt;=0, "0-10 Days")</f>
        <v>30-40 Days</v>
      </c>
    </row>
    <row r="2136" spans="1:14">
      <c r="A2136">
        <v>2135</v>
      </c>
      <c r="B2136" t="s">
        <v>29</v>
      </c>
      <c r="C2136" s="5">
        <v>45272</v>
      </c>
      <c r="D2136" s="8">
        <v>45272</v>
      </c>
      <c r="E2136" s="8" t="str">
        <f>IF(B2136="Inactive", EDATE(D2136,K2136), "")</f>
        <v/>
      </c>
      <c r="F2136" t="s">
        <v>10</v>
      </c>
      <c r="G2136">
        <v>16.100000000000001</v>
      </c>
      <c r="H2136" t="str" cm="1">
        <f t="array" ref="H2136">_xlfn.IFS(G2136&gt;=20,"20-25", G2136&gt;=15,"15-20", G2136&gt;=10,"10-15", G2136&gt;=5,"5-10", G2136&gt;=1,"1-5", G2136&lt;1,"Less than 1")</f>
        <v>15-20</v>
      </c>
      <c r="I2136">
        <v>3</v>
      </c>
      <c r="J2136">
        <v>4</v>
      </c>
      <c r="K2136" s="6">
        <v>7</v>
      </c>
      <c r="L2136" s="2">
        <v>6.99</v>
      </c>
      <c r="M2136" s="6">
        <v>50</v>
      </c>
      <c r="N2136" t="str" cm="1">
        <f t="array" ref="N2136">_xlfn.IFS(M2136&gt;=50,"50-60 Days", M2136&gt;=40,"40-50 Days", M2136&gt;=30, "30-40 Days", M2136&gt;=20, "20-30 Days", M2136&gt;=10, "10-20 Days", M2136&gt;=0, "0-10 Days")</f>
        <v>50-60 Days</v>
      </c>
    </row>
    <row r="2137" spans="1:14">
      <c r="A2137">
        <v>2136</v>
      </c>
      <c r="B2137" t="s">
        <v>28</v>
      </c>
      <c r="C2137" s="5">
        <v>45508</v>
      </c>
      <c r="D2137" s="8">
        <v>45508</v>
      </c>
      <c r="E2137" s="8">
        <f>IF(B2137="Inactive", EDATE(D2137,K2137), "")</f>
        <v>45842</v>
      </c>
      <c r="F2137" t="s">
        <v>12</v>
      </c>
      <c r="G2137">
        <v>9.6999999999999993</v>
      </c>
      <c r="H2137" t="str" cm="1">
        <f t="array" ref="H2137">_xlfn.IFS(G2137&gt;=20,"20-25", G2137&gt;=15,"15-20", G2137&gt;=10,"10-15", G2137&gt;=5,"5-10", G2137&gt;=1,"1-5", G2137&lt;1,"Less than 1")</f>
        <v>5-10</v>
      </c>
      <c r="I2137">
        <v>6</v>
      </c>
      <c r="J2137">
        <v>3</v>
      </c>
      <c r="K2137" s="6">
        <v>11</v>
      </c>
      <c r="L2137" s="2">
        <v>1.99</v>
      </c>
      <c r="M2137" s="6">
        <v>45</v>
      </c>
      <c r="N2137" t="str" cm="1">
        <f t="array" ref="N2137">_xlfn.IFS(M2137&gt;=50,"50-60 Days", M2137&gt;=40,"40-50 Days", M2137&gt;=30, "30-40 Days", M2137&gt;=20, "20-30 Days", M2137&gt;=10, "10-20 Days", M2137&gt;=0, "0-10 Days")</f>
        <v>40-50 Days</v>
      </c>
    </row>
    <row r="2138" spans="1:14">
      <c r="A2138">
        <v>2137</v>
      </c>
      <c r="B2138" t="s">
        <v>28</v>
      </c>
      <c r="C2138" s="5">
        <v>45312</v>
      </c>
      <c r="D2138" s="8">
        <v>45312</v>
      </c>
      <c r="E2138" s="8">
        <f>IF(B2138="Inactive", EDATE(D2138,K2138), "")</f>
        <v>45678</v>
      </c>
      <c r="F2138" t="s">
        <v>14</v>
      </c>
      <c r="G2138">
        <v>8.9</v>
      </c>
      <c r="H2138" t="str" cm="1">
        <f t="array" ref="H2138">_xlfn.IFS(G2138&gt;=20,"20-25", G2138&gt;=15,"15-20", G2138&gt;=10,"10-15", G2138&gt;=5,"5-10", G2138&gt;=1,"1-5", G2138&lt;1,"Less than 1")</f>
        <v>5-10</v>
      </c>
      <c r="I2138">
        <v>4</v>
      </c>
      <c r="J2138">
        <v>4</v>
      </c>
      <c r="K2138" s="6">
        <v>12</v>
      </c>
      <c r="L2138" s="2">
        <v>3.99</v>
      </c>
      <c r="M2138" s="6">
        <v>4</v>
      </c>
      <c r="N2138" t="str" cm="1">
        <f t="array" ref="N2138">_xlfn.IFS(M2138&gt;=50,"50-60 Days", M2138&gt;=40,"40-50 Days", M2138&gt;=30, "30-40 Days", M2138&gt;=20, "20-30 Days", M2138&gt;=10, "10-20 Days", M2138&gt;=0, "0-10 Days")</f>
        <v>0-10 Days</v>
      </c>
    </row>
    <row r="2139" spans="1:14">
      <c r="A2139">
        <v>2138</v>
      </c>
      <c r="B2139" t="s">
        <v>28</v>
      </c>
      <c r="C2139" s="5">
        <v>45490</v>
      </c>
      <c r="D2139" s="8">
        <v>45490</v>
      </c>
      <c r="E2139" s="8">
        <f>IF(B2139="Inactive", EDATE(D2139,K2139), "")</f>
        <v>45764</v>
      </c>
      <c r="F2139" t="s">
        <v>10</v>
      </c>
      <c r="G2139">
        <v>0.6</v>
      </c>
      <c r="H2139" t="str" cm="1">
        <f t="array" ref="H2139">_xlfn.IFS(G2139&gt;=20,"20-25", G2139&gt;=15,"15-20", G2139&gt;=10,"10-15", G2139&gt;=5,"5-10", G2139&gt;=1,"1-5", G2139&lt;1,"Less than 1")</f>
        <v>Less than 1</v>
      </c>
      <c r="I2139">
        <v>3</v>
      </c>
      <c r="J2139">
        <v>2</v>
      </c>
      <c r="K2139" s="6">
        <v>9</v>
      </c>
      <c r="L2139" s="2">
        <v>6.99</v>
      </c>
      <c r="M2139" s="6">
        <v>59</v>
      </c>
      <c r="N2139" t="str" cm="1">
        <f t="array" ref="N2139">_xlfn.IFS(M2139&gt;=50,"50-60 Days", M2139&gt;=40,"40-50 Days", M2139&gt;=30, "30-40 Days", M2139&gt;=20, "20-30 Days", M2139&gt;=10, "10-20 Days", M2139&gt;=0, "0-10 Days")</f>
        <v>50-60 Days</v>
      </c>
    </row>
    <row r="2140" spans="1:14">
      <c r="A2140">
        <v>2139</v>
      </c>
      <c r="B2140" t="s">
        <v>28</v>
      </c>
      <c r="C2140" s="5">
        <v>45364</v>
      </c>
      <c r="D2140" s="8">
        <v>45364</v>
      </c>
      <c r="E2140" s="8">
        <f>IF(B2140="Inactive", EDATE(D2140,K2140), "")</f>
        <v>45548</v>
      </c>
      <c r="F2140" t="s">
        <v>10</v>
      </c>
      <c r="G2140">
        <v>13</v>
      </c>
      <c r="H2140" t="str" cm="1">
        <f t="array" ref="H2140">_xlfn.IFS(G2140&gt;=20,"20-25", G2140&gt;=15,"15-20", G2140&gt;=10,"10-15", G2140&gt;=5,"5-10", G2140&gt;=1,"1-5", G2140&lt;1,"Less than 1")</f>
        <v>10-15</v>
      </c>
      <c r="I2140">
        <v>6</v>
      </c>
      <c r="J2140">
        <v>1</v>
      </c>
      <c r="K2140" s="6">
        <v>6</v>
      </c>
      <c r="L2140" s="2">
        <v>6.99</v>
      </c>
      <c r="M2140" s="6">
        <v>17</v>
      </c>
      <c r="N2140" t="str" cm="1">
        <f t="array" ref="N2140">_xlfn.IFS(M2140&gt;=50,"50-60 Days", M2140&gt;=40,"40-50 Days", M2140&gt;=30, "30-40 Days", M2140&gt;=20, "20-30 Days", M2140&gt;=10, "10-20 Days", M2140&gt;=0, "0-10 Days")</f>
        <v>10-20 Days</v>
      </c>
    </row>
    <row r="2141" spans="1:14">
      <c r="A2141">
        <v>2140</v>
      </c>
      <c r="B2141" t="s">
        <v>28</v>
      </c>
      <c r="C2141" s="5">
        <v>45070</v>
      </c>
      <c r="D2141" s="8">
        <v>45070</v>
      </c>
      <c r="E2141" s="8">
        <f>IF(B2141="Inactive", EDATE(D2141,K2141), "")</f>
        <v>45406</v>
      </c>
      <c r="F2141" t="s">
        <v>10</v>
      </c>
      <c r="G2141">
        <v>15.1</v>
      </c>
      <c r="H2141" t="str" cm="1">
        <f t="array" ref="H2141">_xlfn.IFS(G2141&gt;=20,"20-25", G2141&gt;=15,"15-20", G2141&gt;=10,"10-15", G2141&gt;=5,"5-10", G2141&gt;=1,"1-5", G2141&lt;1,"Less than 1")</f>
        <v>15-20</v>
      </c>
      <c r="I2141">
        <v>7</v>
      </c>
      <c r="J2141">
        <v>3</v>
      </c>
      <c r="K2141" s="6">
        <v>11</v>
      </c>
      <c r="L2141" s="2">
        <v>6.99</v>
      </c>
      <c r="M2141" s="6">
        <v>24</v>
      </c>
      <c r="N2141" t="str" cm="1">
        <f t="array" ref="N2141">_xlfn.IFS(M2141&gt;=50,"50-60 Days", M2141&gt;=40,"40-50 Days", M2141&gt;=30, "30-40 Days", M2141&gt;=20, "20-30 Days", M2141&gt;=10, "10-20 Days", M2141&gt;=0, "0-10 Days")</f>
        <v>20-30 Days</v>
      </c>
    </row>
    <row r="2142" spans="1:14">
      <c r="A2142">
        <v>2141</v>
      </c>
      <c r="B2142" t="s">
        <v>28</v>
      </c>
      <c r="C2142" s="5">
        <v>45037</v>
      </c>
      <c r="D2142" s="8">
        <v>45037</v>
      </c>
      <c r="E2142" s="8">
        <f>IF(B2142="Inactive", EDATE(D2142,K2142), "")</f>
        <v>45128</v>
      </c>
      <c r="F2142" t="s">
        <v>12</v>
      </c>
      <c r="G2142">
        <v>9.4</v>
      </c>
      <c r="H2142" t="str" cm="1">
        <f t="array" ref="H2142">_xlfn.IFS(G2142&gt;=20,"20-25", G2142&gt;=15,"15-20", G2142&gt;=10,"10-15", G2142&gt;=5,"5-10", G2142&gt;=1,"1-5", G2142&lt;1,"Less than 1")</f>
        <v>5-10</v>
      </c>
      <c r="I2142">
        <v>0</v>
      </c>
      <c r="J2142">
        <v>0</v>
      </c>
      <c r="K2142" s="6">
        <v>3</v>
      </c>
      <c r="L2142" s="2">
        <v>1.99</v>
      </c>
      <c r="M2142" s="6">
        <v>54</v>
      </c>
      <c r="N2142" t="str" cm="1">
        <f t="array" ref="N2142">_xlfn.IFS(M2142&gt;=50,"50-60 Days", M2142&gt;=40,"40-50 Days", M2142&gt;=30, "30-40 Days", M2142&gt;=20, "20-30 Days", M2142&gt;=10, "10-20 Days", M2142&gt;=0, "0-10 Days")</f>
        <v>50-60 Days</v>
      </c>
    </row>
    <row r="2143" spans="1:14">
      <c r="A2143">
        <v>2142</v>
      </c>
      <c r="B2143" t="s">
        <v>28</v>
      </c>
      <c r="C2143" s="5">
        <v>44967</v>
      </c>
      <c r="D2143" s="8">
        <v>44967</v>
      </c>
      <c r="E2143" s="8">
        <f>IF(B2143="Inactive", EDATE(D2143,K2143), "")</f>
        <v>45332</v>
      </c>
      <c r="F2143" t="s">
        <v>10</v>
      </c>
      <c r="G2143">
        <v>7.1</v>
      </c>
      <c r="H2143" t="str" cm="1">
        <f t="array" ref="H2143">_xlfn.IFS(G2143&gt;=20,"20-25", G2143&gt;=15,"15-20", G2143&gt;=10,"10-15", G2143&gt;=5,"5-10", G2143&gt;=1,"1-5", G2143&lt;1,"Less than 1")</f>
        <v>5-10</v>
      </c>
      <c r="I2143">
        <v>1</v>
      </c>
      <c r="J2143">
        <v>5</v>
      </c>
      <c r="K2143" s="6">
        <v>12</v>
      </c>
      <c r="L2143" s="2">
        <v>6.99</v>
      </c>
      <c r="M2143" s="6">
        <v>43</v>
      </c>
      <c r="N2143" t="str" cm="1">
        <f t="array" ref="N2143">_xlfn.IFS(M2143&gt;=50,"50-60 Days", M2143&gt;=40,"40-50 Days", M2143&gt;=30, "30-40 Days", M2143&gt;=20, "20-30 Days", M2143&gt;=10, "10-20 Days", M2143&gt;=0, "0-10 Days")</f>
        <v>40-50 Days</v>
      </c>
    </row>
    <row r="2144" spans="1:14">
      <c r="A2144">
        <v>2143</v>
      </c>
      <c r="B2144" t="s">
        <v>28</v>
      </c>
      <c r="C2144" s="5">
        <v>45367</v>
      </c>
      <c r="D2144" s="8">
        <v>45367</v>
      </c>
      <c r="E2144" s="8">
        <f>IF(B2144="Inactive", EDATE(D2144,K2144), "")</f>
        <v>45428</v>
      </c>
      <c r="F2144" t="s">
        <v>10</v>
      </c>
      <c r="G2144">
        <v>0.7</v>
      </c>
      <c r="H2144" t="str" cm="1">
        <f t="array" ref="H2144">_xlfn.IFS(G2144&gt;=20,"20-25", G2144&gt;=15,"15-20", G2144&gt;=10,"10-15", G2144&gt;=5,"5-10", G2144&gt;=1,"1-5", G2144&lt;1,"Less than 1")</f>
        <v>Less than 1</v>
      </c>
      <c r="I2144">
        <v>5</v>
      </c>
      <c r="J2144">
        <v>4</v>
      </c>
      <c r="K2144" s="6">
        <v>2</v>
      </c>
      <c r="L2144" s="2">
        <v>6.99</v>
      </c>
      <c r="M2144" s="6">
        <v>46</v>
      </c>
      <c r="N2144" t="str" cm="1">
        <f t="array" ref="N2144">_xlfn.IFS(M2144&gt;=50,"50-60 Days", M2144&gt;=40,"40-50 Days", M2144&gt;=30, "30-40 Days", M2144&gt;=20, "20-30 Days", M2144&gt;=10, "10-20 Days", M2144&gt;=0, "0-10 Days")</f>
        <v>40-50 Days</v>
      </c>
    </row>
    <row r="2145" spans="1:14">
      <c r="A2145">
        <v>2144</v>
      </c>
      <c r="B2145" t="s">
        <v>29</v>
      </c>
      <c r="C2145" s="5">
        <v>45082</v>
      </c>
      <c r="D2145" s="8">
        <v>45082</v>
      </c>
      <c r="E2145" s="8" t="str">
        <f>IF(B2145="Inactive", EDATE(D2145,K2145), "")</f>
        <v/>
      </c>
      <c r="F2145" t="s">
        <v>12</v>
      </c>
      <c r="G2145">
        <v>5.9</v>
      </c>
      <c r="H2145" t="str" cm="1">
        <f t="array" ref="H2145">_xlfn.IFS(G2145&gt;=20,"20-25", G2145&gt;=15,"15-20", G2145&gt;=10,"10-15", G2145&gt;=5,"5-10", G2145&gt;=1,"1-5", G2145&lt;1,"Less than 1")</f>
        <v>5-10</v>
      </c>
      <c r="I2145">
        <v>4</v>
      </c>
      <c r="J2145">
        <v>4</v>
      </c>
      <c r="K2145" s="6">
        <v>5</v>
      </c>
      <c r="L2145" s="2">
        <v>1.99</v>
      </c>
      <c r="M2145" s="6">
        <v>22</v>
      </c>
      <c r="N2145" t="str" cm="1">
        <f t="array" ref="N2145">_xlfn.IFS(M2145&gt;=50,"50-60 Days", M2145&gt;=40,"40-50 Days", M2145&gt;=30, "30-40 Days", M2145&gt;=20, "20-30 Days", M2145&gt;=10, "10-20 Days", M2145&gt;=0, "0-10 Days")</f>
        <v>20-30 Days</v>
      </c>
    </row>
    <row r="2146" spans="1:14">
      <c r="A2146">
        <v>2145</v>
      </c>
      <c r="B2146" t="s">
        <v>29</v>
      </c>
      <c r="C2146" s="5">
        <v>45319</v>
      </c>
      <c r="D2146" s="8">
        <v>45319</v>
      </c>
      <c r="E2146" s="8" t="str">
        <f>IF(B2146="Inactive", EDATE(D2146,K2146), "")</f>
        <v/>
      </c>
      <c r="F2146" t="s">
        <v>12</v>
      </c>
      <c r="G2146">
        <v>14.8</v>
      </c>
      <c r="H2146" t="str" cm="1">
        <f t="array" ref="H2146">_xlfn.IFS(G2146&gt;=20,"20-25", G2146&gt;=15,"15-20", G2146&gt;=10,"10-15", G2146&gt;=5,"5-10", G2146&gt;=1,"1-5", G2146&lt;1,"Less than 1")</f>
        <v>10-15</v>
      </c>
      <c r="I2146">
        <v>3</v>
      </c>
      <c r="J2146">
        <v>1</v>
      </c>
      <c r="K2146" s="6">
        <v>12</v>
      </c>
      <c r="L2146" s="2">
        <v>1.99</v>
      </c>
      <c r="M2146" s="6">
        <v>51</v>
      </c>
      <c r="N2146" t="str" cm="1">
        <f t="array" ref="N2146">_xlfn.IFS(M2146&gt;=50,"50-60 Days", M2146&gt;=40,"40-50 Days", M2146&gt;=30, "30-40 Days", M2146&gt;=20, "20-30 Days", M2146&gt;=10, "10-20 Days", M2146&gt;=0, "0-10 Days")</f>
        <v>50-60 Days</v>
      </c>
    </row>
    <row r="2147" spans="1:14">
      <c r="A2147">
        <v>2146</v>
      </c>
      <c r="B2147" t="s">
        <v>29</v>
      </c>
      <c r="C2147" s="5">
        <v>45203</v>
      </c>
      <c r="D2147" s="8">
        <v>45203</v>
      </c>
      <c r="E2147" s="8" t="str">
        <f>IF(B2147="Inactive", EDATE(D2147,K2147), "")</f>
        <v/>
      </c>
      <c r="F2147" t="s">
        <v>12</v>
      </c>
      <c r="G2147">
        <v>15.6</v>
      </c>
      <c r="H2147" t="str" cm="1">
        <f t="array" ref="H2147">_xlfn.IFS(G2147&gt;=20,"20-25", G2147&gt;=15,"15-20", G2147&gt;=10,"10-15", G2147&gt;=5,"5-10", G2147&gt;=1,"1-5", G2147&lt;1,"Less than 1")</f>
        <v>15-20</v>
      </c>
      <c r="I2147">
        <v>2</v>
      </c>
      <c r="J2147">
        <v>0</v>
      </c>
      <c r="K2147" s="6">
        <v>12</v>
      </c>
      <c r="L2147" s="2">
        <v>1.99</v>
      </c>
      <c r="M2147" s="6">
        <v>36</v>
      </c>
      <c r="N2147" t="str" cm="1">
        <f t="array" ref="N2147">_xlfn.IFS(M2147&gt;=50,"50-60 Days", M2147&gt;=40,"40-50 Days", M2147&gt;=30, "30-40 Days", M2147&gt;=20, "20-30 Days", M2147&gt;=10, "10-20 Days", M2147&gt;=0, "0-10 Days")</f>
        <v>30-40 Days</v>
      </c>
    </row>
    <row r="2148" spans="1:14">
      <c r="A2148">
        <v>2147</v>
      </c>
      <c r="B2148" t="s">
        <v>28</v>
      </c>
      <c r="C2148" s="5">
        <v>45096</v>
      </c>
      <c r="D2148" s="8">
        <v>45096</v>
      </c>
      <c r="E2148" s="8">
        <f>IF(B2148="Inactive", EDATE(D2148,K2148), "")</f>
        <v>45188</v>
      </c>
      <c r="F2148" t="s">
        <v>14</v>
      </c>
      <c r="G2148">
        <v>2.8</v>
      </c>
      <c r="H2148" t="str" cm="1">
        <f t="array" ref="H2148">_xlfn.IFS(G2148&gt;=20,"20-25", G2148&gt;=15,"15-20", G2148&gt;=10,"10-15", G2148&gt;=5,"5-10", G2148&gt;=1,"1-5", G2148&lt;1,"Less than 1")</f>
        <v>1-5</v>
      </c>
      <c r="I2148">
        <v>6</v>
      </c>
      <c r="J2148">
        <v>1</v>
      </c>
      <c r="K2148" s="6">
        <v>3</v>
      </c>
      <c r="L2148" s="2">
        <v>3.99</v>
      </c>
      <c r="M2148" s="6">
        <v>15</v>
      </c>
      <c r="N2148" t="str" cm="1">
        <f t="array" ref="N2148">_xlfn.IFS(M2148&gt;=50,"50-60 Days", M2148&gt;=40,"40-50 Days", M2148&gt;=30, "30-40 Days", M2148&gt;=20, "20-30 Days", M2148&gt;=10, "10-20 Days", M2148&gt;=0, "0-10 Days")</f>
        <v>10-20 Days</v>
      </c>
    </row>
    <row r="2149" spans="1:14">
      <c r="A2149">
        <v>2148</v>
      </c>
      <c r="B2149" t="s">
        <v>28</v>
      </c>
      <c r="C2149" s="5">
        <v>45520</v>
      </c>
      <c r="D2149" s="8">
        <v>45520</v>
      </c>
      <c r="E2149" s="8">
        <f>IF(B2149="Inactive", EDATE(D2149,K2149), "")</f>
        <v>45673</v>
      </c>
      <c r="F2149" t="s">
        <v>12</v>
      </c>
      <c r="G2149">
        <v>7.3</v>
      </c>
      <c r="H2149" t="str" cm="1">
        <f t="array" ref="H2149">_xlfn.IFS(G2149&gt;=20,"20-25", G2149&gt;=15,"15-20", G2149&gt;=10,"10-15", G2149&gt;=5,"5-10", G2149&gt;=1,"1-5", G2149&lt;1,"Less than 1")</f>
        <v>5-10</v>
      </c>
      <c r="I2149">
        <v>0</v>
      </c>
      <c r="J2149">
        <v>1</v>
      </c>
      <c r="K2149" s="6">
        <v>5</v>
      </c>
      <c r="L2149" s="2">
        <v>1.99</v>
      </c>
      <c r="M2149" s="6">
        <v>42</v>
      </c>
      <c r="N2149" t="str" cm="1">
        <f t="array" ref="N2149">_xlfn.IFS(M2149&gt;=50,"50-60 Days", M2149&gt;=40,"40-50 Days", M2149&gt;=30, "30-40 Days", M2149&gt;=20, "20-30 Days", M2149&gt;=10, "10-20 Days", M2149&gt;=0, "0-10 Days")</f>
        <v>40-50 Days</v>
      </c>
    </row>
    <row r="2150" spans="1:14">
      <c r="A2150">
        <v>2149</v>
      </c>
      <c r="B2150" t="s">
        <v>28</v>
      </c>
      <c r="C2150" s="5">
        <v>45656</v>
      </c>
      <c r="D2150" s="8">
        <v>45656</v>
      </c>
      <c r="E2150" s="8">
        <f>IF(B2150="Inactive", EDATE(D2150,K2150), "")</f>
        <v>45930</v>
      </c>
      <c r="F2150" t="s">
        <v>10</v>
      </c>
      <c r="G2150">
        <v>11.4</v>
      </c>
      <c r="H2150" t="str" cm="1">
        <f t="array" ref="H2150">_xlfn.IFS(G2150&gt;=20,"20-25", G2150&gt;=15,"15-20", G2150&gt;=10,"10-15", G2150&gt;=5,"5-10", G2150&gt;=1,"1-5", G2150&lt;1,"Less than 1")</f>
        <v>10-15</v>
      </c>
      <c r="I2150">
        <v>3</v>
      </c>
      <c r="J2150">
        <v>0</v>
      </c>
      <c r="K2150" s="6">
        <v>9</v>
      </c>
      <c r="L2150" s="2">
        <v>6.99</v>
      </c>
      <c r="M2150" s="6">
        <v>54</v>
      </c>
      <c r="N2150" t="str" cm="1">
        <f t="array" ref="N2150">_xlfn.IFS(M2150&gt;=50,"50-60 Days", M2150&gt;=40,"40-50 Days", M2150&gt;=30, "30-40 Days", M2150&gt;=20, "20-30 Days", M2150&gt;=10, "10-20 Days", M2150&gt;=0, "0-10 Days")</f>
        <v>50-60 Days</v>
      </c>
    </row>
    <row r="2151" spans="1:14">
      <c r="A2151">
        <v>2150</v>
      </c>
      <c r="B2151" t="s">
        <v>28</v>
      </c>
      <c r="C2151" s="5">
        <v>45481</v>
      </c>
      <c r="D2151" s="8">
        <v>45481</v>
      </c>
      <c r="E2151" s="8">
        <f>IF(B2151="Inactive", EDATE(D2151,K2151), "")</f>
        <v>45785</v>
      </c>
      <c r="F2151" t="s">
        <v>14</v>
      </c>
      <c r="G2151">
        <v>4.2</v>
      </c>
      <c r="H2151" t="str" cm="1">
        <f t="array" ref="H2151">_xlfn.IFS(G2151&gt;=20,"20-25", G2151&gt;=15,"15-20", G2151&gt;=10,"10-15", G2151&gt;=5,"5-10", G2151&gt;=1,"1-5", G2151&lt;1,"Less than 1")</f>
        <v>1-5</v>
      </c>
      <c r="I2151">
        <v>6</v>
      </c>
      <c r="J2151">
        <v>4</v>
      </c>
      <c r="K2151" s="6">
        <v>10</v>
      </c>
      <c r="L2151" s="2">
        <v>3.99</v>
      </c>
      <c r="M2151" s="6">
        <v>48</v>
      </c>
      <c r="N2151" t="str" cm="1">
        <f t="array" ref="N2151">_xlfn.IFS(M2151&gt;=50,"50-60 Days", M2151&gt;=40,"40-50 Days", M2151&gt;=30, "30-40 Days", M2151&gt;=20, "20-30 Days", M2151&gt;=10, "10-20 Days", M2151&gt;=0, "0-10 Days")</f>
        <v>40-50 Days</v>
      </c>
    </row>
    <row r="2152" spans="1:14">
      <c r="A2152">
        <v>2151</v>
      </c>
      <c r="B2152" t="s">
        <v>29</v>
      </c>
      <c r="C2152" s="5">
        <v>45277</v>
      </c>
      <c r="D2152" s="8">
        <v>45277</v>
      </c>
      <c r="E2152" s="8" t="str">
        <f>IF(B2152="Inactive", EDATE(D2152,K2152), "")</f>
        <v/>
      </c>
      <c r="F2152" t="s">
        <v>14</v>
      </c>
      <c r="G2152">
        <v>22.1</v>
      </c>
      <c r="H2152" t="str" cm="1">
        <f t="array" ref="H2152">_xlfn.IFS(G2152&gt;=20,"20-25", G2152&gt;=15,"15-20", G2152&gt;=10,"10-15", G2152&gt;=5,"5-10", G2152&gt;=1,"1-5", G2152&lt;1,"Less than 1")</f>
        <v>20-25</v>
      </c>
      <c r="I2152">
        <v>7</v>
      </c>
      <c r="J2152">
        <v>3</v>
      </c>
      <c r="K2152" s="6">
        <v>5</v>
      </c>
      <c r="L2152" s="2">
        <v>3.99</v>
      </c>
      <c r="M2152" s="6">
        <v>50</v>
      </c>
      <c r="N2152" t="str" cm="1">
        <f t="array" ref="N2152">_xlfn.IFS(M2152&gt;=50,"50-60 Days", M2152&gt;=40,"40-50 Days", M2152&gt;=30, "30-40 Days", M2152&gt;=20, "20-30 Days", M2152&gt;=10, "10-20 Days", M2152&gt;=0, "0-10 Days")</f>
        <v>50-60 Days</v>
      </c>
    </row>
    <row r="2153" spans="1:14">
      <c r="A2153">
        <v>2152</v>
      </c>
      <c r="B2153" t="s">
        <v>28</v>
      </c>
      <c r="C2153" s="5">
        <v>45074</v>
      </c>
      <c r="D2153" s="8">
        <v>45074</v>
      </c>
      <c r="E2153" s="8">
        <f>IF(B2153="Inactive", EDATE(D2153,K2153), "")</f>
        <v>45105</v>
      </c>
      <c r="F2153" t="s">
        <v>14</v>
      </c>
      <c r="G2153">
        <v>12.7</v>
      </c>
      <c r="H2153" t="str" cm="1">
        <f t="array" ref="H2153">_xlfn.IFS(G2153&gt;=20,"20-25", G2153&gt;=15,"15-20", G2153&gt;=10,"10-15", G2153&gt;=5,"5-10", G2153&gt;=1,"1-5", G2153&lt;1,"Less than 1")</f>
        <v>10-15</v>
      </c>
      <c r="I2153">
        <v>6</v>
      </c>
      <c r="J2153">
        <v>3</v>
      </c>
      <c r="K2153" s="6">
        <v>1</v>
      </c>
      <c r="L2153" s="2">
        <v>3.99</v>
      </c>
      <c r="M2153" s="6">
        <v>38</v>
      </c>
      <c r="N2153" t="str" cm="1">
        <f t="array" ref="N2153">_xlfn.IFS(M2153&gt;=50,"50-60 Days", M2153&gt;=40,"40-50 Days", M2153&gt;=30, "30-40 Days", M2153&gt;=20, "20-30 Days", M2153&gt;=10, "10-20 Days", M2153&gt;=0, "0-10 Days")</f>
        <v>30-40 Days</v>
      </c>
    </row>
    <row r="2154" spans="1:14">
      <c r="A2154">
        <v>2153</v>
      </c>
      <c r="B2154" t="s">
        <v>28</v>
      </c>
      <c r="C2154" s="5">
        <v>45150</v>
      </c>
      <c r="D2154" s="8">
        <v>45150</v>
      </c>
      <c r="E2154" s="8">
        <f>IF(B2154="Inactive", EDATE(D2154,K2154), "")</f>
        <v>45211</v>
      </c>
      <c r="F2154" t="s">
        <v>10</v>
      </c>
      <c r="G2154">
        <v>15.2</v>
      </c>
      <c r="H2154" t="str" cm="1">
        <f t="array" ref="H2154">_xlfn.IFS(G2154&gt;=20,"20-25", G2154&gt;=15,"15-20", G2154&gt;=10,"10-15", G2154&gt;=5,"5-10", G2154&gt;=1,"1-5", G2154&lt;1,"Less than 1")</f>
        <v>15-20</v>
      </c>
      <c r="I2154">
        <v>6</v>
      </c>
      <c r="J2154">
        <v>1</v>
      </c>
      <c r="K2154" s="6">
        <v>2</v>
      </c>
      <c r="L2154" s="2">
        <v>6.99</v>
      </c>
      <c r="M2154" s="6">
        <v>50</v>
      </c>
      <c r="N2154" t="str" cm="1">
        <f t="array" ref="N2154">_xlfn.IFS(M2154&gt;=50,"50-60 Days", M2154&gt;=40,"40-50 Days", M2154&gt;=30, "30-40 Days", M2154&gt;=20, "20-30 Days", M2154&gt;=10, "10-20 Days", M2154&gt;=0, "0-10 Days")</f>
        <v>50-60 Days</v>
      </c>
    </row>
    <row r="2155" spans="1:14">
      <c r="A2155">
        <v>2154</v>
      </c>
      <c r="B2155" t="s">
        <v>29</v>
      </c>
      <c r="C2155" s="5">
        <v>45315</v>
      </c>
      <c r="D2155" s="8">
        <v>45315</v>
      </c>
      <c r="E2155" s="8" t="str">
        <f>IF(B2155="Inactive", EDATE(D2155,K2155), "")</f>
        <v/>
      </c>
      <c r="F2155" t="s">
        <v>14</v>
      </c>
      <c r="G2155">
        <v>10.4</v>
      </c>
      <c r="H2155" t="str" cm="1">
        <f t="array" ref="H2155">_xlfn.IFS(G2155&gt;=20,"20-25", G2155&gt;=15,"15-20", G2155&gt;=10,"10-15", G2155&gt;=5,"5-10", G2155&gt;=1,"1-5", G2155&lt;1,"Less than 1")</f>
        <v>10-15</v>
      </c>
      <c r="I2155">
        <v>3</v>
      </c>
      <c r="J2155">
        <v>5</v>
      </c>
      <c r="K2155" s="6">
        <v>8</v>
      </c>
      <c r="L2155" s="2">
        <v>3.99</v>
      </c>
      <c r="M2155" s="6">
        <v>18</v>
      </c>
      <c r="N2155" t="str" cm="1">
        <f t="array" ref="N2155">_xlfn.IFS(M2155&gt;=50,"50-60 Days", M2155&gt;=40,"40-50 Days", M2155&gt;=30, "30-40 Days", M2155&gt;=20, "20-30 Days", M2155&gt;=10, "10-20 Days", M2155&gt;=0, "0-10 Days")</f>
        <v>10-20 Days</v>
      </c>
    </row>
    <row r="2156" spans="1:14">
      <c r="A2156">
        <v>2155</v>
      </c>
      <c r="B2156" t="s">
        <v>28</v>
      </c>
      <c r="C2156" s="5">
        <v>45657</v>
      </c>
      <c r="D2156" s="8">
        <v>45657</v>
      </c>
      <c r="E2156" s="8">
        <f>IF(B2156="Inactive", EDATE(D2156,K2156), "")</f>
        <v>45991</v>
      </c>
      <c r="F2156" t="s">
        <v>10</v>
      </c>
      <c r="G2156">
        <v>24</v>
      </c>
      <c r="H2156" t="str" cm="1">
        <f t="array" ref="H2156">_xlfn.IFS(G2156&gt;=20,"20-25", G2156&gt;=15,"15-20", G2156&gt;=10,"10-15", G2156&gt;=5,"5-10", G2156&gt;=1,"1-5", G2156&lt;1,"Less than 1")</f>
        <v>20-25</v>
      </c>
      <c r="I2156">
        <v>3</v>
      </c>
      <c r="J2156">
        <v>5</v>
      </c>
      <c r="K2156" s="6">
        <v>11</v>
      </c>
      <c r="L2156" s="2">
        <v>6.99</v>
      </c>
      <c r="M2156" s="6">
        <v>44</v>
      </c>
      <c r="N2156" t="str" cm="1">
        <f t="array" ref="N2156">_xlfn.IFS(M2156&gt;=50,"50-60 Days", M2156&gt;=40,"40-50 Days", M2156&gt;=30, "30-40 Days", M2156&gt;=20, "20-30 Days", M2156&gt;=10, "10-20 Days", M2156&gt;=0, "0-10 Days")</f>
        <v>40-50 Days</v>
      </c>
    </row>
    <row r="2157" spans="1:14">
      <c r="A2157">
        <v>2156</v>
      </c>
      <c r="B2157" t="s">
        <v>28</v>
      </c>
      <c r="C2157" s="5">
        <v>45383</v>
      </c>
      <c r="D2157" s="8">
        <v>45383</v>
      </c>
      <c r="E2157" s="8">
        <f>IF(B2157="Inactive", EDATE(D2157,K2157), "")</f>
        <v>45658</v>
      </c>
      <c r="F2157" t="s">
        <v>12</v>
      </c>
      <c r="G2157">
        <v>14.5</v>
      </c>
      <c r="H2157" t="str" cm="1">
        <f t="array" ref="H2157">_xlfn.IFS(G2157&gt;=20,"20-25", G2157&gt;=15,"15-20", G2157&gt;=10,"10-15", G2157&gt;=5,"5-10", G2157&gt;=1,"1-5", G2157&lt;1,"Less than 1")</f>
        <v>10-15</v>
      </c>
      <c r="I2157">
        <v>5</v>
      </c>
      <c r="J2157">
        <v>3</v>
      </c>
      <c r="K2157" s="6">
        <v>9</v>
      </c>
      <c r="L2157" s="2">
        <v>1.99</v>
      </c>
      <c r="M2157" s="6">
        <v>1</v>
      </c>
      <c r="N2157" t="str" cm="1">
        <f t="array" ref="N2157">_xlfn.IFS(M2157&gt;=50,"50-60 Days", M2157&gt;=40,"40-50 Days", M2157&gt;=30, "30-40 Days", M2157&gt;=20, "20-30 Days", M2157&gt;=10, "10-20 Days", M2157&gt;=0, "0-10 Days")</f>
        <v>0-10 Days</v>
      </c>
    </row>
    <row r="2158" spans="1:14">
      <c r="A2158">
        <v>2157</v>
      </c>
      <c r="B2158" t="s">
        <v>29</v>
      </c>
      <c r="C2158" s="5">
        <v>45193</v>
      </c>
      <c r="D2158" s="8">
        <v>45193</v>
      </c>
      <c r="E2158" s="8" t="str">
        <f>IF(B2158="Inactive", EDATE(D2158,K2158), "")</f>
        <v/>
      </c>
      <c r="F2158" t="s">
        <v>14</v>
      </c>
      <c r="G2158">
        <v>11.2</v>
      </c>
      <c r="H2158" t="str" cm="1">
        <f t="array" ref="H2158">_xlfn.IFS(G2158&gt;=20,"20-25", G2158&gt;=15,"15-20", G2158&gt;=10,"10-15", G2158&gt;=5,"5-10", G2158&gt;=1,"1-5", G2158&lt;1,"Less than 1")</f>
        <v>10-15</v>
      </c>
      <c r="I2158">
        <v>5</v>
      </c>
      <c r="J2158">
        <v>1</v>
      </c>
      <c r="K2158" s="6">
        <v>2</v>
      </c>
      <c r="L2158" s="2">
        <v>3.99</v>
      </c>
      <c r="M2158" s="6">
        <v>17</v>
      </c>
      <c r="N2158" t="str" cm="1">
        <f t="array" ref="N2158">_xlfn.IFS(M2158&gt;=50,"50-60 Days", M2158&gt;=40,"40-50 Days", M2158&gt;=30, "30-40 Days", M2158&gt;=20, "20-30 Days", M2158&gt;=10, "10-20 Days", M2158&gt;=0, "0-10 Days")</f>
        <v>10-20 Days</v>
      </c>
    </row>
    <row r="2159" spans="1:14">
      <c r="A2159">
        <v>2158</v>
      </c>
      <c r="B2159" t="s">
        <v>28</v>
      </c>
      <c r="C2159" s="5">
        <v>44964</v>
      </c>
      <c r="D2159" s="8">
        <v>44964</v>
      </c>
      <c r="E2159" s="8">
        <f>IF(B2159="Inactive", EDATE(D2159,K2159), "")</f>
        <v>45084</v>
      </c>
      <c r="F2159" t="s">
        <v>14</v>
      </c>
      <c r="G2159">
        <v>4.5999999999999996</v>
      </c>
      <c r="H2159" t="str" cm="1">
        <f t="array" ref="H2159">_xlfn.IFS(G2159&gt;=20,"20-25", G2159&gt;=15,"15-20", G2159&gt;=10,"10-15", G2159&gt;=5,"5-10", G2159&gt;=1,"1-5", G2159&lt;1,"Less than 1")</f>
        <v>1-5</v>
      </c>
      <c r="I2159">
        <v>8</v>
      </c>
      <c r="J2159">
        <v>4</v>
      </c>
      <c r="K2159" s="6">
        <v>4</v>
      </c>
      <c r="L2159" s="2">
        <v>3.99</v>
      </c>
      <c r="M2159" s="6">
        <v>33</v>
      </c>
      <c r="N2159" t="str" cm="1">
        <f t="array" ref="N2159">_xlfn.IFS(M2159&gt;=50,"50-60 Days", M2159&gt;=40,"40-50 Days", M2159&gt;=30, "30-40 Days", M2159&gt;=20, "20-30 Days", M2159&gt;=10, "10-20 Days", M2159&gt;=0, "0-10 Days")</f>
        <v>30-40 Days</v>
      </c>
    </row>
    <row r="2160" spans="1:14">
      <c r="A2160">
        <v>2159</v>
      </c>
      <c r="B2160" t="s">
        <v>29</v>
      </c>
      <c r="C2160" s="5">
        <v>45021</v>
      </c>
      <c r="D2160" s="8">
        <v>45021</v>
      </c>
      <c r="E2160" s="8" t="str">
        <f>IF(B2160="Inactive", EDATE(D2160,K2160), "")</f>
        <v/>
      </c>
      <c r="F2160" t="s">
        <v>14</v>
      </c>
      <c r="G2160">
        <v>1.7</v>
      </c>
      <c r="H2160" t="str" cm="1">
        <f t="array" ref="H2160">_xlfn.IFS(G2160&gt;=20,"20-25", G2160&gt;=15,"15-20", G2160&gt;=10,"10-15", G2160&gt;=5,"5-10", G2160&gt;=1,"1-5", G2160&lt;1,"Less than 1")</f>
        <v>1-5</v>
      </c>
      <c r="I2160">
        <v>3</v>
      </c>
      <c r="J2160">
        <v>0</v>
      </c>
      <c r="K2160" s="6">
        <v>8</v>
      </c>
      <c r="L2160" s="2">
        <v>3.99</v>
      </c>
      <c r="M2160" s="6">
        <v>45</v>
      </c>
      <c r="N2160" t="str" cm="1">
        <f t="array" ref="N2160">_xlfn.IFS(M2160&gt;=50,"50-60 Days", M2160&gt;=40,"40-50 Days", M2160&gt;=30, "30-40 Days", M2160&gt;=20, "20-30 Days", M2160&gt;=10, "10-20 Days", M2160&gt;=0, "0-10 Days")</f>
        <v>40-50 Days</v>
      </c>
    </row>
    <row r="2161" spans="1:14">
      <c r="A2161">
        <v>2160</v>
      </c>
      <c r="B2161" t="s">
        <v>28</v>
      </c>
      <c r="C2161" s="5">
        <v>45079</v>
      </c>
      <c r="D2161" s="8">
        <v>45079</v>
      </c>
      <c r="E2161" s="8">
        <f>IF(B2161="Inactive", EDATE(D2161,K2161), "")</f>
        <v>45445</v>
      </c>
      <c r="F2161" t="s">
        <v>10</v>
      </c>
      <c r="G2161">
        <v>1.7</v>
      </c>
      <c r="H2161" t="str" cm="1">
        <f t="array" ref="H2161">_xlfn.IFS(G2161&gt;=20,"20-25", G2161&gt;=15,"15-20", G2161&gt;=10,"10-15", G2161&gt;=5,"5-10", G2161&gt;=1,"1-5", G2161&lt;1,"Less than 1")</f>
        <v>1-5</v>
      </c>
      <c r="I2161">
        <v>1</v>
      </c>
      <c r="J2161">
        <v>4</v>
      </c>
      <c r="K2161" s="6">
        <v>12</v>
      </c>
      <c r="L2161" s="2">
        <v>6.99</v>
      </c>
      <c r="M2161" s="6">
        <v>59</v>
      </c>
      <c r="N2161" t="str" cm="1">
        <f t="array" ref="N2161">_xlfn.IFS(M2161&gt;=50,"50-60 Days", M2161&gt;=40,"40-50 Days", M2161&gt;=30, "30-40 Days", M2161&gt;=20, "20-30 Days", M2161&gt;=10, "10-20 Days", M2161&gt;=0, "0-10 Days")</f>
        <v>50-60 Days</v>
      </c>
    </row>
    <row r="2162" spans="1:14">
      <c r="A2162">
        <v>2161</v>
      </c>
      <c r="B2162" t="s">
        <v>29</v>
      </c>
      <c r="C2162" s="5">
        <v>45097</v>
      </c>
      <c r="D2162" s="8">
        <v>45097</v>
      </c>
      <c r="E2162" s="8" t="str">
        <f>IF(B2162="Inactive", EDATE(D2162,K2162), "")</f>
        <v/>
      </c>
      <c r="F2162" t="s">
        <v>14</v>
      </c>
      <c r="G2162">
        <v>21.5</v>
      </c>
      <c r="H2162" t="str" cm="1">
        <f t="array" ref="H2162">_xlfn.IFS(G2162&gt;=20,"20-25", G2162&gt;=15,"15-20", G2162&gt;=10,"10-15", G2162&gt;=5,"5-10", G2162&gt;=1,"1-5", G2162&lt;1,"Less than 1")</f>
        <v>20-25</v>
      </c>
      <c r="I2162">
        <v>4</v>
      </c>
      <c r="J2162">
        <v>1</v>
      </c>
      <c r="K2162" s="6">
        <v>4</v>
      </c>
      <c r="L2162" s="2">
        <v>3.99</v>
      </c>
      <c r="M2162" s="6">
        <v>14</v>
      </c>
      <c r="N2162" t="str" cm="1">
        <f t="array" ref="N2162">_xlfn.IFS(M2162&gt;=50,"50-60 Days", M2162&gt;=40,"40-50 Days", M2162&gt;=30, "30-40 Days", M2162&gt;=20, "20-30 Days", M2162&gt;=10, "10-20 Days", M2162&gt;=0, "0-10 Days")</f>
        <v>10-20 Days</v>
      </c>
    </row>
    <row r="2163" spans="1:14">
      <c r="A2163">
        <v>2162</v>
      </c>
      <c r="B2163" t="s">
        <v>29</v>
      </c>
      <c r="C2163" s="5">
        <v>45107</v>
      </c>
      <c r="D2163" s="8">
        <v>45107</v>
      </c>
      <c r="E2163" s="8" t="str">
        <f>IF(B2163="Inactive", EDATE(D2163,K2163), "")</f>
        <v/>
      </c>
      <c r="F2163" t="s">
        <v>10</v>
      </c>
      <c r="G2163">
        <v>6.2</v>
      </c>
      <c r="H2163" t="str" cm="1">
        <f t="array" ref="H2163">_xlfn.IFS(G2163&gt;=20,"20-25", G2163&gt;=15,"15-20", G2163&gt;=10,"10-15", G2163&gt;=5,"5-10", G2163&gt;=1,"1-5", G2163&lt;1,"Less than 1")</f>
        <v>5-10</v>
      </c>
      <c r="I2163">
        <v>1</v>
      </c>
      <c r="J2163">
        <v>4</v>
      </c>
      <c r="K2163" s="6">
        <v>2</v>
      </c>
      <c r="L2163" s="2">
        <v>6.99</v>
      </c>
      <c r="M2163" s="6">
        <v>3</v>
      </c>
      <c r="N2163" t="str" cm="1">
        <f t="array" ref="N2163">_xlfn.IFS(M2163&gt;=50,"50-60 Days", M2163&gt;=40,"40-50 Days", M2163&gt;=30, "30-40 Days", M2163&gt;=20, "20-30 Days", M2163&gt;=10, "10-20 Days", M2163&gt;=0, "0-10 Days")</f>
        <v>0-10 Days</v>
      </c>
    </row>
    <row r="2164" spans="1:14">
      <c r="A2164">
        <v>2163</v>
      </c>
      <c r="B2164" t="s">
        <v>28</v>
      </c>
      <c r="C2164" s="5">
        <v>45127</v>
      </c>
      <c r="D2164" s="8">
        <v>45127</v>
      </c>
      <c r="E2164" s="8">
        <f>IF(B2164="Inactive", EDATE(D2164,K2164), "")</f>
        <v>45493</v>
      </c>
      <c r="F2164" t="s">
        <v>14</v>
      </c>
      <c r="G2164">
        <v>12</v>
      </c>
      <c r="H2164" t="str" cm="1">
        <f t="array" ref="H2164">_xlfn.IFS(G2164&gt;=20,"20-25", G2164&gt;=15,"15-20", G2164&gt;=10,"10-15", G2164&gt;=5,"5-10", G2164&gt;=1,"1-5", G2164&lt;1,"Less than 1")</f>
        <v>10-15</v>
      </c>
      <c r="I2164">
        <v>6</v>
      </c>
      <c r="J2164">
        <v>1</v>
      </c>
      <c r="K2164" s="6">
        <v>12</v>
      </c>
      <c r="L2164" s="2">
        <v>3.99</v>
      </c>
      <c r="M2164" s="6">
        <v>15</v>
      </c>
      <c r="N2164" t="str" cm="1">
        <f t="array" ref="N2164">_xlfn.IFS(M2164&gt;=50,"50-60 Days", M2164&gt;=40,"40-50 Days", M2164&gt;=30, "30-40 Days", M2164&gt;=20, "20-30 Days", M2164&gt;=10, "10-20 Days", M2164&gt;=0, "0-10 Days")</f>
        <v>10-20 Days</v>
      </c>
    </row>
    <row r="2165" spans="1:14">
      <c r="A2165">
        <v>2164</v>
      </c>
      <c r="B2165" t="s">
        <v>28</v>
      </c>
      <c r="C2165" s="5">
        <v>45473</v>
      </c>
      <c r="D2165" s="8">
        <v>45473</v>
      </c>
      <c r="E2165" s="8">
        <f>IF(B2165="Inactive", EDATE(D2165,K2165), "")</f>
        <v>45534</v>
      </c>
      <c r="F2165" t="s">
        <v>10</v>
      </c>
      <c r="G2165">
        <v>2.2000000000000002</v>
      </c>
      <c r="H2165" t="str" cm="1">
        <f t="array" ref="H2165">_xlfn.IFS(G2165&gt;=20,"20-25", G2165&gt;=15,"15-20", G2165&gt;=10,"10-15", G2165&gt;=5,"5-10", G2165&gt;=1,"1-5", G2165&lt;1,"Less than 1")</f>
        <v>1-5</v>
      </c>
      <c r="I2165">
        <v>1</v>
      </c>
      <c r="J2165">
        <v>2</v>
      </c>
      <c r="K2165" s="6">
        <v>2</v>
      </c>
      <c r="L2165" s="2">
        <v>6.99</v>
      </c>
      <c r="M2165" s="6">
        <v>52</v>
      </c>
      <c r="N2165" t="str" cm="1">
        <f t="array" ref="N2165">_xlfn.IFS(M2165&gt;=50,"50-60 Days", M2165&gt;=40,"40-50 Days", M2165&gt;=30, "30-40 Days", M2165&gt;=20, "20-30 Days", M2165&gt;=10, "10-20 Days", M2165&gt;=0, "0-10 Days")</f>
        <v>50-60 Days</v>
      </c>
    </row>
    <row r="2166" spans="1:14">
      <c r="A2166">
        <v>2165</v>
      </c>
      <c r="B2166" t="s">
        <v>28</v>
      </c>
      <c r="C2166" s="5">
        <v>45118</v>
      </c>
      <c r="D2166" s="8">
        <v>45118</v>
      </c>
      <c r="E2166" s="8">
        <f>IF(B2166="Inactive", EDATE(D2166,K2166), "")</f>
        <v>45423</v>
      </c>
      <c r="F2166" t="s">
        <v>12</v>
      </c>
      <c r="G2166">
        <v>14.1</v>
      </c>
      <c r="H2166" t="str" cm="1">
        <f t="array" ref="H2166">_xlfn.IFS(G2166&gt;=20,"20-25", G2166&gt;=15,"15-20", G2166&gt;=10,"10-15", G2166&gt;=5,"5-10", G2166&gt;=1,"1-5", G2166&lt;1,"Less than 1")</f>
        <v>10-15</v>
      </c>
      <c r="I2166">
        <v>5</v>
      </c>
      <c r="J2166">
        <v>5</v>
      </c>
      <c r="K2166" s="6">
        <v>10</v>
      </c>
      <c r="L2166" s="2">
        <v>1.99</v>
      </c>
      <c r="M2166" s="6">
        <v>11</v>
      </c>
      <c r="N2166" t="str" cm="1">
        <f t="array" ref="N2166">_xlfn.IFS(M2166&gt;=50,"50-60 Days", M2166&gt;=40,"40-50 Days", M2166&gt;=30, "30-40 Days", M2166&gt;=20, "20-30 Days", M2166&gt;=10, "10-20 Days", M2166&gt;=0, "0-10 Days")</f>
        <v>10-20 Days</v>
      </c>
    </row>
    <row r="2167" spans="1:14">
      <c r="A2167">
        <v>2166</v>
      </c>
      <c r="B2167" t="s">
        <v>29</v>
      </c>
      <c r="C2167" s="5">
        <v>45439</v>
      </c>
      <c r="D2167" s="8">
        <v>45439</v>
      </c>
      <c r="E2167" s="8" t="str">
        <f>IF(B2167="Inactive", EDATE(D2167,K2167), "")</f>
        <v/>
      </c>
      <c r="F2167" t="s">
        <v>12</v>
      </c>
      <c r="G2167">
        <v>8.5</v>
      </c>
      <c r="H2167" t="str" cm="1">
        <f t="array" ref="H2167">_xlfn.IFS(G2167&gt;=20,"20-25", G2167&gt;=15,"15-20", G2167&gt;=10,"10-15", G2167&gt;=5,"5-10", G2167&gt;=1,"1-5", G2167&lt;1,"Less than 1")</f>
        <v>5-10</v>
      </c>
      <c r="I2167">
        <v>2</v>
      </c>
      <c r="J2167">
        <v>2</v>
      </c>
      <c r="K2167" s="6">
        <v>1</v>
      </c>
      <c r="L2167" s="2">
        <v>1.99</v>
      </c>
      <c r="M2167" s="6">
        <v>32</v>
      </c>
      <c r="N2167" t="str" cm="1">
        <f t="array" ref="N2167">_xlfn.IFS(M2167&gt;=50,"50-60 Days", M2167&gt;=40,"40-50 Days", M2167&gt;=30, "30-40 Days", M2167&gt;=20, "20-30 Days", M2167&gt;=10, "10-20 Days", M2167&gt;=0, "0-10 Days")</f>
        <v>30-40 Days</v>
      </c>
    </row>
    <row r="2168" spans="1:14">
      <c r="A2168">
        <v>2167</v>
      </c>
      <c r="B2168" t="s">
        <v>28</v>
      </c>
      <c r="C2168" s="5">
        <v>45062</v>
      </c>
      <c r="D2168" s="8">
        <v>45062</v>
      </c>
      <c r="E2168" s="8">
        <f>IF(B2168="Inactive", EDATE(D2168,K2168), "")</f>
        <v>45123</v>
      </c>
      <c r="F2168" t="s">
        <v>10</v>
      </c>
      <c r="G2168">
        <v>10.1</v>
      </c>
      <c r="H2168" t="str" cm="1">
        <f t="array" ref="H2168">_xlfn.IFS(G2168&gt;=20,"20-25", G2168&gt;=15,"15-20", G2168&gt;=10,"10-15", G2168&gt;=5,"5-10", G2168&gt;=1,"1-5", G2168&lt;1,"Less than 1")</f>
        <v>10-15</v>
      </c>
      <c r="I2168">
        <v>2</v>
      </c>
      <c r="J2168">
        <v>0</v>
      </c>
      <c r="K2168" s="6">
        <v>2</v>
      </c>
      <c r="L2168" s="2">
        <v>6.99</v>
      </c>
      <c r="M2168" s="6">
        <v>30</v>
      </c>
      <c r="N2168" t="str" cm="1">
        <f t="array" ref="N2168">_xlfn.IFS(M2168&gt;=50,"50-60 Days", M2168&gt;=40,"40-50 Days", M2168&gt;=30, "30-40 Days", M2168&gt;=20, "20-30 Days", M2168&gt;=10, "10-20 Days", M2168&gt;=0, "0-10 Days")</f>
        <v>30-40 Days</v>
      </c>
    </row>
    <row r="2169" spans="1:14">
      <c r="A2169">
        <v>2168</v>
      </c>
      <c r="B2169" t="s">
        <v>28</v>
      </c>
      <c r="C2169" s="5">
        <v>45654</v>
      </c>
      <c r="D2169" s="8">
        <v>45654</v>
      </c>
      <c r="E2169" s="8">
        <f>IF(B2169="Inactive", EDATE(D2169,K2169), "")</f>
        <v>45897</v>
      </c>
      <c r="F2169" t="s">
        <v>12</v>
      </c>
      <c r="G2169">
        <v>14.6</v>
      </c>
      <c r="H2169" t="str" cm="1">
        <f t="array" ref="H2169">_xlfn.IFS(G2169&gt;=20,"20-25", G2169&gt;=15,"15-20", G2169&gt;=10,"10-15", G2169&gt;=5,"5-10", G2169&gt;=1,"1-5", G2169&lt;1,"Less than 1")</f>
        <v>10-15</v>
      </c>
      <c r="I2169">
        <v>4</v>
      </c>
      <c r="J2169">
        <v>3</v>
      </c>
      <c r="K2169" s="6">
        <v>8</v>
      </c>
      <c r="L2169" s="2">
        <v>1.99</v>
      </c>
      <c r="M2169" s="6">
        <v>15</v>
      </c>
      <c r="N2169" t="str" cm="1">
        <f t="array" ref="N2169">_xlfn.IFS(M2169&gt;=50,"50-60 Days", M2169&gt;=40,"40-50 Days", M2169&gt;=30, "30-40 Days", M2169&gt;=20, "20-30 Days", M2169&gt;=10, "10-20 Days", M2169&gt;=0, "0-10 Days")</f>
        <v>10-20 Days</v>
      </c>
    </row>
    <row r="2170" spans="1:14">
      <c r="A2170">
        <v>2169</v>
      </c>
      <c r="B2170" t="s">
        <v>28</v>
      </c>
      <c r="C2170" s="5">
        <v>45221</v>
      </c>
      <c r="D2170" s="8">
        <v>45221</v>
      </c>
      <c r="E2170" s="8">
        <f>IF(B2170="Inactive", EDATE(D2170,K2170), "")</f>
        <v>45404</v>
      </c>
      <c r="F2170" t="s">
        <v>12</v>
      </c>
      <c r="G2170">
        <v>4.5</v>
      </c>
      <c r="H2170" t="str" cm="1">
        <f t="array" ref="H2170">_xlfn.IFS(G2170&gt;=20,"20-25", G2170&gt;=15,"15-20", G2170&gt;=10,"10-15", G2170&gt;=5,"5-10", G2170&gt;=1,"1-5", G2170&lt;1,"Less than 1")</f>
        <v>1-5</v>
      </c>
      <c r="I2170">
        <v>0</v>
      </c>
      <c r="J2170">
        <v>0</v>
      </c>
      <c r="K2170" s="6">
        <v>6</v>
      </c>
      <c r="L2170" s="2">
        <v>1.99</v>
      </c>
      <c r="M2170" s="6">
        <v>24</v>
      </c>
      <c r="N2170" t="str" cm="1">
        <f t="array" ref="N2170">_xlfn.IFS(M2170&gt;=50,"50-60 Days", M2170&gt;=40,"40-50 Days", M2170&gt;=30, "30-40 Days", M2170&gt;=20, "20-30 Days", M2170&gt;=10, "10-20 Days", M2170&gt;=0, "0-10 Days")</f>
        <v>20-30 Days</v>
      </c>
    </row>
    <row r="2171" spans="1:14">
      <c r="A2171">
        <v>2170</v>
      </c>
      <c r="B2171" t="s">
        <v>28</v>
      </c>
      <c r="C2171" s="5">
        <v>45464</v>
      </c>
      <c r="D2171" s="8">
        <v>45464</v>
      </c>
      <c r="E2171" s="8">
        <f>IF(B2171="Inactive", EDATE(D2171,K2171), "")</f>
        <v>45829</v>
      </c>
      <c r="F2171" t="s">
        <v>14</v>
      </c>
      <c r="G2171">
        <v>20.100000000000001</v>
      </c>
      <c r="H2171" t="str" cm="1">
        <f t="array" ref="H2171">_xlfn.IFS(G2171&gt;=20,"20-25", G2171&gt;=15,"15-20", G2171&gt;=10,"10-15", G2171&gt;=5,"5-10", G2171&gt;=1,"1-5", G2171&lt;1,"Less than 1")</f>
        <v>20-25</v>
      </c>
      <c r="I2171">
        <v>6</v>
      </c>
      <c r="J2171">
        <v>4</v>
      </c>
      <c r="K2171" s="6">
        <v>12</v>
      </c>
      <c r="L2171" s="2">
        <v>3.99</v>
      </c>
      <c r="M2171" s="6">
        <v>34</v>
      </c>
      <c r="N2171" t="str" cm="1">
        <f t="array" ref="N2171">_xlfn.IFS(M2171&gt;=50,"50-60 Days", M2171&gt;=40,"40-50 Days", M2171&gt;=30, "30-40 Days", M2171&gt;=20, "20-30 Days", M2171&gt;=10, "10-20 Days", M2171&gt;=0, "0-10 Days")</f>
        <v>30-40 Days</v>
      </c>
    </row>
    <row r="2172" spans="1:14">
      <c r="A2172">
        <v>2171</v>
      </c>
      <c r="B2172" t="s">
        <v>29</v>
      </c>
      <c r="C2172" s="5">
        <v>45097</v>
      </c>
      <c r="D2172" s="8">
        <v>45097</v>
      </c>
      <c r="E2172" s="8" t="str">
        <f>IF(B2172="Inactive", EDATE(D2172,K2172), "")</f>
        <v/>
      </c>
      <c r="F2172" t="s">
        <v>14</v>
      </c>
      <c r="G2172">
        <v>9.1999999999999993</v>
      </c>
      <c r="H2172" t="str" cm="1">
        <f t="array" ref="H2172">_xlfn.IFS(G2172&gt;=20,"20-25", G2172&gt;=15,"15-20", G2172&gt;=10,"10-15", G2172&gt;=5,"5-10", G2172&gt;=1,"1-5", G2172&lt;1,"Less than 1")</f>
        <v>5-10</v>
      </c>
      <c r="I2172">
        <v>6</v>
      </c>
      <c r="J2172">
        <v>2</v>
      </c>
      <c r="K2172" s="6">
        <v>12</v>
      </c>
      <c r="L2172" s="2">
        <v>3.99</v>
      </c>
      <c r="M2172" s="6">
        <v>33</v>
      </c>
      <c r="N2172" t="str" cm="1">
        <f t="array" ref="N2172">_xlfn.IFS(M2172&gt;=50,"50-60 Days", M2172&gt;=40,"40-50 Days", M2172&gt;=30, "30-40 Days", M2172&gt;=20, "20-30 Days", M2172&gt;=10, "10-20 Days", M2172&gt;=0, "0-10 Days")</f>
        <v>30-40 Days</v>
      </c>
    </row>
    <row r="2173" spans="1:14">
      <c r="A2173">
        <v>2172</v>
      </c>
      <c r="B2173" t="s">
        <v>29</v>
      </c>
      <c r="C2173" s="5">
        <v>45303</v>
      </c>
      <c r="D2173" s="8">
        <v>45303</v>
      </c>
      <c r="E2173" s="8" t="str">
        <f>IF(B2173="Inactive", EDATE(D2173,K2173), "")</f>
        <v/>
      </c>
      <c r="F2173" t="s">
        <v>10</v>
      </c>
      <c r="G2173">
        <v>3.6</v>
      </c>
      <c r="H2173" t="str" cm="1">
        <f t="array" ref="H2173">_xlfn.IFS(G2173&gt;=20,"20-25", G2173&gt;=15,"15-20", G2173&gt;=10,"10-15", G2173&gt;=5,"5-10", G2173&gt;=1,"1-5", G2173&lt;1,"Less than 1")</f>
        <v>1-5</v>
      </c>
      <c r="I2173">
        <v>0</v>
      </c>
      <c r="J2173">
        <v>1</v>
      </c>
      <c r="K2173" s="6">
        <v>11</v>
      </c>
      <c r="L2173" s="2">
        <v>6.99</v>
      </c>
      <c r="M2173" s="6">
        <v>4</v>
      </c>
      <c r="N2173" t="str" cm="1">
        <f t="array" ref="N2173">_xlfn.IFS(M2173&gt;=50,"50-60 Days", M2173&gt;=40,"40-50 Days", M2173&gt;=30, "30-40 Days", M2173&gt;=20, "20-30 Days", M2173&gt;=10, "10-20 Days", M2173&gt;=0, "0-10 Days")</f>
        <v>0-10 Days</v>
      </c>
    </row>
    <row r="2174" spans="1:14">
      <c r="A2174">
        <v>2173</v>
      </c>
      <c r="B2174" t="s">
        <v>28</v>
      </c>
      <c r="C2174" s="5">
        <v>44951</v>
      </c>
      <c r="D2174" s="8">
        <v>44951</v>
      </c>
      <c r="E2174" s="8">
        <f>IF(B2174="Inactive", EDATE(D2174,K2174), "")</f>
        <v>45041</v>
      </c>
      <c r="F2174" t="s">
        <v>14</v>
      </c>
      <c r="G2174">
        <v>15.3</v>
      </c>
      <c r="H2174" t="str" cm="1">
        <f t="array" ref="H2174">_xlfn.IFS(G2174&gt;=20,"20-25", G2174&gt;=15,"15-20", G2174&gt;=10,"10-15", G2174&gt;=5,"5-10", G2174&gt;=1,"1-5", G2174&lt;1,"Less than 1")</f>
        <v>15-20</v>
      </c>
      <c r="I2174">
        <v>6</v>
      </c>
      <c r="J2174">
        <v>3</v>
      </c>
      <c r="K2174" s="6">
        <v>3</v>
      </c>
      <c r="L2174" s="2">
        <v>3.99</v>
      </c>
      <c r="M2174" s="6">
        <v>24</v>
      </c>
      <c r="N2174" t="str" cm="1">
        <f t="array" ref="N2174">_xlfn.IFS(M2174&gt;=50,"50-60 Days", M2174&gt;=40,"40-50 Days", M2174&gt;=30, "30-40 Days", M2174&gt;=20, "20-30 Days", M2174&gt;=10, "10-20 Days", M2174&gt;=0, "0-10 Days")</f>
        <v>20-30 Days</v>
      </c>
    </row>
    <row r="2175" spans="1:14">
      <c r="A2175">
        <v>2174</v>
      </c>
      <c r="B2175" t="s">
        <v>29</v>
      </c>
      <c r="C2175" s="5">
        <v>45077</v>
      </c>
      <c r="D2175" s="8">
        <v>45077</v>
      </c>
      <c r="E2175" s="8" t="str">
        <f>IF(B2175="Inactive", EDATE(D2175,K2175), "")</f>
        <v/>
      </c>
      <c r="F2175" t="s">
        <v>14</v>
      </c>
      <c r="G2175">
        <v>5.4</v>
      </c>
      <c r="H2175" t="str" cm="1">
        <f t="array" ref="H2175">_xlfn.IFS(G2175&gt;=20,"20-25", G2175&gt;=15,"15-20", G2175&gt;=10,"10-15", G2175&gt;=5,"5-10", G2175&gt;=1,"1-5", G2175&lt;1,"Less than 1")</f>
        <v>5-10</v>
      </c>
      <c r="I2175">
        <v>0</v>
      </c>
      <c r="J2175">
        <v>1</v>
      </c>
      <c r="K2175" s="6">
        <v>11</v>
      </c>
      <c r="L2175" s="2">
        <v>3.99</v>
      </c>
      <c r="M2175" s="6">
        <v>27</v>
      </c>
      <c r="N2175" t="str" cm="1">
        <f t="array" ref="N2175">_xlfn.IFS(M2175&gt;=50,"50-60 Days", M2175&gt;=40,"40-50 Days", M2175&gt;=30, "30-40 Days", M2175&gt;=20, "20-30 Days", M2175&gt;=10, "10-20 Days", M2175&gt;=0, "0-10 Days")</f>
        <v>20-30 Days</v>
      </c>
    </row>
    <row r="2176" spans="1:14">
      <c r="A2176">
        <v>2175</v>
      </c>
      <c r="B2176" t="s">
        <v>28</v>
      </c>
      <c r="C2176" s="5">
        <v>45159</v>
      </c>
      <c r="D2176" s="8">
        <v>45159</v>
      </c>
      <c r="E2176" s="8">
        <f>IF(B2176="Inactive", EDATE(D2176,K2176), "")</f>
        <v>45251</v>
      </c>
      <c r="F2176" t="s">
        <v>14</v>
      </c>
      <c r="G2176">
        <v>16.399999999999999</v>
      </c>
      <c r="H2176" t="str" cm="1">
        <f t="array" ref="H2176">_xlfn.IFS(G2176&gt;=20,"20-25", G2176&gt;=15,"15-20", G2176&gt;=10,"10-15", G2176&gt;=5,"5-10", G2176&gt;=1,"1-5", G2176&lt;1,"Less than 1")</f>
        <v>15-20</v>
      </c>
      <c r="I2176">
        <v>4</v>
      </c>
      <c r="J2176">
        <v>3</v>
      </c>
      <c r="K2176" s="6">
        <v>3</v>
      </c>
      <c r="L2176" s="2">
        <v>3.99</v>
      </c>
      <c r="M2176" s="6">
        <v>15</v>
      </c>
      <c r="N2176" t="str" cm="1">
        <f t="array" ref="N2176">_xlfn.IFS(M2176&gt;=50,"50-60 Days", M2176&gt;=40,"40-50 Days", M2176&gt;=30, "30-40 Days", M2176&gt;=20, "20-30 Days", M2176&gt;=10, "10-20 Days", M2176&gt;=0, "0-10 Days")</f>
        <v>10-20 Days</v>
      </c>
    </row>
    <row r="2177" spans="1:14">
      <c r="A2177">
        <v>2176</v>
      </c>
      <c r="B2177" t="s">
        <v>28</v>
      </c>
      <c r="C2177" s="5">
        <v>45136</v>
      </c>
      <c r="D2177" s="8">
        <v>45136</v>
      </c>
      <c r="E2177" s="8">
        <f>IF(B2177="Inactive", EDATE(D2177,K2177), "")</f>
        <v>45320</v>
      </c>
      <c r="F2177" t="s">
        <v>14</v>
      </c>
      <c r="G2177">
        <v>12.4</v>
      </c>
      <c r="H2177" t="str" cm="1">
        <f t="array" ref="H2177">_xlfn.IFS(G2177&gt;=20,"20-25", G2177&gt;=15,"15-20", G2177&gt;=10,"10-15", G2177&gt;=5,"5-10", G2177&gt;=1,"1-5", G2177&lt;1,"Less than 1")</f>
        <v>10-15</v>
      </c>
      <c r="I2177">
        <v>7</v>
      </c>
      <c r="J2177">
        <v>5</v>
      </c>
      <c r="K2177" s="6">
        <v>6</v>
      </c>
      <c r="L2177" s="2">
        <v>3.99</v>
      </c>
      <c r="M2177" s="6">
        <v>29</v>
      </c>
      <c r="N2177" t="str" cm="1">
        <f t="array" ref="N2177">_xlfn.IFS(M2177&gt;=50,"50-60 Days", M2177&gt;=40,"40-50 Days", M2177&gt;=30, "30-40 Days", M2177&gt;=20, "20-30 Days", M2177&gt;=10, "10-20 Days", M2177&gt;=0, "0-10 Days")</f>
        <v>20-30 Days</v>
      </c>
    </row>
    <row r="2178" spans="1:14">
      <c r="A2178">
        <v>2177</v>
      </c>
      <c r="B2178" t="s">
        <v>28</v>
      </c>
      <c r="C2178" s="5">
        <v>45582</v>
      </c>
      <c r="D2178" s="8">
        <v>45582</v>
      </c>
      <c r="E2178" s="8">
        <f>IF(B2178="Inactive", EDATE(D2178,K2178), "")</f>
        <v>45674</v>
      </c>
      <c r="F2178" t="s">
        <v>14</v>
      </c>
      <c r="G2178">
        <v>10.7</v>
      </c>
      <c r="H2178" t="str" cm="1">
        <f t="array" ref="H2178">_xlfn.IFS(G2178&gt;=20,"20-25", G2178&gt;=15,"15-20", G2178&gt;=10,"10-15", G2178&gt;=5,"5-10", G2178&gt;=1,"1-5", G2178&lt;1,"Less than 1")</f>
        <v>10-15</v>
      </c>
      <c r="I2178">
        <v>0</v>
      </c>
      <c r="J2178">
        <v>1</v>
      </c>
      <c r="K2178" s="6">
        <v>3</v>
      </c>
      <c r="L2178" s="2">
        <v>3.99</v>
      </c>
      <c r="M2178" s="6">
        <v>60</v>
      </c>
      <c r="N2178" t="str" cm="1">
        <f t="array" ref="N2178">_xlfn.IFS(M2178&gt;=50,"50-60 Days", M2178&gt;=40,"40-50 Days", M2178&gt;=30, "30-40 Days", M2178&gt;=20, "20-30 Days", M2178&gt;=10, "10-20 Days", M2178&gt;=0, "0-10 Days")</f>
        <v>50-60 Days</v>
      </c>
    </row>
    <row r="2179" spans="1:14">
      <c r="A2179">
        <v>2178</v>
      </c>
      <c r="B2179" t="s">
        <v>28</v>
      </c>
      <c r="C2179" s="5">
        <v>45596</v>
      </c>
      <c r="D2179" s="8">
        <v>45596</v>
      </c>
      <c r="E2179" s="8">
        <f>IF(B2179="Inactive", EDATE(D2179,K2179), "")</f>
        <v>45808</v>
      </c>
      <c r="F2179" t="s">
        <v>12</v>
      </c>
      <c r="G2179">
        <v>9.6999999999999993</v>
      </c>
      <c r="H2179" t="str" cm="1">
        <f t="array" ref="H2179">_xlfn.IFS(G2179&gt;=20,"20-25", G2179&gt;=15,"15-20", G2179&gt;=10,"10-15", G2179&gt;=5,"5-10", G2179&gt;=1,"1-5", G2179&lt;1,"Less than 1")</f>
        <v>5-10</v>
      </c>
      <c r="I2179">
        <v>5</v>
      </c>
      <c r="J2179">
        <v>3</v>
      </c>
      <c r="K2179" s="6">
        <v>7</v>
      </c>
      <c r="L2179" s="2">
        <v>1.99</v>
      </c>
      <c r="M2179" s="6">
        <v>58</v>
      </c>
      <c r="N2179" t="str" cm="1">
        <f t="array" ref="N2179">_xlfn.IFS(M2179&gt;=50,"50-60 Days", M2179&gt;=40,"40-50 Days", M2179&gt;=30, "30-40 Days", M2179&gt;=20, "20-30 Days", M2179&gt;=10, "10-20 Days", M2179&gt;=0, "0-10 Days")</f>
        <v>50-60 Days</v>
      </c>
    </row>
    <row r="2180" spans="1:14">
      <c r="A2180">
        <v>2179</v>
      </c>
      <c r="B2180" t="s">
        <v>28</v>
      </c>
      <c r="C2180" s="5">
        <v>45417</v>
      </c>
      <c r="D2180" s="8">
        <v>45417</v>
      </c>
      <c r="E2180" s="8">
        <f>IF(B2180="Inactive", EDATE(D2180,K2180), "")</f>
        <v>45478</v>
      </c>
      <c r="F2180" t="s">
        <v>14</v>
      </c>
      <c r="G2180">
        <v>15.2</v>
      </c>
      <c r="H2180" t="str" cm="1">
        <f t="array" ref="H2180">_xlfn.IFS(G2180&gt;=20,"20-25", G2180&gt;=15,"15-20", G2180&gt;=10,"10-15", G2180&gt;=5,"5-10", G2180&gt;=1,"1-5", G2180&lt;1,"Less than 1")</f>
        <v>15-20</v>
      </c>
      <c r="I2180">
        <v>5</v>
      </c>
      <c r="J2180">
        <v>4</v>
      </c>
      <c r="K2180" s="6">
        <v>2</v>
      </c>
      <c r="L2180" s="2">
        <v>3.99</v>
      </c>
      <c r="M2180" s="6">
        <v>35</v>
      </c>
      <c r="N2180" t="str" cm="1">
        <f t="array" ref="N2180">_xlfn.IFS(M2180&gt;=50,"50-60 Days", M2180&gt;=40,"40-50 Days", M2180&gt;=30, "30-40 Days", M2180&gt;=20, "20-30 Days", M2180&gt;=10, "10-20 Days", M2180&gt;=0, "0-10 Days")</f>
        <v>30-40 Days</v>
      </c>
    </row>
    <row r="2181" spans="1:14">
      <c r="A2181">
        <v>2180</v>
      </c>
      <c r="B2181" t="s">
        <v>28</v>
      </c>
      <c r="C2181" s="5">
        <v>45030</v>
      </c>
      <c r="D2181" s="8">
        <v>45030</v>
      </c>
      <c r="E2181" s="8">
        <f>IF(B2181="Inactive", EDATE(D2181,K2181), "")</f>
        <v>45274</v>
      </c>
      <c r="F2181" t="s">
        <v>12</v>
      </c>
      <c r="G2181">
        <v>8.6</v>
      </c>
      <c r="H2181" t="str" cm="1">
        <f t="array" ref="H2181">_xlfn.IFS(G2181&gt;=20,"20-25", G2181&gt;=15,"15-20", G2181&gt;=10,"10-15", G2181&gt;=5,"5-10", G2181&gt;=1,"1-5", G2181&lt;1,"Less than 1")</f>
        <v>5-10</v>
      </c>
      <c r="I2181">
        <v>4</v>
      </c>
      <c r="J2181">
        <v>4</v>
      </c>
      <c r="K2181" s="6">
        <v>8</v>
      </c>
      <c r="L2181" s="2">
        <v>1.99</v>
      </c>
      <c r="M2181" s="6">
        <v>10</v>
      </c>
      <c r="N2181" t="str" cm="1">
        <f t="array" ref="N2181">_xlfn.IFS(M2181&gt;=50,"50-60 Days", M2181&gt;=40,"40-50 Days", M2181&gt;=30, "30-40 Days", M2181&gt;=20, "20-30 Days", M2181&gt;=10, "10-20 Days", M2181&gt;=0, "0-10 Days")</f>
        <v>10-20 Days</v>
      </c>
    </row>
    <row r="2182" spans="1:14">
      <c r="A2182">
        <v>2181</v>
      </c>
      <c r="B2182" t="s">
        <v>29</v>
      </c>
      <c r="C2182" s="5">
        <v>45307</v>
      </c>
      <c r="D2182" s="8">
        <v>45307</v>
      </c>
      <c r="E2182" s="8" t="str">
        <f>IF(B2182="Inactive", EDATE(D2182,K2182), "")</f>
        <v/>
      </c>
      <c r="F2182" t="s">
        <v>12</v>
      </c>
      <c r="G2182">
        <v>7.1</v>
      </c>
      <c r="H2182" t="str" cm="1">
        <f t="array" ref="H2182">_xlfn.IFS(G2182&gt;=20,"20-25", G2182&gt;=15,"15-20", G2182&gt;=10,"10-15", G2182&gt;=5,"5-10", G2182&gt;=1,"1-5", G2182&lt;1,"Less than 1")</f>
        <v>5-10</v>
      </c>
      <c r="I2182">
        <v>0</v>
      </c>
      <c r="J2182">
        <v>4</v>
      </c>
      <c r="K2182" s="6">
        <v>12</v>
      </c>
      <c r="L2182" s="2">
        <v>1.99</v>
      </c>
      <c r="M2182" s="6">
        <v>13</v>
      </c>
      <c r="N2182" t="str" cm="1">
        <f t="array" ref="N2182">_xlfn.IFS(M2182&gt;=50,"50-60 Days", M2182&gt;=40,"40-50 Days", M2182&gt;=30, "30-40 Days", M2182&gt;=20, "20-30 Days", M2182&gt;=10, "10-20 Days", M2182&gt;=0, "0-10 Days")</f>
        <v>10-20 Days</v>
      </c>
    </row>
    <row r="2183" spans="1:14">
      <c r="A2183">
        <v>2182</v>
      </c>
      <c r="B2183" t="s">
        <v>28</v>
      </c>
      <c r="C2183" s="5">
        <v>45303</v>
      </c>
      <c r="D2183" s="8">
        <v>45303</v>
      </c>
      <c r="E2183" s="8">
        <f>IF(B2183="Inactive", EDATE(D2183,K2183), "")</f>
        <v>45608</v>
      </c>
      <c r="F2183" t="s">
        <v>12</v>
      </c>
      <c r="G2183">
        <v>10.4</v>
      </c>
      <c r="H2183" t="str" cm="1">
        <f t="array" ref="H2183">_xlfn.IFS(G2183&gt;=20,"20-25", G2183&gt;=15,"15-20", G2183&gt;=10,"10-15", G2183&gt;=5,"5-10", G2183&gt;=1,"1-5", G2183&lt;1,"Less than 1")</f>
        <v>10-15</v>
      </c>
      <c r="I2183">
        <v>7</v>
      </c>
      <c r="J2183">
        <v>2</v>
      </c>
      <c r="K2183" s="6">
        <v>10</v>
      </c>
      <c r="L2183" s="2">
        <v>1.99</v>
      </c>
      <c r="M2183" s="6">
        <v>39</v>
      </c>
      <c r="N2183" t="str" cm="1">
        <f t="array" ref="N2183">_xlfn.IFS(M2183&gt;=50,"50-60 Days", M2183&gt;=40,"40-50 Days", M2183&gt;=30, "30-40 Days", M2183&gt;=20, "20-30 Days", M2183&gt;=10, "10-20 Days", M2183&gt;=0, "0-10 Days")</f>
        <v>30-40 Days</v>
      </c>
    </row>
    <row r="2184" spans="1:14">
      <c r="A2184">
        <v>2183</v>
      </c>
      <c r="B2184" t="s">
        <v>29</v>
      </c>
      <c r="C2184" s="5">
        <v>44964</v>
      </c>
      <c r="D2184" s="8">
        <v>44964</v>
      </c>
      <c r="E2184" s="8" t="str">
        <f>IF(B2184="Inactive", EDATE(D2184,K2184), "")</f>
        <v/>
      </c>
      <c r="F2184" t="s">
        <v>12</v>
      </c>
      <c r="G2184">
        <v>14.8</v>
      </c>
      <c r="H2184" t="str" cm="1">
        <f t="array" ref="H2184">_xlfn.IFS(G2184&gt;=20,"20-25", G2184&gt;=15,"15-20", G2184&gt;=10,"10-15", G2184&gt;=5,"5-10", G2184&gt;=1,"1-5", G2184&lt;1,"Less than 1")</f>
        <v>10-15</v>
      </c>
      <c r="I2184">
        <v>7</v>
      </c>
      <c r="J2184">
        <v>3</v>
      </c>
      <c r="K2184" s="6">
        <v>12</v>
      </c>
      <c r="L2184" s="2">
        <v>1.99</v>
      </c>
      <c r="M2184" s="6">
        <v>27</v>
      </c>
      <c r="N2184" t="str" cm="1">
        <f t="array" ref="N2184">_xlfn.IFS(M2184&gt;=50,"50-60 Days", M2184&gt;=40,"40-50 Days", M2184&gt;=30, "30-40 Days", M2184&gt;=20, "20-30 Days", M2184&gt;=10, "10-20 Days", M2184&gt;=0, "0-10 Days")</f>
        <v>20-30 Days</v>
      </c>
    </row>
    <row r="2185" spans="1:14">
      <c r="A2185">
        <v>2184</v>
      </c>
      <c r="B2185" t="s">
        <v>29</v>
      </c>
      <c r="C2185" s="5">
        <v>45313</v>
      </c>
      <c r="D2185" s="8">
        <v>45313</v>
      </c>
      <c r="E2185" s="8" t="str">
        <f>IF(B2185="Inactive", EDATE(D2185,K2185), "")</f>
        <v/>
      </c>
      <c r="F2185" t="s">
        <v>10</v>
      </c>
      <c r="G2185">
        <v>18.399999999999999</v>
      </c>
      <c r="H2185" t="str" cm="1">
        <f t="array" ref="H2185">_xlfn.IFS(G2185&gt;=20,"20-25", G2185&gt;=15,"15-20", G2185&gt;=10,"10-15", G2185&gt;=5,"5-10", G2185&gt;=1,"1-5", G2185&lt;1,"Less than 1")</f>
        <v>15-20</v>
      </c>
      <c r="I2185">
        <v>8</v>
      </c>
      <c r="J2185">
        <v>0</v>
      </c>
      <c r="K2185" s="6">
        <v>12</v>
      </c>
      <c r="L2185" s="2">
        <v>6.99</v>
      </c>
      <c r="M2185" s="6">
        <v>9</v>
      </c>
      <c r="N2185" t="str" cm="1">
        <f t="array" ref="N2185">_xlfn.IFS(M2185&gt;=50,"50-60 Days", M2185&gt;=40,"40-50 Days", M2185&gt;=30, "30-40 Days", M2185&gt;=20, "20-30 Days", M2185&gt;=10, "10-20 Days", M2185&gt;=0, "0-10 Days")</f>
        <v>0-10 Days</v>
      </c>
    </row>
    <row r="2186" spans="1:14">
      <c r="A2186">
        <v>2185</v>
      </c>
      <c r="B2186" t="s">
        <v>29</v>
      </c>
      <c r="C2186" s="5">
        <v>45128</v>
      </c>
      <c r="D2186" s="8">
        <v>45128</v>
      </c>
      <c r="E2186" s="8" t="str">
        <f>IF(B2186="Inactive", EDATE(D2186,K2186), "")</f>
        <v/>
      </c>
      <c r="F2186" t="s">
        <v>14</v>
      </c>
      <c r="G2186">
        <v>18.399999999999999</v>
      </c>
      <c r="H2186" t="str" cm="1">
        <f t="array" ref="H2186">_xlfn.IFS(G2186&gt;=20,"20-25", G2186&gt;=15,"15-20", G2186&gt;=10,"10-15", G2186&gt;=5,"5-10", G2186&gt;=1,"1-5", G2186&lt;1,"Less than 1")</f>
        <v>15-20</v>
      </c>
      <c r="I2186">
        <v>4</v>
      </c>
      <c r="J2186">
        <v>1</v>
      </c>
      <c r="K2186" s="6">
        <v>10</v>
      </c>
      <c r="L2186" s="2">
        <v>3.99</v>
      </c>
      <c r="M2186" s="6">
        <v>9</v>
      </c>
      <c r="N2186" t="str" cm="1">
        <f t="array" ref="N2186">_xlfn.IFS(M2186&gt;=50,"50-60 Days", M2186&gt;=40,"40-50 Days", M2186&gt;=30, "30-40 Days", M2186&gt;=20, "20-30 Days", M2186&gt;=10, "10-20 Days", M2186&gt;=0, "0-10 Days")</f>
        <v>0-10 Days</v>
      </c>
    </row>
    <row r="2187" spans="1:14">
      <c r="A2187">
        <v>2186</v>
      </c>
      <c r="B2187" t="s">
        <v>29</v>
      </c>
      <c r="C2187" s="5">
        <v>45063</v>
      </c>
      <c r="D2187" s="8">
        <v>45063</v>
      </c>
      <c r="E2187" s="8" t="str">
        <f>IF(B2187="Inactive", EDATE(D2187,K2187), "")</f>
        <v/>
      </c>
      <c r="F2187" t="s">
        <v>12</v>
      </c>
      <c r="G2187">
        <v>7.3</v>
      </c>
      <c r="H2187" t="str" cm="1">
        <f t="array" ref="H2187">_xlfn.IFS(G2187&gt;=20,"20-25", G2187&gt;=15,"15-20", G2187&gt;=10,"10-15", G2187&gt;=5,"5-10", G2187&gt;=1,"1-5", G2187&lt;1,"Less than 1")</f>
        <v>5-10</v>
      </c>
      <c r="I2187">
        <v>3</v>
      </c>
      <c r="J2187">
        <v>0</v>
      </c>
      <c r="K2187" s="6">
        <v>9</v>
      </c>
      <c r="L2187" s="2">
        <v>1.99</v>
      </c>
      <c r="M2187" s="6">
        <v>2</v>
      </c>
      <c r="N2187" t="str" cm="1">
        <f t="array" ref="N2187">_xlfn.IFS(M2187&gt;=50,"50-60 Days", M2187&gt;=40,"40-50 Days", M2187&gt;=30, "30-40 Days", M2187&gt;=20, "20-30 Days", M2187&gt;=10, "10-20 Days", M2187&gt;=0, "0-10 Days")</f>
        <v>0-10 Days</v>
      </c>
    </row>
    <row r="2188" spans="1:14">
      <c r="A2188">
        <v>2187</v>
      </c>
      <c r="B2188" t="s">
        <v>29</v>
      </c>
      <c r="C2188" s="5">
        <v>45188</v>
      </c>
      <c r="D2188" s="8">
        <v>45188</v>
      </c>
      <c r="E2188" s="8" t="str">
        <f>IF(B2188="Inactive", EDATE(D2188,K2188), "")</f>
        <v/>
      </c>
      <c r="F2188" t="s">
        <v>12</v>
      </c>
      <c r="G2188">
        <v>14.4</v>
      </c>
      <c r="H2188" t="str" cm="1">
        <f t="array" ref="H2188">_xlfn.IFS(G2188&gt;=20,"20-25", G2188&gt;=15,"15-20", G2188&gt;=10,"10-15", G2188&gt;=5,"5-10", G2188&gt;=1,"1-5", G2188&lt;1,"Less than 1")</f>
        <v>10-15</v>
      </c>
      <c r="I2188">
        <v>6</v>
      </c>
      <c r="J2188">
        <v>1</v>
      </c>
      <c r="K2188" s="6">
        <v>9</v>
      </c>
      <c r="L2188" s="2">
        <v>1.99</v>
      </c>
      <c r="M2188" s="6">
        <v>27</v>
      </c>
      <c r="N2188" t="str" cm="1">
        <f t="array" ref="N2188">_xlfn.IFS(M2188&gt;=50,"50-60 Days", M2188&gt;=40,"40-50 Days", M2188&gt;=30, "30-40 Days", M2188&gt;=20, "20-30 Days", M2188&gt;=10, "10-20 Days", M2188&gt;=0, "0-10 Days")</f>
        <v>20-30 Days</v>
      </c>
    </row>
    <row r="2189" spans="1:14">
      <c r="A2189">
        <v>2188</v>
      </c>
      <c r="B2189" t="s">
        <v>29</v>
      </c>
      <c r="C2189" s="5">
        <v>44994</v>
      </c>
      <c r="D2189" s="8">
        <v>44994</v>
      </c>
      <c r="E2189" s="8" t="str">
        <f>IF(B2189="Inactive", EDATE(D2189,K2189), "")</f>
        <v/>
      </c>
      <c r="F2189" t="s">
        <v>12</v>
      </c>
      <c r="G2189">
        <v>24.8</v>
      </c>
      <c r="H2189" t="str" cm="1">
        <f t="array" ref="H2189">_xlfn.IFS(G2189&gt;=20,"20-25", G2189&gt;=15,"15-20", G2189&gt;=10,"10-15", G2189&gt;=5,"5-10", G2189&gt;=1,"1-5", G2189&lt;1,"Less than 1")</f>
        <v>20-25</v>
      </c>
      <c r="I2189">
        <v>2</v>
      </c>
      <c r="J2189">
        <v>0</v>
      </c>
      <c r="K2189" s="6">
        <v>1</v>
      </c>
      <c r="L2189" s="2">
        <v>1.99</v>
      </c>
      <c r="M2189" s="6">
        <v>16</v>
      </c>
      <c r="N2189" t="str" cm="1">
        <f t="array" ref="N2189">_xlfn.IFS(M2189&gt;=50,"50-60 Days", M2189&gt;=40,"40-50 Days", M2189&gt;=30, "30-40 Days", M2189&gt;=20, "20-30 Days", M2189&gt;=10, "10-20 Days", M2189&gt;=0, "0-10 Days")</f>
        <v>10-20 Days</v>
      </c>
    </row>
    <row r="2190" spans="1:14">
      <c r="A2190">
        <v>2189</v>
      </c>
      <c r="B2190" t="s">
        <v>28</v>
      </c>
      <c r="C2190" s="5">
        <v>45612</v>
      </c>
      <c r="D2190" s="8">
        <v>45612</v>
      </c>
      <c r="E2190" s="8">
        <f>IF(B2190="Inactive", EDATE(D2190,K2190), "")</f>
        <v>45916</v>
      </c>
      <c r="F2190" t="s">
        <v>12</v>
      </c>
      <c r="G2190">
        <v>22.9</v>
      </c>
      <c r="H2190" t="str" cm="1">
        <f t="array" ref="H2190">_xlfn.IFS(G2190&gt;=20,"20-25", G2190&gt;=15,"15-20", G2190&gt;=10,"10-15", G2190&gt;=5,"5-10", G2190&gt;=1,"1-5", G2190&lt;1,"Less than 1")</f>
        <v>20-25</v>
      </c>
      <c r="I2190">
        <v>2</v>
      </c>
      <c r="J2190">
        <v>5</v>
      </c>
      <c r="K2190" s="6">
        <v>10</v>
      </c>
      <c r="L2190" s="2">
        <v>1.99</v>
      </c>
      <c r="M2190" s="6">
        <v>31</v>
      </c>
      <c r="N2190" t="str" cm="1">
        <f t="array" ref="N2190">_xlfn.IFS(M2190&gt;=50,"50-60 Days", M2190&gt;=40,"40-50 Days", M2190&gt;=30, "30-40 Days", M2190&gt;=20, "20-30 Days", M2190&gt;=10, "10-20 Days", M2190&gt;=0, "0-10 Days")</f>
        <v>30-40 Days</v>
      </c>
    </row>
    <row r="2191" spans="1:14">
      <c r="A2191">
        <v>2190</v>
      </c>
      <c r="B2191" t="s">
        <v>29</v>
      </c>
      <c r="C2191" s="5">
        <v>45488</v>
      </c>
      <c r="D2191" s="8">
        <v>45488</v>
      </c>
      <c r="E2191" s="8" t="str">
        <f>IF(B2191="Inactive", EDATE(D2191,K2191), "")</f>
        <v/>
      </c>
      <c r="F2191" t="s">
        <v>14</v>
      </c>
      <c r="G2191">
        <v>15.6</v>
      </c>
      <c r="H2191" t="str" cm="1">
        <f t="array" ref="H2191">_xlfn.IFS(G2191&gt;=20,"20-25", G2191&gt;=15,"15-20", G2191&gt;=10,"10-15", G2191&gt;=5,"5-10", G2191&gt;=1,"1-5", G2191&lt;1,"Less than 1")</f>
        <v>15-20</v>
      </c>
      <c r="I2191">
        <v>5</v>
      </c>
      <c r="J2191">
        <v>3</v>
      </c>
      <c r="K2191" s="6">
        <v>8</v>
      </c>
      <c r="L2191" s="2">
        <v>3.99</v>
      </c>
      <c r="M2191" s="6">
        <v>16</v>
      </c>
      <c r="N2191" t="str" cm="1">
        <f t="array" ref="N2191">_xlfn.IFS(M2191&gt;=50,"50-60 Days", M2191&gt;=40,"40-50 Days", M2191&gt;=30, "30-40 Days", M2191&gt;=20, "20-30 Days", M2191&gt;=10, "10-20 Days", M2191&gt;=0, "0-10 Days")</f>
        <v>10-20 Days</v>
      </c>
    </row>
    <row r="2192" spans="1:14">
      <c r="A2192">
        <v>2191</v>
      </c>
      <c r="B2192" t="s">
        <v>29</v>
      </c>
      <c r="C2192" s="5">
        <v>45530</v>
      </c>
      <c r="D2192" s="8">
        <v>45530</v>
      </c>
      <c r="E2192" s="8" t="str">
        <f>IF(B2192="Inactive", EDATE(D2192,K2192), "")</f>
        <v/>
      </c>
      <c r="F2192" t="s">
        <v>10</v>
      </c>
      <c r="G2192">
        <v>16</v>
      </c>
      <c r="H2192" t="str" cm="1">
        <f t="array" ref="H2192">_xlfn.IFS(G2192&gt;=20,"20-25", G2192&gt;=15,"15-20", G2192&gt;=10,"10-15", G2192&gt;=5,"5-10", G2192&gt;=1,"1-5", G2192&lt;1,"Less than 1")</f>
        <v>15-20</v>
      </c>
      <c r="I2192">
        <v>5</v>
      </c>
      <c r="J2192">
        <v>4</v>
      </c>
      <c r="K2192" s="6">
        <v>8</v>
      </c>
      <c r="L2192" s="2">
        <v>6.99</v>
      </c>
      <c r="M2192" s="6">
        <v>9</v>
      </c>
      <c r="N2192" t="str" cm="1">
        <f t="array" ref="N2192">_xlfn.IFS(M2192&gt;=50,"50-60 Days", M2192&gt;=40,"40-50 Days", M2192&gt;=30, "30-40 Days", M2192&gt;=20, "20-30 Days", M2192&gt;=10, "10-20 Days", M2192&gt;=0, "0-10 Days")</f>
        <v>0-10 Days</v>
      </c>
    </row>
    <row r="2193" spans="1:14">
      <c r="A2193">
        <v>2192</v>
      </c>
      <c r="B2193" t="s">
        <v>28</v>
      </c>
      <c r="C2193" s="5">
        <v>45421</v>
      </c>
      <c r="D2193" s="8">
        <v>45421</v>
      </c>
      <c r="E2193" s="8">
        <f>IF(B2193="Inactive", EDATE(D2193,K2193), "")</f>
        <v>45605</v>
      </c>
      <c r="F2193" t="s">
        <v>10</v>
      </c>
      <c r="G2193">
        <v>20.3</v>
      </c>
      <c r="H2193" t="str" cm="1">
        <f t="array" ref="H2193">_xlfn.IFS(G2193&gt;=20,"20-25", G2193&gt;=15,"15-20", G2193&gt;=10,"10-15", G2193&gt;=5,"5-10", G2193&gt;=1,"1-5", G2193&lt;1,"Less than 1")</f>
        <v>20-25</v>
      </c>
      <c r="I2193">
        <v>3</v>
      </c>
      <c r="J2193">
        <v>1</v>
      </c>
      <c r="K2193" s="6">
        <v>6</v>
      </c>
      <c r="L2193" s="2">
        <v>6.99</v>
      </c>
      <c r="M2193" s="6">
        <v>52</v>
      </c>
      <c r="N2193" t="str" cm="1">
        <f t="array" ref="N2193">_xlfn.IFS(M2193&gt;=50,"50-60 Days", M2193&gt;=40,"40-50 Days", M2193&gt;=30, "30-40 Days", M2193&gt;=20, "20-30 Days", M2193&gt;=10, "10-20 Days", M2193&gt;=0, "0-10 Days")</f>
        <v>50-60 Days</v>
      </c>
    </row>
    <row r="2194" spans="1:14">
      <c r="A2194">
        <v>2193</v>
      </c>
      <c r="B2194" t="s">
        <v>29</v>
      </c>
      <c r="C2194" s="5">
        <v>44979</v>
      </c>
      <c r="D2194" s="8">
        <v>44979</v>
      </c>
      <c r="E2194" s="8" t="str">
        <f>IF(B2194="Inactive", EDATE(D2194,K2194), "")</f>
        <v/>
      </c>
      <c r="F2194" t="s">
        <v>14</v>
      </c>
      <c r="G2194">
        <v>23.5</v>
      </c>
      <c r="H2194" t="str" cm="1">
        <f t="array" ref="H2194">_xlfn.IFS(G2194&gt;=20,"20-25", G2194&gt;=15,"15-20", G2194&gt;=10,"10-15", G2194&gt;=5,"5-10", G2194&gt;=1,"1-5", G2194&lt;1,"Less than 1")</f>
        <v>20-25</v>
      </c>
      <c r="I2194">
        <v>4</v>
      </c>
      <c r="J2194">
        <v>3</v>
      </c>
      <c r="K2194" s="6">
        <v>8</v>
      </c>
      <c r="L2194" s="2">
        <v>3.99</v>
      </c>
      <c r="M2194" s="6">
        <v>46</v>
      </c>
      <c r="N2194" t="str" cm="1">
        <f t="array" ref="N2194">_xlfn.IFS(M2194&gt;=50,"50-60 Days", M2194&gt;=40,"40-50 Days", M2194&gt;=30, "30-40 Days", M2194&gt;=20, "20-30 Days", M2194&gt;=10, "10-20 Days", M2194&gt;=0, "0-10 Days")</f>
        <v>40-50 Days</v>
      </c>
    </row>
    <row r="2195" spans="1:14">
      <c r="A2195">
        <v>2194</v>
      </c>
      <c r="B2195" t="s">
        <v>28</v>
      </c>
      <c r="C2195" s="5">
        <v>45155</v>
      </c>
      <c r="D2195" s="8">
        <v>45155</v>
      </c>
      <c r="E2195" s="8">
        <f>IF(B2195="Inactive", EDATE(D2195,K2195), "")</f>
        <v>45368</v>
      </c>
      <c r="F2195" t="s">
        <v>10</v>
      </c>
      <c r="G2195">
        <v>20.100000000000001</v>
      </c>
      <c r="H2195" t="str" cm="1">
        <f t="array" ref="H2195">_xlfn.IFS(G2195&gt;=20,"20-25", G2195&gt;=15,"15-20", G2195&gt;=10,"10-15", G2195&gt;=5,"5-10", G2195&gt;=1,"1-5", G2195&lt;1,"Less than 1")</f>
        <v>20-25</v>
      </c>
      <c r="I2195">
        <v>4</v>
      </c>
      <c r="J2195">
        <v>0</v>
      </c>
      <c r="K2195" s="6">
        <v>7</v>
      </c>
      <c r="L2195" s="2">
        <v>6.99</v>
      </c>
      <c r="M2195" s="6">
        <v>52</v>
      </c>
      <c r="N2195" t="str" cm="1">
        <f t="array" ref="N2195">_xlfn.IFS(M2195&gt;=50,"50-60 Days", M2195&gt;=40,"40-50 Days", M2195&gt;=30, "30-40 Days", M2195&gt;=20, "20-30 Days", M2195&gt;=10, "10-20 Days", M2195&gt;=0, "0-10 Days")</f>
        <v>50-60 Days</v>
      </c>
    </row>
    <row r="2196" spans="1:14">
      <c r="A2196">
        <v>2195</v>
      </c>
      <c r="B2196" t="s">
        <v>29</v>
      </c>
      <c r="C2196" s="5">
        <v>45298</v>
      </c>
      <c r="D2196" s="8">
        <v>45298</v>
      </c>
      <c r="E2196" s="8" t="str">
        <f>IF(B2196="Inactive", EDATE(D2196,K2196), "")</f>
        <v/>
      </c>
      <c r="F2196" t="s">
        <v>12</v>
      </c>
      <c r="G2196">
        <v>11.9</v>
      </c>
      <c r="H2196" t="str" cm="1">
        <f t="array" ref="H2196">_xlfn.IFS(G2196&gt;=20,"20-25", G2196&gt;=15,"15-20", G2196&gt;=10,"10-15", G2196&gt;=5,"5-10", G2196&gt;=1,"1-5", G2196&lt;1,"Less than 1")</f>
        <v>10-15</v>
      </c>
      <c r="I2196">
        <v>2</v>
      </c>
      <c r="J2196">
        <v>0</v>
      </c>
      <c r="K2196" s="6">
        <v>6</v>
      </c>
      <c r="L2196" s="2">
        <v>1.99</v>
      </c>
      <c r="M2196" s="6">
        <v>44</v>
      </c>
      <c r="N2196" t="str" cm="1">
        <f t="array" ref="N2196">_xlfn.IFS(M2196&gt;=50,"50-60 Days", M2196&gt;=40,"40-50 Days", M2196&gt;=30, "30-40 Days", M2196&gt;=20, "20-30 Days", M2196&gt;=10, "10-20 Days", M2196&gt;=0, "0-10 Days")</f>
        <v>40-50 Days</v>
      </c>
    </row>
    <row r="2197" spans="1:14">
      <c r="A2197">
        <v>2196</v>
      </c>
      <c r="B2197" t="s">
        <v>28</v>
      </c>
      <c r="C2197" s="5">
        <v>45565</v>
      </c>
      <c r="D2197" s="8">
        <v>45565</v>
      </c>
      <c r="E2197" s="8">
        <f>IF(B2197="Inactive", EDATE(D2197,K2197), "")</f>
        <v>45838</v>
      </c>
      <c r="F2197" t="s">
        <v>14</v>
      </c>
      <c r="G2197">
        <v>10.8</v>
      </c>
      <c r="H2197" t="str" cm="1">
        <f t="array" ref="H2197">_xlfn.IFS(G2197&gt;=20,"20-25", G2197&gt;=15,"15-20", G2197&gt;=10,"10-15", G2197&gt;=5,"5-10", G2197&gt;=1,"1-5", G2197&lt;1,"Less than 1")</f>
        <v>10-15</v>
      </c>
      <c r="I2197">
        <v>5</v>
      </c>
      <c r="J2197">
        <v>2</v>
      </c>
      <c r="K2197" s="6">
        <v>9</v>
      </c>
      <c r="L2197" s="2">
        <v>3.99</v>
      </c>
      <c r="M2197" s="6">
        <v>5</v>
      </c>
      <c r="N2197" t="str" cm="1">
        <f t="array" ref="N2197">_xlfn.IFS(M2197&gt;=50,"50-60 Days", M2197&gt;=40,"40-50 Days", M2197&gt;=30, "30-40 Days", M2197&gt;=20, "20-30 Days", M2197&gt;=10, "10-20 Days", M2197&gt;=0, "0-10 Days")</f>
        <v>0-10 Days</v>
      </c>
    </row>
    <row r="2198" spans="1:14">
      <c r="A2198">
        <v>2197</v>
      </c>
      <c r="B2198" t="s">
        <v>29</v>
      </c>
      <c r="C2198" s="5">
        <v>45084</v>
      </c>
      <c r="D2198" s="8">
        <v>45084</v>
      </c>
      <c r="E2198" s="8" t="str">
        <f>IF(B2198="Inactive", EDATE(D2198,K2198), "")</f>
        <v/>
      </c>
      <c r="F2198" t="s">
        <v>14</v>
      </c>
      <c r="G2198">
        <v>19.5</v>
      </c>
      <c r="H2198" t="str" cm="1">
        <f t="array" ref="H2198">_xlfn.IFS(G2198&gt;=20,"20-25", G2198&gt;=15,"15-20", G2198&gt;=10,"10-15", G2198&gt;=5,"5-10", G2198&gt;=1,"1-5", G2198&lt;1,"Less than 1")</f>
        <v>15-20</v>
      </c>
      <c r="I2198">
        <v>0</v>
      </c>
      <c r="J2198">
        <v>3</v>
      </c>
      <c r="K2198" s="6">
        <v>2</v>
      </c>
      <c r="L2198" s="2">
        <v>3.99</v>
      </c>
      <c r="M2198" s="6">
        <v>25</v>
      </c>
      <c r="N2198" t="str" cm="1">
        <f t="array" ref="N2198">_xlfn.IFS(M2198&gt;=50,"50-60 Days", M2198&gt;=40,"40-50 Days", M2198&gt;=30, "30-40 Days", M2198&gt;=20, "20-30 Days", M2198&gt;=10, "10-20 Days", M2198&gt;=0, "0-10 Days")</f>
        <v>20-30 Days</v>
      </c>
    </row>
    <row r="2199" spans="1:14">
      <c r="A2199">
        <v>2198</v>
      </c>
      <c r="B2199" t="s">
        <v>28</v>
      </c>
      <c r="C2199" s="5">
        <v>45425</v>
      </c>
      <c r="D2199" s="8">
        <v>45425</v>
      </c>
      <c r="E2199" s="8">
        <f>IF(B2199="Inactive", EDATE(D2199,K2199), "")</f>
        <v>45760</v>
      </c>
      <c r="F2199" t="s">
        <v>14</v>
      </c>
      <c r="G2199">
        <v>24.5</v>
      </c>
      <c r="H2199" t="str" cm="1">
        <f t="array" ref="H2199">_xlfn.IFS(G2199&gt;=20,"20-25", G2199&gt;=15,"15-20", G2199&gt;=10,"10-15", G2199&gt;=5,"5-10", G2199&gt;=1,"1-5", G2199&lt;1,"Less than 1")</f>
        <v>20-25</v>
      </c>
      <c r="I2199">
        <v>5</v>
      </c>
      <c r="J2199">
        <v>2</v>
      </c>
      <c r="K2199" s="6">
        <v>11</v>
      </c>
      <c r="L2199" s="2">
        <v>3.99</v>
      </c>
      <c r="M2199" s="6">
        <v>7</v>
      </c>
      <c r="N2199" t="str" cm="1">
        <f t="array" ref="N2199">_xlfn.IFS(M2199&gt;=50,"50-60 Days", M2199&gt;=40,"40-50 Days", M2199&gt;=30, "30-40 Days", M2199&gt;=20, "20-30 Days", M2199&gt;=10, "10-20 Days", M2199&gt;=0, "0-10 Days")</f>
        <v>0-10 Days</v>
      </c>
    </row>
    <row r="2200" spans="1:14">
      <c r="A2200">
        <v>2199</v>
      </c>
      <c r="B2200" t="s">
        <v>28</v>
      </c>
      <c r="C2200" s="5">
        <v>45176</v>
      </c>
      <c r="D2200" s="8">
        <v>45176</v>
      </c>
      <c r="E2200" s="8">
        <f>IF(B2200="Inactive", EDATE(D2200,K2200), "")</f>
        <v>45450</v>
      </c>
      <c r="F2200" t="s">
        <v>14</v>
      </c>
      <c r="G2200">
        <v>14.9</v>
      </c>
      <c r="H2200" t="str" cm="1">
        <f t="array" ref="H2200">_xlfn.IFS(G2200&gt;=20,"20-25", G2200&gt;=15,"15-20", G2200&gt;=10,"10-15", G2200&gt;=5,"5-10", G2200&gt;=1,"1-5", G2200&lt;1,"Less than 1")</f>
        <v>10-15</v>
      </c>
      <c r="I2200">
        <v>6</v>
      </c>
      <c r="J2200">
        <v>3</v>
      </c>
      <c r="K2200" s="6">
        <v>9</v>
      </c>
      <c r="L2200" s="2">
        <v>3.99</v>
      </c>
      <c r="M2200" s="6">
        <v>54</v>
      </c>
      <c r="N2200" t="str" cm="1">
        <f t="array" ref="N2200">_xlfn.IFS(M2200&gt;=50,"50-60 Days", M2200&gt;=40,"40-50 Days", M2200&gt;=30, "30-40 Days", M2200&gt;=20, "20-30 Days", M2200&gt;=10, "10-20 Days", M2200&gt;=0, "0-10 Days")</f>
        <v>50-60 Days</v>
      </c>
    </row>
    <row r="2201" spans="1:14">
      <c r="A2201">
        <v>2200</v>
      </c>
      <c r="B2201" t="s">
        <v>29</v>
      </c>
      <c r="C2201" s="5">
        <v>45030</v>
      </c>
      <c r="D2201" s="8">
        <v>45030</v>
      </c>
      <c r="E2201" s="8" t="str">
        <f>IF(B2201="Inactive", EDATE(D2201,K2201), "")</f>
        <v/>
      </c>
      <c r="F2201" t="s">
        <v>10</v>
      </c>
      <c r="G2201">
        <v>8.6999999999999993</v>
      </c>
      <c r="H2201" t="str" cm="1">
        <f t="array" ref="H2201">_xlfn.IFS(G2201&gt;=20,"20-25", G2201&gt;=15,"15-20", G2201&gt;=10,"10-15", G2201&gt;=5,"5-10", G2201&gt;=1,"1-5", G2201&lt;1,"Less than 1")</f>
        <v>5-10</v>
      </c>
      <c r="I2201">
        <v>5</v>
      </c>
      <c r="J2201">
        <v>4</v>
      </c>
      <c r="K2201" s="6">
        <v>4</v>
      </c>
      <c r="L2201" s="2">
        <v>6.99</v>
      </c>
      <c r="M2201" s="6">
        <v>24</v>
      </c>
      <c r="N2201" t="str" cm="1">
        <f t="array" ref="N2201">_xlfn.IFS(M2201&gt;=50,"50-60 Days", M2201&gt;=40,"40-50 Days", M2201&gt;=30, "30-40 Days", M2201&gt;=20, "20-30 Days", M2201&gt;=10, "10-20 Days", M2201&gt;=0, "0-10 Days")</f>
        <v>20-30 Days</v>
      </c>
    </row>
    <row r="2202" spans="1:14">
      <c r="A2202">
        <v>2201</v>
      </c>
      <c r="B2202" t="s">
        <v>29</v>
      </c>
      <c r="C2202" s="5">
        <v>45021</v>
      </c>
      <c r="D2202" s="8">
        <v>45021</v>
      </c>
      <c r="E2202" s="8" t="str">
        <f>IF(B2202="Inactive", EDATE(D2202,K2202), "")</f>
        <v/>
      </c>
      <c r="F2202" t="s">
        <v>12</v>
      </c>
      <c r="G2202">
        <v>20</v>
      </c>
      <c r="H2202" t="str" cm="1">
        <f t="array" ref="H2202">_xlfn.IFS(G2202&gt;=20,"20-25", G2202&gt;=15,"15-20", G2202&gt;=10,"10-15", G2202&gt;=5,"5-10", G2202&gt;=1,"1-5", G2202&lt;1,"Less than 1")</f>
        <v>20-25</v>
      </c>
      <c r="I2202">
        <v>0</v>
      </c>
      <c r="J2202">
        <v>1</v>
      </c>
      <c r="K2202" s="6">
        <v>2</v>
      </c>
      <c r="L2202" s="2">
        <v>1.99</v>
      </c>
      <c r="M2202" s="6">
        <v>34</v>
      </c>
      <c r="N2202" t="str" cm="1">
        <f t="array" ref="N2202">_xlfn.IFS(M2202&gt;=50,"50-60 Days", M2202&gt;=40,"40-50 Days", M2202&gt;=30, "30-40 Days", M2202&gt;=20, "20-30 Days", M2202&gt;=10, "10-20 Days", M2202&gt;=0, "0-10 Days")</f>
        <v>30-40 Days</v>
      </c>
    </row>
    <row r="2203" spans="1:14">
      <c r="A2203">
        <v>2202</v>
      </c>
      <c r="B2203" t="s">
        <v>28</v>
      </c>
      <c r="C2203" s="5">
        <v>45225</v>
      </c>
      <c r="D2203" s="8">
        <v>45225</v>
      </c>
      <c r="E2203" s="8">
        <f>IF(B2203="Inactive", EDATE(D2203,K2203), "")</f>
        <v>45348</v>
      </c>
      <c r="F2203" t="s">
        <v>10</v>
      </c>
      <c r="G2203">
        <v>24.8</v>
      </c>
      <c r="H2203" t="str" cm="1">
        <f t="array" ref="H2203">_xlfn.IFS(G2203&gt;=20,"20-25", G2203&gt;=15,"15-20", G2203&gt;=10,"10-15", G2203&gt;=5,"5-10", G2203&gt;=1,"1-5", G2203&lt;1,"Less than 1")</f>
        <v>20-25</v>
      </c>
      <c r="I2203">
        <v>0</v>
      </c>
      <c r="J2203">
        <v>3</v>
      </c>
      <c r="K2203" s="6">
        <v>4</v>
      </c>
      <c r="L2203" s="2">
        <v>6.99</v>
      </c>
      <c r="M2203" s="6">
        <v>11</v>
      </c>
      <c r="N2203" t="str" cm="1">
        <f t="array" ref="N2203">_xlfn.IFS(M2203&gt;=50,"50-60 Days", M2203&gt;=40,"40-50 Days", M2203&gt;=30, "30-40 Days", M2203&gt;=20, "20-30 Days", M2203&gt;=10, "10-20 Days", M2203&gt;=0, "0-10 Days")</f>
        <v>10-20 Days</v>
      </c>
    </row>
    <row r="2204" spans="1:14">
      <c r="A2204">
        <v>2203</v>
      </c>
      <c r="B2204" t="s">
        <v>29</v>
      </c>
      <c r="C2204" s="5">
        <v>45265</v>
      </c>
      <c r="D2204" s="8">
        <v>45265</v>
      </c>
      <c r="E2204" s="8" t="str">
        <f>IF(B2204="Inactive", EDATE(D2204,K2204), "")</f>
        <v/>
      </c>
      <c r="F2204" t="s">
        <v>14</v>
      </c>
      <c r="G2204">
        <v>16.8</v>
      </c>
      <c r="H2204" t="str" cm="1">
        <f t="array" ref="H2204">_xlfn.IFS(G2204&gt;=20,"20-25", G2204&gt;=15,"15-20", G2204&gt;=10,"10-15", G2204&gt;=5,"5-10", G2204&gt;=1,"1-5", G2204&lt;1,"Less than 1")</f>
        <v>15-20</v>
      </c>
      <c r="I2204">
        <v>1</v>
      </c>
      <c r="J2204">
        <v>0</v>
      </c>
      <c r="K2204" s="6">
        <v>8</v>
      </c>
      <c r="L2204" s="2">
        <v>3.99</v>
      </c>
      <c r="M2204" s="6">
        <v>10</v>
      </c>
      <c r="N2204" t="str" cm="1">
        <f t="array" ref="N2204">_xlfn.IFS(M2204&gt;=50,"50-60 Days", M2204&gt;=40,"40-50 Days", M2204&gt;=30, "30-40 Days", M2204&gt;=20, "20-30 Days", M2204&gt;=10, "10-20 Days", M2204&gt;=0, "0-10 Days")</f>
        <v>10-20 Days</v>
      </c>
    </row>
    <row r="2205" spans="1:14">
      <c r="A2205">
        <v>2204</v>
      </c>
      <c r="B2205" t="s">
        <v>28</v>
      </c>
      <c r="C2205" s="5">
        <v>45123</v>
      </c>
      <c r="D2205" s="8">
        <v>45123</v>
      </c>
      <c r="E2205" s="8">
        <f>IF(B2205="Inactive", EDATE(D2205,K2205), "")</f>
        <v>45154</v>
      </c>
      <c r="F2205" t="s">
        <v>12</v>
      </c>
      <c r="G2205">
        <v>24.9</v>
      </c>
      <c r="H2205" t="str" cm="1">
        <f t="array" ref="H2205">_xlfn.IFS(G2205&gt;=20,"20-25", G2205&gt;=15,"15-20", G2205&gt;=10,"10-15", G2205&gt;=5,"5-10", G2205&gt;=1,"1-5", G2205&lt;1,"Less than 1")</f>
        <v>20-25</v>
      </c>
      <c r="I2205">
        <v>1</v>
      </c>
      <c r="J2205">
        <v>0</v>
      </c>
      <c r="K2205" s="6">
        <v>1</v>
      </c>
      <c r="L2205" s="2">
        <v>1.99</v>
      </c>
      <c r="M2205" s="6">
        <v>39</v>
      </c>
      <c r="N2205" t="str" cm="1">
        <f t="array" ref="N2205">_xlfn.IFS(M2205&gt;=50,"50-60 Days", M2205&gt;=40,"40-50 Days", M2205&gt;=30, "30-40 Days", M2205&gt;=20, "20-30 Days", M2205&gt;=10, "10-20 Days", M2205&gt;=0, "0-10 Days")</f>
        <v>30-40 Days</v>
      </c>
    </row>
    <row r="2206" spans="1:14">
      <c r="A2206">
        <v>2205</v>
      </c>
      <c r="B2206" t="s">
        <v>29</v>
      </c>
      <c r="C2206" s="5">
        <v>45557</v>
      </c>
      <c r="D2206" s="8">
        <v>45557</v>
      </c>
      <c r="E2206" s="8" t="str">
        <f>IF(B2206="Inactive", EDATE(D2206,K2206), "")</f>
        <v/>
      </c>
      <c r="F2206" t="s">
        <v>12</v>
      </c>
      <c r="G2206">
        <v>20.7</v>
      </c>
      <c r="H2206" t="str" cm="1">
        <f t="array" ref="H2206">_xlfn.IFS(G2206&gt;=20,"20-25", G2206&gt;=15,"15-20", G2206&gt;=10,"10-15", G2206&gt;=5,"5-10", G2206&gt;=1,"1-5", G2206&lt;1,"Less than 1")</f>
        <v>20-25</v>
      </c>
      <c r="I2206">
        <v>7</v>
      </c>
      <c r="J2206">
        <v>0</v>
      </c>
      <c r="K2206" s="6">
        <v>9</v>
      </c>
      <c r="L2206" s="2">
        <v>1.99</v>
      </c>
      <c r="M2206" s="6">
        <v>17</v>
      </c>
      <c r="N2206" t="str" cm="1">
        <f t="array" ref="N2206">_xlfn.IFS(M2206&gt;=50,"50-60 Days", M2206&gt;=40,"40-50 Days", M2206&gt;=30, "30-40 Days", M2206&gt;=20, "20-30 Days", M2206&gt;=10, "10-20 Days", M2206&gt;=0, "0-10 Days")</f>
        <v>10-20 Days</v>
      </c>
    </row>
    <row r="2207" spans="1:14">
      <c r="A2207">
        <v>2206</v>
      </c>
      <c r="B2207" t="s">
        <v>29</v>
      </c>
      <c r="C2207" s="5">
        <v>45193</v>
      </c>
      <c r="D2207" s="8">
        <v>45193</v>
      </c>
      <c r="E2207" s="8" t="str">
        <f>IF(B2207="Inactive", EDATE(D2207,K2207), "")</f>
        <v/>
      </c>
      <c r="F2207" t="s">
        <v>10</v>
      </c>
      <c r="G2207">
        <v>20.9</v>
      </c>
      <c r="H2207" t="str" cm="1">
        <f t="array" ref="H2207">_xlfn.IFS(G2207&gt;=20,"20-25", G2207&gt;=15,"15-20", G2207&gt;=10,"10-15", G2207&gt;=5,"5-10", G2207&gt;=1,"1-5", G2207&lt;1,"Less than 1")</f>
        <v>20-25</v>
      </c>
      <c r="I2207">
        <v>4</v>
      </c>
      <c r="J2207">
        <v>1</v>
      </c>
      <c r="K2207" s="6">
        <v>2</v>
      </c>
      <c r="L2207" s="2">
        <v>6.99</v>
      </c>
      <c r="M2207" s="6">
        <v>4</v>
      </c>
      <c r="N2207" t="str" cm="1">
        <f t="array" ref="N2207">_xlfn.IFS(M2207&gt;=50,"50-60 Days", M2207&gt;=40,"40-50 Days", M2207&gt;=30, "30-40 Days", M2207&gt;=20, "20-30 Days", M2207&gt;=10, "10-20 Days", M2207&gt;=0, "0-10 Days")</f>
        <v>0-10 Days</v>
      </c>
    </row>
    <row r="2208" spans="1:14">
      <c r="A2208">
        <v>2207</v>
      </c>
      <c r="B2208" t="s">
        <v>28</v>
      </c>
      <c r="C2208" s="5">
        <v>45273</v>
      </c>
      <c r="D2208" s="8">
        <v>45273</v>
      </c>
      <c r="E2208" s="8">
        <f>IF(B2208="Inactive", EDATE(D2208,K2208), "")</f>
        <v>45609</v>
      </c>
      <c r="F2208" t="s">
        <v>12</v>
      </c>
      <c r="G2208">
        <v>2.9</v>
      </c>
      <c r="H2208" t="str" cm="1">
        <f t="array" ref="H2208">_xlfn.IFS(G2208&gt;=20,"20-25", G2208&gt;=15,"15-20", G2208&gt;=10,"10-15", G2208&gt;=5,"5-10", G2208&gt;=1,"1-5", G2208&lt;1,"Less than 1")</f>
        <v>1-5</v>
      </c>
      <c r="I2208">
        <v>3</v>
      </c>
      <c r="J2208">
        <v>5</v>
      </c>
      <c r="K2208" s="6">
        <v>11</v>
      </c>
      <c r="L2208" s="2">
        <v>1.99</v>
      </c>
      <c r="M2208" s="6">
        <v>18</v>
      </c>
      <c r="N2208" t="str" cm="1">
        <f t="array" ref="N2208">_xlfn.IFS(M2208&gt;=50,"50-60 Days", M2208&gt;=40,"40-50 Days", M2208&gt;=30, "30-40 Days", M2208&gt;=20, "20-30 Days", M2208&gt;=10, "10-20 Days", M2208&gt;=0, "0-10 Days")</f>
        <v>10-20 Days</v>
      </c>
    </row>
    <row r="2209" spans="1:14">
      <c r="A2209">
        <v>2208</v>
      </c>
      <c r="B2209" t="s">
        <v>28</v>
      </c>
      <c r="C2209" s="5">
        <v>45227</v>
      </c>
      <c r="D2209" s="8">
        <v>45227</v>
      </c>
      <c r="E2209" s="8">
        <f>IF(B2209="Inactive", EDATE(D2209,K2209), "")</f>
        <v>45350</v>
      </c>
      <c r="F2209" t="s">
        <v>10</v>
      </c>
      <c r="G2209">
        <v>17.5</v>
      </c>
      <c r="H2209" t="str" cm="1">
        <f t="array" ref="H2209">_xlfn.IFS(G2209&gt;=20,"20-25", G2209&gt;=15,"15-20", G2209&gt;=10,"10-15", G2209&gt;=5,"5-10", G2209&gt;=1,"1-5", G2209&lt;1,"Less than 1")</f>
        <v>15-20</v>
      </c>
      <c r="I2209">
        <v>7</v>
      </c>
      <c r="J2209">
        <v>2</v>
      </c>
      <c r="K2209" s="6">
        <v>4</v>
      </c>
      <c r="L2209" s="2">
        <v>6.99</v>
      </c>
      <c r="M2209" s="6">
        <v>60</v>
      </c>
      <c r="N2209" t="str" cm="1">
        <f t="array" ref="N2209">_xlfn.IFS(M2209&gt;=50,"50-60 Days", M2209&gt;=40,"40-50 Days", M2209&gt;=30, "30-40 Days", M2209&gt;=20, "20-30 Days", M2209&gt;=10, "10-20 Days", M2209&gt;=0, "0-10 Days")</f>
        <v>50-60 Days</v>
      </c>
    </row>
    <row r="2210" spans="1:14">
      <c r="A2210">
        <v>2209</v>
      </c>
      <c r="B2210" t="s">
        <v>28</v>
      </c>
      <c r="C2210" s="5">
        <v>45173</v>
      </c>
      <c r="D2210" s="8">
        <v>45173</v>
      </c>
      <c r="E2210" s="8">
        <f>IF(B2210="Inactive", EDATE(D2210,K2210), "")</f>
        <v>45447</v>
      </c>
      <c r="F2210" t="s">
        <v>10</v>
      </c>
      <c r="G2210">
        <v>10.7</v>
      </c>
      <c r="H2210" t="str" cm="1">
        <f t="array" ref="H2210">_xlfn.IFS(G2210&gt;=20,"20-25", G2210&gt;=15,"15-20", G2210&gt;=10,"10-15", G2210&gt;=5,"5-10", G2210&gt;=1,"1-5", G2210&lt;1,"Less than 1")</f>
        <v>10-15</v>
      </c>
      <c r="I2210">
        <v>3</v>
      </c>
      <c r="J2210">
        <v>2</v>
      </c>
      <c r="K2210" s="6">
        <v>9</v>
      </c>
      <c r="L2210" s="2">
        <v>6.99</v>
      </c>
      <c r="M2210" s="6">
        <v>42</v>
      </c>
      <c r="N2210" t="str" cm="1">
        <f t="array" ref="N2210">_xlfn.IFS(M2210&gt;=50,"50-60 Days", M2210&gt;=40,"40-50 Days", M2210&gt;=30, "30-40 Days", M2210&gt;=20, "20-30 Days", M2210&gt;=10, "10-20 Days", M2210&gt;=0, "0-10 Days")</f>
        <v>40-50 Days</v>
      </c>
    </row>
    <row r="2211" spans="1:14">
      <c r="A2211">
        <v>2210</v>
      </c>
      <c r="B2211" t="s">
        <v>29</v>
      </c>
      <c r="C2211" s="5">
        <v>45047</v>
      </c>
      <c r="D2211" s="8">
        <v>45047</v>
      </c>
      <c r="E2211" s="8" t="str">
        <f>IF(B2211="Inactive", EDATE(D2211,K2211), "")</f>
        <v/>
      </c>
      <c r="F2211" t="s">
        <v>14</v>
      </c>
      <c r="G2211">
        <v>17.7</v>
      </c>
      <c r="H2211" t="str" cm="1">
        <f t="array" ref="H2211">_xlfn.IFS(G2211&gt;=20,"20-25", G2211&gt;=15,"15-20", G2211&gt;=10,"10-15", G2211&gt;=5,"5-10", G2211&gt;=1,"1-5", G2211&lt;1,"Less than 1")</f>
        <v>15-20</v>
      </c>
      <c r="I2211">
        <v>0</v>
      </c>
      <c r="J2211">
        <v>0</v>
      </c>
      <c r="K2211" s="6">
        <v>4</v>
      </c>
      <c r="L2211" s="2">
        <v>3.99</v>
      </c>
      <c r="M2211" s="6">
        <v>3</v>
      </c>
      <c r="N2211" t="str" cm="1">
        <f t="array" ref="N2211">_xlfn.IFS(M2211&gt;=50,"50-60 Days", M2211&gt;=40,"40-50 Days", M2211&gt;=30, "30-40 Days", M2211&gt;=20, "20-30 Days", M2211&gt;=10, "10-20 Days", M2211&gt;=0, "0-10 Days")</f>
        <v>0-10 Days</v>
      </c>
    </row>
    <row r="2212" spans="1:14">
      <c r="A2212">
        <v>2211</v>
      </c>
      <c r="B2212" t="s">
        <v>28</v>
      </c>
      <c r="C2212" s="5">
        <v>45267</v>
      </c>
      <c r="D2212" s="8">
        <v>45267</v>
      </c>
      <c r="E2212" s="8">
        <f>IF(B2212="Inactive", EDATE(D2212,K2212), "")</f>
        <v>45358</v>
      </c>
      <c r="F2212" t="s">
        <v>12</v>
      </c>
      <c r="G2212">
        <v>25</v>
      </c>
      <c r="H2212" t="str" cm="1">
        <f t="array" ref="H2212">_xlfn.IFS(G2212&gt;=20,"20-25", G2212&gt;=15,"15-20", G2212&gt;=10,"10-15", G2212&gt;=5,"5-10", G2212&gt;=1,"1-5", G2212&lt;1,"Less than 1")</f>
        <v>20-25</v>
      </c>
      <c r="I2212">
        <v>2</v>
      </c>
      <c r="J2212">
        <v>1</v>
      </c>
      <c r="K2212" s="6">
        <v>3</v>
      </c>
      <c r="L2212" s="2">
        <v>1.99</v>
      </c>
      <c r="M2212" s="6">
        <v>46</v>
      </c>
      <c r="N2212" t="str" cm="1">
        <f t="array" ref="N2212">_xlfn.IFS(M2212&gt;=50,"50-60 Days", M2212&gt;=40,"40-50 Days", M2212&gt;=30, "30-40 Days", M2212&gt;=20, "20-30 Days", M2212&gt;=10, "10-20 Days", M2212&gt;=0, "0-10 Days")</f>
        <v>40-50 Days</v>
      </c>
    </row>
    <row r="2213" spans="1:14">
      <c r="A2213">
        <v>2212</v>
      </c>
      <c r="B2213" t="s">
        <v>28</v>
      </c>
      <c r="C2213" s="5">
        <v>45586</v>
      </c>
      <c r="D2213" s="8">
        <v>45586</v>
      </c>
      <c r="E2213" s="8">
        <f>IF(B2213="Inactive", EDATE(D2213,K2213), "")</f>
        <v>45798</v>
      </c>
      <c r="F2213" t="s">
        <v>10</v>
      </c>
      <c r="G2213">
        <v>14.7</v>
      </c>
      <c r="H2213" t="str" cm="1">
        <f t="array" ref="H2213">_xlfn.IFS(G2213&gt;=20,"20-25", G2213&gt;=15,"15-20", G2213&gt;=10,"10-15", G2213&gt;=5,"5-10", G2213&gt;=1,"1-5", G2213&lt;1,"Less than 1")</f>
        <v>10-15</v>
      </c>
      <c r="I2213">
        <v>7</v>
      </c>
      <c r="J2213">
        <v>3</v>
      </c>
      <c r="K2213" s="6">
        <v>7</v>
      </c>
      <c r="L2213" s="2">
        <v>6.99</v>
      </c>
      <c r="M2213" s="6">
        <v>26</v>
      </c>
      <c r="N2213" t="str" cm="1">
        <f t="array" ref="N2213">_xlfn.IFS(M2213&gt;=50,"50-60 Days", M2213&gt;=40,"40-50 Days", M2213&gt;=30, "30-40 Days", M2213&gt;=20, "20-30 Days", M2213&gt;=10, "10-20 Days", M2213&gt;=0, "0-10 Days")</f>
        <v>20-30 Days</v>
      </c>
    </row>
    <row r="2214" spans="1:14">
      <c r="A2214">
        <v>2213</v>
      </c>
      <c r="B2214" t="s">
        <v>29</v>
      </c>
      <c r="C2214" s="5">
        <v>45598</v>
      </c>
      <c r="D2214" s="8">
        <v>45598</v>
      </c>
      <c r="E2214" s="8" t="str">
        <f>IF(B2214="Inactive", EDATE(D2214,K2214), "")</f>
        <v/>
      </c>
      <c r="F2214" t="s">
        <v>10</v>
      </c>
      <c r="G2214">
        <v>18.399999999999999</v>
      </c>
      <c r="H2214" t="str" cm="1">
        <f t="array" ref="H2214">_xlfn.IFS(G2214&gt;=20,"20-25", G2214&gt;=15,"15-20", G2214&gt;=10,"10-15", G2214&gt;=5,"5-10", G2214&gt;=1,"1-5", G2214&lt;1,"Less than 1")</f>
        <v>15-20</v>
      </c>
      <c r="I2214">
        <v>4</v>
      </c>
      <c r="J2214">
        <v>5</v>
      </c>
      <c r="K2214" s="6">
        <v>12</v>
      </c>
      <c r="L2214" s="2">
        <v>6.99</v>
      </c>
      <c r="M2214" s="6">
        <v>13</v>
      </c>
      <c r="N2214" t="str" cm="1">
        <f t="array" ref="N2214">_xlfn.IFS(M2214&gt;=50,"50-60 Days", M2214&gt;=40,"40-50 Days", M2214&gt;=30, "30-40 Days", M2214&gt;=20, "20-30 Days", M2214&gt;=10, "10-20 Days", M2214&gt;=0, "0-10 Days")</f>
        <v>10-20 Days</v>
      </c>
    </row>
    <row r="2215" spans="1:14">
      <c r="A2215">
        <v>2214</v>
      </c>
      <c r="B2215" t="s">
        <v>28</v>
      </c>
      <c r="C2215" s="5">
        <v>45185</v>
      </c>
      <c r="D2215" s="8">
        <v>45185</v>
      </c>
      <c r="E2215" s="8">
        <f>IF(B2215="Inactive", EDATE(D2215,K2215), "")</f>
        <v>45428</v>
      </c>
      <c r="F2215" t="s">
        <v>12</v>
      </c>
      <c r="G2215">
        <v>4.3</v>
      </c>
      <c r="H2215" t="str" cm="1">
        <f t="array" ref="H2215">_xlfn.IFS(G2215&gt;=20,"20-25", G2215&gt;=15,"15-20", G2215&gt;=10,"10-15", G2215&gt;=5,"5-10", G2215&gt;=1,"1-5", G2215&lt;1,"Less than 1")</f>
        <v>1-5</v>
      </c>
      <c r="I2215">
        <v>3</v>
      </c>
      <c r="J2215">
        <v>2</v>
      </c>
      <c r="K2215" s="6">
        <v>8</v>
      </c>
      <c r="L2215" s="2">
        <v>1.99</v>
      </c>
      <c r="M2215" s="6">
        <v>4</v>
      </c>
      <c r="N2215" t="str" cm="1">
        <f t="array" ref="N2215">_xlfn.IFS(M2215&gt;=50,"50-60 Days", M2215&gt;=40,"40-50 Days", M2215&gt;=30, "30-40 Days", M2215&gt;=20, "20-30 Days", M2215&gt;=10, "10-20 Days", M2215&gt;=0, "0-10 Days")</f>
        <v>0-10 Days</v>
      </c>
    </row>
    <row r="2216" spans="1:14">
      <c r="A2216">
        <v>2215</v>
      </c>
      <c r="B2216" t="s">
        <v>29</v>
      </c>
      <c r="C2216" s="5">
        <v>45258</v>
      </c>
      <c r="D2216" s="8">
        <v>45258</v>
      </c>
      <c r="E2216" s="8" t="str">
        <f>IF(B2216="Inactive", EDATE(D2216,K2216), "")</f>
        <v/>
      </c>
      <c r="F2216" t="s">
        <v>14</v>
      </c>
      <c r="G2216">
        <v>20.399999999999999</v>
      </c>
      <c r="H2216" t="str" cm="1">
        <f t="array" ref="H2216">_xlfn.IFS(G2216&gt;=20,"20-25", G2216&gt;=15,"15-20", G2216&gt;=10,"10-15", G2216&gt;=5,"5-10", G2216&gt;=1,"1-5", G2216&lt;1,"Less than 1")</f>
        <v>20-25</v>
      </c>
      <c r="I2216">
        <v>7</v>
      </c>
      <c r="J2216">
        <v>5</v>
      </c>
      <c r="K2216" s="6">
        <v>4</v>
      </c>
      <c r="L2216" s="2">
        <v>3.99</v>
      </c>
      <c r="M2216" s="6">
        <v>25</v>
      </c>
      <c r="N2216" t="str" cm="1">
        <f t="array" ref="N2216">_xlfn.IFS(M2216&gt;=50,"50-60 Days", M2216&gt;=40,"40-50 Days", M2216&gt;=30, "30-40 Days", M2216&gt;=20, "20-30 Days", M2216&gt;=10, "10-20 Days", M2216&gt;=0, "0-10 Days")</f>
        <v>20-30 Days</v>
      </c>
    </row>
    <row r="2217" spans="1:14">
      <c r="A2217">
        <v>2216</v>
      </c>
      <c r="B2217" t="s">
        <v>29</v>
      </c>
      <c r="C2217" s="5">
        <v>45507</v>
      </c>
      <c r="D2217" s="8">
        <v>45507</v>
      </c>
      <c r="E2217" s="8" t="str">
        <f>IF(B2217="Inactive", EDATE(D2217,K2217), "")</f>
        <v/>
      </c>
      <c r="F2217" t="s">
        <v>14</v>
      </c>
      <c r="G2217">
        <v>20.5</v>
      </c>
      <c r="H2217" t="str" cm="1">
        <f t="array" ref="H2217">_xlfn.IFS(G2217&gt;=20,"20-25", G2217&gt;=15,"15-20", G2217&gt;=10,"10-15", G2217&gt;=5,"5-10", G2217&gt;=1,"1-5", G2217&lt;1,"Less than 1")</f>
        <v>20-25</v>
      </c>
      <c r="I2217">
        <v>6</v>
      </c>
      <c r="J2217">
        <v>5</v>
      </c>
      <c r="K2217" s="6">
        <v>3</v>
      </c>
      <c r="L2217" s="2">
        <v>3.99</v>
      </c>
      <c r="M2217" s="6">
        <v>20</v>
      </c>
      <c r="N2217" t="str" cm="1">
        <f t="array" ref="N2217">_xlfn.IFS(M2217&gt;=50,"50-60 Days", M2217&gt;=40,"40-50 Days", M2217&gt;=30, "30-40 Days", M2217&gt;=20, "20-30 Days", M2217&gt;=10, "10-20 Days", M2217&gt;=0, "0-10 Days")</f>
        <v>20-30 Days</v>
      </c>
    </row>
    <row r="2218" spans="1:14">
      <c r="A2218">
        <v>2217</v>
      </c>
      <c r="B2218" t="s">
        <v>28</v>
      </c>
      <c r="C2218" s="5">
        <v>45269</v>
      </c>
      <c r="D2218" s="8">
        <v>45269</v>
      </c>
      <c r="E2218" s="8">
        <f>IF(B2218="Inactive", EDATE(D2218,K2218), "")</f>
        <v>45391</v>
      </c>
      <c r="F2218" t="s">
        <v>10</v>
      </c>
      <c r="G2218">
        <v>0.7</v>
      </c>
      <c r="H2218" t="str" cm="1">
        <f t="array" ref="H2218">_xlfn.IFS(G2218&gt;=20,"20-25", G2218&gt;=15,"15-20", G2218&gt;=10,"10-15", G2218&gt;=5,"5-10", G2218&gt;=1,"1-5", G2218&lt;1,"Less than 1")</f>
        <v>Less than 1</v>
      </c>
      <c r="I2218">
        <v>2</v>
      </c>
      <c r="J2218">
        <v>2</v>
      </c>
      <c r="K2218" s="6">
        <v>4</v>
      </c>
      <c r="L2218" s="2">
        <v>6.99</v>
      </c>
      <c r="M2218" s="6">
        <v>26</v>
      </c>
      <c r="N2218" t="str" cm="1">
        <f t="array" ref="N2218">_xlfn.IFS(M2218&gt;=50,"50-60 Days", M2218&gt;=40,"40-50 Days", M2218&gt;=30, "30-40 Days", M2218&gt;=20, "20-30 Days", M2218&gt;=10, "10-20 Days", M2218&gt;=0, "0-10 Days")</f>
        <v>20-30 Days</v>
      </c>
    </row>
    <row r="2219" spans="1:14">
      <c r="A2219">
        <v>2218</v>
      </c>
      <c r="B2219" t="s">
        <v>28</v>
      </c>
      <c r="C2219" s="5">
        <v>45211</v>
      </c>
      <c r="D2219" s="8">
        <v>45211</v>
      </c>
      <c r="E2219" s="8">
        <f>IF(B2219="Inactive", EDATE(D2219,K2219), "")</f>
        <v>45242</v>
      </c>
      <c r="F2219" t="s">
        <v>12</v>
      </c>
      <c r="G2219">
        <v>22.2</v>
      </c>
      <c r="H2219" t="str" cm="1">
        <f t="array" ref="H2219">_xlfn.IFS(G2219&gt;=20,"20-25", G2219&gt;=15,"15-20", G2219&gt;=10,"10-15", G2219&gt;=5,"5-10", G2219&gt;=1,"1-5", G2219&lt;1,"Less than 1")</f>
        <v>20-25</v>
      </c>
      <c r="I2219">
        <v>3</v>
      </c>
      <c r="J2219">
        <v>4</v>
      </c>
      <c r="K2219" s="6">
        <v>1</v>
      </c>
      <c r="L2219" s="2">
        <v>1.99</v>
      </c>
      <c r="M2219" s="6">
        <v>38</v>
      </c>
      <c r="N2219" t="str" cm="1">
        <f t="array" ref="N2219">_xlfn.IFS(M2219&gt;=50,"50-60 Days", M2219&gt;=40,"40-50 Days", M2219&gt;=30, "30-40 Days", M2219&gt;=20, "20-30 Days", M2219&gt;=10, "10-20 Days", M2219&gt;=0, "0-10 Days")</f>
        <v>30-40 Days</v>
      </c>
    </row>
    <row r="2220" spans="1:14">
      <c r="A2220">
        <v>2219</v>
      </c>
      <c r="B2220" t="s">
        <v>29</v>
      </c>
      <c r="C2220" s="5">
        <v>45556</v>
      </c>
      <c r="D2220" s="8">
        <v>45556</v>
      </c>
      <c r="E2220" s="8" t="str">
        <f>IF(B2220="Inactive", EDATE(D2220,K2220), "")</f>
        <v/>
      </c>
      <c r="F2220" t="s">
        <v>12</v>
      </c>
      <c r="G2220">
        <v>10.7</v>
      </c>
      <c r="H2220" t="str" cm="1">
        <f t="array" ref="H2220">_xlfn.IFS(G2220&gt;=20,"20-25", G2220&gt;=15,"15-20", G2220&gt;=10,"10-15", G2220&gt;=5,"5-10", G2220&gt;=1,"1-5", G2220&lt;1,"Less than 1")</f>
        <v>10-15</v>
      </c>
      <c r="I2220">
        <v>0</v>
      </c>
      <c r="J2220">
        <v>5</v>
      </c>
      <c r="K2220" s="6">
        <v>4</v>
      </c>
      <c r="L2220" s="2">
        <v>1.99</v>
      </c>
      <c r="M2220" s="6">
        <v>23</v>
      </c>
      <c r="N2220" t="str" cm="1">
        <f t="array" ref="N2220">_xlfn.IFS(M2220&gt;=50,"50-60 Days", M2220&gt;=40,"40-50 Days", M2220&gt;=30, "30-40 Days", M2220&gt;=20, "20-30 Days", M2220&gt;=10, "10-20 Days", M2220&gt;=0, "0-10 Days")</f>
        <v>20-30 Days</v>
      </c>
    </row>
    <row r="2221" spans="1:14">
      <c r="A2221">
        <v>2220</v>
      </c>
      <c r="B2221" t="s">
        <v>28</v>
      </c>
      <c r="C2221" s="5">
        <v>45267</v>
      </c>
      <c r="D2221" s="8">
        <v>45267</v>
      </c>
      <c r="E2221" s="8">
        <f>IF(B2221="Inactive", EDATE(D2221,K2221), "")</f>
        <v>45511</v>
      </c>
      <c r="F2221" t="s">
        <v>14</v>
      </c>
      <c r="G2221">
        <v>0.6</v>
      </c>
      <c r="H2221" t="str" cm="1">
        <f t="array" ref="H2221">_xlfn.IFS(G2221&gt;=20,"20-25", G2221&gt;=15,"15-20", G2221&gt;=10,"10-15", G2221&gt;=5,"5-10", G2221&gt;=1,"1-5", G2221&lt;1,"Less than 1")</f>
        <v>Less than 1</v>
      </c>
      <c r="I2221">
        <v>7</v>
      </c>
      <c r="J2221">
        <v>4</v>
      </c>
      <c r="K2221" s="6">
        <v>8</v>
      </c>
      <c r="L2221" s="2">
        <v>3.99</v>
      </c>
      <c r="M2221" s="6">
        <v>12</v>
      </c>
      <c r="N2221" t="str" cm="1">
        <f t="array" ref="N2221">_xlfn.IFS(M2221&gt;=50,"50-60 Days", M2221&gt;=40,"40-50 Days", M2221&gt;=30, "30-40 Days", M2221&gt;=20, "20-30 Days", M2221&gt;=10, "10-20 Days", M2221&gt;=0, "0-10 Days")</f>
        <v>10-20 Days</v>
      </c>
    </row>
    <row r="2222" spans="1:14">
      <c r="A2222">
        <v>2221</v>
      </c>
      <c r="B2222" t="s">
        <v>28</v>
      </c>
      <c r="C2222" s="5">
        <v>45553</v>
      </c>
      <c r="D2222" s="8">
        <v>45553</v>
      </c>
      <c r="E2222" s="8">
        <f>IF(B2222="Inactive", EDATE(D2222,K2222), "")</f>
        <v>45887</v>
      </c>
      <c r="F2222" t="s">
        <v>10</v>
      </c>
      <c r="G2222">
        <v>7.2</v>
      </c>
      <c r="H2222" t="str" cm="1">
        <f t="array" ref="H2222">_xlfn.IFS(G2222&gt;=20,"20-25", G2222&gt;=15,"15-20", G2222&gt;=10,"10-15", G2222&gt;=5,"5-10", G2222&gt;=1,"1-5", G2222&lt;1,"Less than 1")</f>
        <v>5-10</v>
      </c>
      <c r="I2222">
        <v>6</v>
      </c>
      <c r="J2222">
        <v>4</v>
      </c>
      <c r="K2222" s="6">
        <v>11</v>
      </c>
      <c r="L2222" s="2">
        <v>6.99</v>
      </c>
      <c r="M2222" s="6">
        <v>37</v>
      </c>
      <c r="N2222" t="str" cm="1">
        <f t="array" ref="N2222">_xlfn.IFS(M2222&gt;=50,"50-60 Days", M2222&gt;=40,"40-50 Days", M2222&gt;=30, "30-40 Days", M2222&gt;=20, "20-30 Days", M2222&gt;=10, "10-20 Days", M2222&gt;=0, "0-10 Days")</f>
        <v>30-40 Days</v>
      </c>
    </row>
    <row r="2223" spans="1:14">
      <c r="A2223">
        <v>2222</v>
      </c>
      <c r="B2223" t="s">
        <v>28</v>
      </c>
      <c r="C2223" s="5">
        <v>45224</v>
      </c>
      <c r="D2223" s="8">
        <v>45224</v>
      </c>
      <c r="E2223" s="8">
        <f>IF(B2223="Inactive", EDATE(D2223,K2223), "")</f>
        <v>45529</v>
      </c>
      <c r="F2223" t="s">
        <v>12</v>
      </c>
      <c r="G2223">
        <v>19.399999999999999</v>
      </c>
      <c r="H2223" t="str" cm="1">
        <f t="array" ref="H2223">_xlfn.IFS(G2223&gt;=20,"20-25", G2223&gt;=15,"15-20", G2223&gt;=10,"10-15", G2223&gt;=5,"5-10", G2223&gt;=1,"1-5", G2223&lt;1,"Less than 1")</f>
        <v>15-20</v>
      </c>
      <c r="I2223">
        <v>0</v>
      </c>
      <c r="J2223">
        <v>3</v>
      </c>
      <c r="K2223" s="6">
        <v>10</v>
      </c>
      <c r="L2223" s="2">
        <v>1.99</v>
      </c>
      <c r="M2223" s="6">
        <v>46</v>
      </c>
      <c r="N2223" t="str" cm="1">
        <f t="array" ref="N2223">_xlfn.IFS(M2223&gt;=50,"50-60 Days", M2223&gt;=40,"40-50 Days", M2223&gt;=30, "30-40 Days", M2223&gt;=20, "20-30 Days", M2223&gt;=10, "10-20 Days", M2223&gt;=0, "0-10 Days")</f>
        <v>40-50 Days</v>
      </c>
    </row>
    <row r="2224" spans="1:14">
      <c r="A2224">
        <v>2223</v>
      </c>
      <c r="B2224" t="s">
        <v>28</v>
      </c>
      <c r="C2224" s="5">
        <v>44991</v>
      </c>
      <c r="D2224" s="8">
        <v>44991</v>
      </c>
      <c r="E2224" s="8">
        <f>IF(B2224="Inactive", EDATE(D2224,K2224), "")</f>
        <v>45297</v>
      </c>
      <c r="F2224" t="s">
        <v>10</v>
      </c>
      <c r="G2224">
        <v>1.6</v>
      </c>
      <c r="H2224" t="str" cm="1">
        <f t="array" ref="H2224">_xlfn.IFS(G2224&gt;=20,"20-25", G2224&gt;=15,"15-20", G2224&gt;=10,"10-15", G2224&gt;=5,"5-10", G2224&gt;=1,"1-5", G2224&lt;1,"Less than 1")</f>
        <v>1-5</v>
      </c>
      <c r="I2224">
        <v>5</v>
      </c>
      <c r="J2224">
        <v>0</v>
      </c>
      <c r="K2224" s="6">
        <v>10</v>
      </c>
      <c r="L2224" s="2">
        <v>6.99</v>
      </c>
      <c r="M2224" s="6">
        <v>26</v>
      </c>
      <c r="N2224" t="str" cm="1">
        <f t="array" ref="N2224">_xlfn.IFS(M2224&gt;=50,"50-60 Days", M2224&gt;=40,"40-50 Days", M2224&gt;=30, "30-40 Days", M2224&gt;=20, "20-30 Days", M2224&gt;=10, "10-20 Days", M2224&gt;=0, "0-10 Days")</f>
        <v>20-30 Days</v>
      </c>
    </row>
    <row r="2225" spans="1:14">
      <c r="A2225">
        <v>2224</v>
      </c>
      <c r="B2225" t="s">
        <v>28</v>
      </c>
      <c r="C2225" s="5">
        <v>45387</v>
      </c>
      <c r="D2225" s="8">
        <v>45387</v>
      </c>
      <c r="E2225" s="8">
        <f>IF(B2225="Inactive", EDATE(D2225,K2225), "")</f>
        <v>45662</v>
      </c>
      <c r="F2225" t="s">
        <v>14</v>
      </c>
      <c r="G2225">
        <v>23.3</v>
      </c>
      <c r="H2225" t="str" cm="1">
        <f t="array" ref="H2225">_xlfn.IFS(G2225&gt;=20,"20-25", G2225&gt;=15,"15-20", G2225&gt;=10,"10-15", G2225&gt;=5,"5-10", G2225&gt;=1,"1-5", G2225&lt;1,"Less than 1")</f>
        <v>20-25</v>
      </c>
      <c r="I2225">
        <v>3</v>
      </c>
      <c r="J2225">
        <v>2</v>
      </c>
      <c r="K2225" s="6">
        <v>9</v>
      </c>
      <c r="L2225" s="2">
        <v>3.99</v>
      </c>
      <c r="M2225" s="6">
        <v>53</v>
      </c>
      <c r="N2225" t="str" cm="1">
        <f t="array" ref="N2225">_xlfn.IFS(M2225&gt;=50,"50-60 Days", M2225&gt;=40,"40-50 Days", M2225&gt;=30, "30-40 Days", M2225&gt;=20, "20-30 Days", M2225&gt;=10, "10-20 Days", M2225&gt;=0, "0-10 Days")</f>
        <v>50-60 Days</v>
      </c>
    </row>
    <row r="2226" spans="1:14">
      <c r="A2226">
        <v>2225</v>
      </c>
      <c r="B2226" t="s">
        <v>29</v>
      </c>
      <c r="C2226" s="5">
        <v>45187</v>
      </c>
      <c r="D2226" s="8">
        <v>45187</v>
      </c>
      <c r="E2226" s="8" t="str">
        <f>IF(B2226="Inactive", EDATE(D2226,K2226), "")</f>
        <v/>
      </c>
      <c r="F2226" t="s">
        <v>14</v>
      </c>
      <c r="G2226">
        <v>22.3</v>
      </c>
      <c r="H2226" t="str" cm="1">
        <f t="array" ref="H2226">_xlfn.IFS(G2226&gt;=20,"20-25", G2226&gt;=15,"15-20", G2226&gt;=10,"10-15", G2226&gt;=5,"5-10", G2226&gt;=1,"1-5", G2226&lt;1,"Less than 1")</f>
        <v>20-25</v>
      </c>
      <c r="I2226">
        <v>0</v>
      </c>
      <c r="J2226">
        <v>1</v>
      </c>
      <c r="K2226" s="6">
        <v>7</v>
      </c>
      <c r="L2226" s="2">
        <v>3.99</v>
      </c>
      <c r="M2226" s="6">
        <v>42</v>
      </c>
      <c r="N2226" t="str" cm="1">
        <f t="array" ref="N2226">_xlfn.IFS(M2226&gt;=50,"50-60 Days", M2226&gt;=40,"40-50 Days", M2226&gt;=30, "30-40 Days", M2226&gt;=20, "20-30 Days", M2226&gt;=10, "10-20 Days", M2226&gt;=0, "0-10 Days")</f>
        <v>40-50 Days</v>
      </c>
    </row>
    <row r="2227" spans="1:14">
      <c r="A2227">
        <v>2226</v>
      </c>
      <c r="B2227" t="s">
        <v>29</v>
      </c>
      <c r="C2227" s="5">
        <v>45387</v>
      </c>
      <c r="D2227" s="8">
        <v>45387</v>
      </c>
      <c r="E2227" s="8" t="str">
        <f>IF(B2227="Inactive", EDATE(D2227,K2227), "")</f>
        <v/>
      </c>
      <c r="F2227" t="s">
        <v>14</v>
      </c>
      <c r="G2227">
        <v>0.6</v>
      </c>
      <c r="H2227" t="str" cm="1">
        <f t="array" ref="H2227">_xlfn.IFS(G2227&gt;=20,"20-25", G2227&gt;=15,"15-20", G2227&gt;=10,"10-15", G2227&gt;=5,"5-10", G2227&gt;=1,"1-5", G2227&lt;1,"Less than 1")</f>
        <v>Less than 1</v>
      </c>
      <c r="I2227">
        <v>3</v>
      </c>
      <c r="J2227">
        <v>0</v>
      </c>
      <c r="K2227" s="6">
        <v>6</v>
      </c>
      <c r="L2227" s="2">
        <v>3.99</v>
      </c>
      <c r="M2227" s="6">
        <v>14</v>
      </c>
      <c r="N2227" t="str" cm="1">
        <f t="array" ref="N2227">_xlfn.IFS(M2227&gt;=50,"50-60 Days", M2227&gt;=40,"40-50 Days", M2227&gt;=30, "30-40 Days", M2227&gt;=20, "20-30 Days", M2227&gt;=10, "10-20 Days", M2227&gt;=0, "0-10 Days")</f>
        <v>10-20 Days</v>
      </c>
    </row>
    <row r="2228" spans="1:14">
      <c r="A2228">
        <v>2227</v>
      </c>
      <c r="B2228" t="s">
        <v>29</v>
      </c>
      <c r="C2228" s="5">
        <v>45475</v>
      </c>
      <c r="D2228" s="8">
        <v>45475</v>
      </c>
      <c r="E2228" s="8" t="str">
        <f>IF(B2228="Inactive", EDATE(D2228,K2228), "")</f>
        <v/>
      </c>
      <c r="F2228" t="s">
        <v>12</v>
      </c>
      <c r="G2228">
        <v>0.6</v>
      </c>
      <c r="H2228" t="str" cm="1">
        <f t="array" ref="H2228">_xlfn.IFS(G2228&gt;=20,"20-25", G2228&gt;=15,"15-20", G2228&gt;=10,"10-15", G2228&gt;=5,"5-10", G2228&gt;=1,"1-5", G2228&lt;1,"Less than 1")</f>
        <v>Less than 1</v>
      </c>
      <c r="I2228">
        <v>0</v>
      </c>
      <c r="J2228">
        <v>0</v>
      </c>
      <c r="K2228" s="6">
        <v>9</v>
      </c>
      <c r="L2228" s="2">
        <v>1.99</v>
      </c>
      <c r="M2228" s="6">
        <v>51</v>
      </c>
      <c r="N2228" t="str" cm="1">
        <f t="array" ref="N2228">_xlfn.IFS(M2228&gt;=50,"50-60 Days", M2228&gt;=40,"40-50 Days", M2228&gt;=30, "30-40 Days", M2228&gt;=20, "20-30 Days", M2228&gt;=10, "10-20 Days", M2228&gt;=0, "0-10 Days")</f>
        <v>50-60 Days</v>
      </c>
    </row>
    <row r="2229" spans="1:14">
      <c r="A2229">
        <v>2228</v>
      </c>
      <c r="B2229" t="s">
        <v>28</v>
      </c>
      <c r="C2229" s="5">
        <v>45521</v>
      </c>
      <c r="D2229" s="8">
        <v>45521</v>
      </c>
      <c r="E2229" s="8">
        <f>IF(B2229="Inactive", EDATE(D2229,K2229), "")</f>
        <v>45794</v>
      </c>
      <c r="F2229" t="s">
        <v>10</v>
      </c>
      <c r="G2229">
        <v>0.9</v>
      </c>
      <c r="H2229" t="str" cm="1">
        <f t="array" ref="H2229">_xlfn.IFS(G2229&gt;=20,"20-25", G2229&gt;=15,"15-20", G2229&gt;=10,"10-15", G2229&gt;=5,"5-10", G2229&gt;=1,"1-5", G2229&lt;1,"Less than 1")</f>
        <v>Less than 1</v>
      </c>
      <c r="I2229">
        <v>4</v>
      </c>
      <c r="J2229">
        <v>4</v>
      </c>
      <c r="K2229" s="6">
        <v>9</v>
      </c>
      <c r="L2229" s="2">
        <v>6.99</v>
      </c>
      <c r="M2229" s="6">
        <v>42</v>
      </c>
      <c r="N2229" t="str" cm="1">
        <f t="array" ref="N2229">_xlfn.IFS(M2229&gt;=50,"50-60 Days", M2229&gt;=40,"40-50 Days", M2229&gt;=30, "30-40 Days", M2229&gt;=20, "20-30 Days", M2229&gt;=10, "10-20 Days", M2229&gt;=0, "0-10 Days")</f>
        <v>40-50 Days</v>
      </c>
    </row>
    <row r="2230" spans="1:14">
      <c r="A2230">
        <v>2229</v>
      </c>
      <c r="B2230" t="s">
        <v>28</v>
      </c>
      <c r="C2230" s="5">
        <v>45325</v>
      </c>
      <c r="D2230" s="8">
        <v>45325</v>
      </c>
      <c r="E2230" s="8">
        <f>IF(B2230="Inactive", EDATE(D2230,K2230), "")</f>
        <v>45691</v>
      </c>
      <c r="F2230" t="s">
        <v>12</v>
      </c>
      <c r="G2230">
        <v>16.7</v>
      </c>
      <c r="H2230" t="str" cm="1">
        <f t="array" ref="H2230">_xlfn.IFS(G2230&gt;=20,"20-25", G2230&gt;=15,"15-20", G2230&gt;=10,"10-15", G2230&gt;=5,"5-10", G2230&gt;=1,"1-5", G2230&lt;1,"Less than 1")</f>
        <v>15-20</v>
      </c>
      <c r="I2230">
        <v>4</v>
      </c>
      <c r="J2230">
        <v>0</v>
      </c>
      <c r="K2230" s="6">
        <v>12</v>
      </c>
      <c r="L2230" s="2">
        <v>1.99</v>
      </c>
      <c r="M2230" s="6">
        <v>54</v>
      </c>
      <c r="N2230" t="str" cm="1">
        <f t="array" ref="N2230">_xlfn.IFS(M2230&gt;=50,"50-60 Days", M2230&gt;=40,"40-50 Days", M2230&gt;=30, "30-40 Days", M2230&gt;=20, "20-30 Days", M2230&gt;=10, "10-20 Days", M2230&gt;=0, "0-10 Days")</f>
        <v>50-60 Days</v>
      </c>
    </row>
    <row r="2231" spans="1:14">
      <c r="A2231">
        <v>2230</v>
      </c>
      <c r="B2231" t="s">
        <v>28</v>
      </c>
      <c r="C2231" s="5">
        <v>45263</v>
      </c>
      <c r="D2231" s="8">
        <v>45263</v>
      </c>
      <c r="E2231" s="8">
        <f>IF(B2231="Inactive", EDATE(D2231,K2231), "")</f>
        <v>45507</v>
      </c>
      <c r="F2231" t="s">
        <v>10</v>
      </c>
      <c r="G2231">
        <v>4.8</v>
      </c>
      <c r="H2231" t="str" cm="1">
        <f t="array" ref="H2231">_xlfn.IFS(G2231&gt;=20,"20-25", G2231&gt;=15,"15-20", G2231&gt;=10,"10-15", G2231&gt;=5,"5-10", G2231&gt;=1,"1-5", G2231&lt;1,"Less than 1")</f>
        <v>1-5</v>
      </c>
      <c r="I2231">
        <v>3</v>
      </c>
      <c r="J2231">
        <v>0</v>
      </c>
      <c r="K2231" s="6">
        <v>8</v>
      </c>
      <c r="L2231" s="2">
        <v>6.99</v>
      </c>
      <c r="M2231" s="6">
        <v>43</v>
      </c>
      <c r="N2231" t="str" cm="1">
        <f t="array" ref="N2231">_xlfn.IFS(M2231&gt;=50,"50-60 Days", M2231&gt;=40,"40-50 Days", M2231&gt;=30, "30-40 Days", M2231&gt;=20, "20-30 Days", M2231&gt;=10, "10-20 Days", M2231&gt;=0, "0-10 Days")</f>
        <v>40-50 Days</v>
      </c>
    </row>
    <row r="2232" spans="1:14">
      <c r="A2232">
        <v>2231</v>
      </c>
      <c r="B2232" t="s">
        <v>29</v>
      </c>
      <c r="C2232" s="5">
        <v>45191</v>
      </c>
      <c r="D2232" s="8">
        <v>45191</v>
      </c>
      <c r="E2232" s="8" t="str">
        <f>IF(B2232="Inactive", EDATE(D2232,K2232), "")</f>
        <v/>
      </c>
      <c r="F2232" t="s">
        <v>10</v>
      </c>
      <c r="G2232">
        <v>23.7</v>
      </c>
      <c r="H2232" t="str" cm="1">
        <f t="array" ref="H2232">_xlfn.IFS(G2232&gt;=20,"20-25", G2232&gt;=15,"15-20", G2232&gt;=10,"10-15", G2232&gt;=5,"5-10", G2232&gt;=1,"1-5", G2232&lt;1,"Less than 1")</f>
        <v>20-25</v>
      </c>
      <c r="I2232">
        <v>0</v>
      </c>
      <c r="J2232">
        <v>0</v>
      </c>
      <c r="K2232" s="6">
        <v>6</v>
      </c>
      <c r="L2232" s="2">
        <v>6.99</v>
      </c>
      <c r="M2232" s="6">
        <v>8</v>
      </c>
      <c r="N2232" t="str" cm="1">
        <f t="array" ref="N2232">_xlfn.IFS(M2232&gt;=50,"50-60 Days", M2232&gt;=40,"40-50 Days", M2232&gt;=30, "30-40 Days", M2232&gt;=20, "20-30 Days", M2232&gt;=10, "10-20 Days", M2232&gt;=0, "0-10 Days")</f>
        <v>0-10 Days</v>
      </c>
    </row>
    <row r="2233" spans="1:14">
      <c r="A2233">
        <v>2232</v>
      </c>
      <c r="B2233" t="s">
        <v>28</v>
      </c>
      <c r="C2233" s="5">
        <v>45094</v>
      </c>
      <c r="D2233" s="8">
        <v>45094</v>
      </c>
      <c r="E2233" s="8">
        <f>IF(B2233="Inactive", EDATE(D2233,K2233), "")</f>
        <v>45308</v>
      </c>
      <c r="F2233" t="s">
        <v>12</v>
      </c>
      <c r="G2233">
        <v>17</v>
      </c>
      <c r="H2233" t="str" cm="1">
        <f t="array" ref="H2233">_xlfn.IFS(G2233&gt;=20,"20-25", G2233&gt;=15,"15-20", G2233&gt;=10,"10-15", G2233&gt;=5,"5-10", G2233&gt;=1,"1-5", G2233&lt;1,"Less than 1")</f>
        <v>15-20</v>
      </c>
      <c r="I2233">
        <v>6</v>
      </c>
      <c r="J2233">
        <v>1</v>
      </c>
      <c r="K2233" s="6">
        <v>7</v>
      </c>
      <c r="L2233" s="2">
        <v>1.99</v>
      </c>
      <c r="M2233" s="6">
        <v>57</v>
      </c>
      <c r="N2233" t="str" cm="1">
        <f t="array" ref="N2233">_xlfn.IFS(M2233&gt;=50,"50-60 Days", M2233&gt;=40,"40-50 Days", M2233&gt;=30, "30-40 Days", M2233&gt;=20, "20-30 Days", M2233&gt;=10, "10-20 Days", M2233&gt;=0, "0-10 Days")</f>
        <v>50-60 Days</v>
      </c>
    </row>
    <row r="2234" spans="1:14">
      <c r="A2234">
        <v>2233</v>
      </c>
      <c r="B2234" t="s">
        <v>28</v>
      </c>
      <c r="C2234" s="5">
        <v>45581</v>
      </c>
      <c r="D2234" s="8">
        <v>45581</v>
      </c>
      <c r="E2234" s="8">
        <f>IF(B2234="Inactive", EDATE(D2234,K2234), "")</f>
        <v>45673</v>
      </c>
      <c r="F2234" t="s">
        <v>14</v>
      </c>
      <c r="G2234">
        <v>19.2</v>
      </c>
      <c r="H2234" t="str" cm="1">
        <f t="array" ref="H2234">_xlfn.IFS(G2234&gt;=20,"20-25", G2234&gt;=15,"15-20", G2234&gt;=10,"10-15", G2234&gt;=5,"5-10", G2234&gt;=1,"1-5", G2234&lt;1,"Less than 1")</f>
        <v>15-20</v>
      </c>
      <c r="I2234">
        <v>4</v>
      </c>
      <c r="J2234">
        <v>2</v>
      </c>
      <c r="K2234" s="6">
        <v>3</v>
      </c>
      <c r="L2234" s="2">
        <v>3.99</v>
      </c>
      <c r="M2234" s="6">
        <v>34</v>
      </c>
      <c r="N2234" t="str" cm="1">
        <f t="array" ref="N2234">_xlfn.IFS(M2234&gt;=50,"50-60 Days", M2234&gt;=40,"40-50 Days", M2234&gt;=30, "30-40 Days", M2234&gt;=20, "20-30 Days", M2234&gt;=10, "10-20 Days", M2234&gt;=0, "0-10 Days")</f>
        <v>30-40 Days</v>
      </c>
    </row>
    <row r="2235" spans="1:14">
      <c r="A2235">
        <v>2234</v>
      </c>
      <c r="B2235" t="s">
        <v>28</v>
      </c>
      <c r="C2235" s="5">
        <v>45203</v>
      </c>
      <c r="D2235" s="8">
        <v>45203</v>
      </c>
      <c r="E2235" s="8">
        <f>IF(B2235="Inactive", EDATE(D2235,K2235), "")</f>
        <v>45264</v>
      </c>
      <c r="F2235" t="s">
        <v>12</v>
      </c>
      <c r="G2235">
        <v>24.6</v>
      </c>
      <c r="H2235" t="str" cm="1">
        <f t="array" ref="H2235">_xlfn.IFS(G2235&gt;=20,"20-25", G2235&gt;=15,"15-20", G2235&gt;=10,"10-15", G2235&gt;=5,"5-10", G2235&gt;=1,"1-5", G2235&lt;1,"Less than 1")</f>
        <v>20-25</v>
      </c>
      <c r="I2235">
        <v>1</v>
      </c>
      <c r="J2235">
        <v>0</v>
      </c>
      <c r="K2235" s="6">
        <v>2</v>
      </c>
      <c r="L2235" s="2">
        <v>1.99</v>
      </c>
      <c r="M2235" s="6">
        <v>15</v>
      </c>
      <c r="N2235" t="str" cm="1">
        <f t="array" ref="N2235">_xlfn.IFS(M2235&gt;=50,"50-60 Days", M2235&gt;=40,"40-50 Days", M2235&gt;=30, "30-40 Days", M2235&gt;=20, "20-30 Days", M2235&gt;=10, "10-20 Days", M2235&gt;=0, "0-10 Days")</f>
        <v>10-20 Days</v>
      </c>
    </row>
    <row r="2236" spans="1:14">
      <c r="A2236">
        <v>2235</v>
      </c>
      <c r="B2236" t="s">
        <v>29</v>
      </c>
      <c r="C2236" s="5">
        <v>45474</v>
      </c>
      <c r="D2236" s="8">
        <v>45474</v>
      </c>
      <c r="E2236" s="8" t="str">
        <f>IF(B2236="Inactive", EDATE(D2236,K2236), "")</f>
        <v/>
      </c>
      <c r="F2236" t="s">
        <v>12</v>
      </c>
      <c r="G2236">
        <v>19.2</v>
      </c>
      <c r="H2236" t="str" cm="1">
        <f t="array" ref="H2236">_xlfn.IFS(G2236&gt;=20,"20-25", G2236&gt;=15,"15-20", G2236&gt;=10,"10-15", G2236&gt;=5,"5-10", G2236&gt;=1,"1-5", G2236&lt;1,"Less than 1")</f>
        <v>15-20</v>
      </c>
      <c r="I2236">
        <v>5</v>
      </c>
      <c r="J2236">
        <v>0</v>
      </c>
      <c r="K2236" s="6">
        <v>3</v>
      </c>
      <c r="L2236" s="2">
        <v>1.99</v>
      </c>
      <c r="M2236" s="6">
        <v>32</v>
      </c>
      <c r="N2236" t="str" cm="1">
        <f t="array" ref="N2236">_xlfn.IFS(M2236&gt;=50,"50-60 Days", M2236&gt;=40,"40-50 Days", M2236&gt;=30, "30-40 Days", M2236&gt;=20, "20-30 Days", M2236&gt;=10, "10-20 Days", M2236&gt;=0, "0-10 Days")</f>
        <v>30-40 Days</v>
      </c>
    </row>
    <row r="2237" spans="1:14">
      <c r="A2237">
        <v>2236</v>
      </c>
      <c r="B2237" t="s">
        <v>29</v>
      </c>
      <c r="C2237" s="5">
        <v>45288</v>
      </c>
      <c r="D2237" s="8">
        <v>45288</v>
      </c>
      <c r="E2237" s="8" t="str">
        <f>IF(B2237="Inactive", EDATE(D2237,K2237), "")</f>
        <v/>
      </c>
      <c r="F2237" t="s">
        <v>14</v>
      </c>
      <c r="G2237">
        <v>3.5</v>
      </c>
      <c r="H2237" t="str" cm="1">
        <f t="array" ref="H2237">_xlfn.IFS(G2237&gt;=20,"20-25", G2237&gt;=15,"15-20", G2237&gt;=10,"10-15", G2237&gt;=5,"5-10", G2237&gt;=1,"1-5", G2237&lt;1,"Less than 1")</f>
        <v>1-5</v>
      </c>
      <c r="I2237">
        <v>4</v>
      </c>
      <c r="J2237">
        <v>0</v>
      </c>
      <c r="K2237" s="6">
        <v>11</v>
      </c>
      <c r="L2237" s="2">
        <v>3.99</v>
      </c>
      <c r="M2237" s="6">
        <v>22</v>
      </c>
      <c r="N2237" t="str" cm="1">
        <f t="array" ref="N2237">_xlfn.IFS(M2237&gt;=50,"50-60 Days", M2237&gt;=40,"40-50 Days", M2237&gt;=30, "30-40 Days", M2237&gt;=20, "20-30 Days", M2237&gt;=10, "10-20 Days", M2237&gt;=0, "0-10 Days")</f>
        <v>20-30 Days</v>
      </c>
    </row>
    <row r="2238" spans="1:14">
      <c r="A2238">
        <v>2237</v>
      </c>
      <c r="B2238" t="s">
        <v>28</v>
      </c>
      <c r="C2238" s="5">
        <v>45562</v>
      </c>
      <c r="D2238" s="8">
        <v>45562</v>
      </c>
      <c r="E2238" s="8">
        <f>IF(B2238="Inactive", EDATE(D2238,K2238), "")</f>
        <v>45835</v>
      </c>
      <c r="F2238" t="s">
        <v>12</v>
      </c>
      <c r="G2238">
        <v>20.3</v>
      </c>
      <c r="H2238" t="str" cm="1">
        <f t="array" ref="H2238">_xlfn.IFS(G2238&gt;=20,"20-25", G2238&gt;=15,"15-20", G2238&gt;=10,"10-15", G2238&gt;=5,"5-10", G2238&gt;=1,"1-5", G2238&lt;1,"Less than 1")</f>
        <v>20-25</v>
      </c>
      <c r="I2238">
        <v>8</v>
      </c>
      <c r="J2238">
        <v>2</v>
      </c>
      <c r="K2238" s="6">
        <v>9</v>
      </c>
      <c r="L2238" s="2">
        <v>1.99</v>
      </c>
      <c r="M2238" s="6">
        <v>46</v>
      </c>
      <c r="N2238" t="str" cm="1">
        <f t="array" ref="N2238">_xlfn.IFS(M2238&gt;=50,"50-60 Days", M2238&gt;=40,"40-50 Days", M2238&gt;=30, "30-40 Days", M2238&gt;=20, "20-30 Days", M2238&gt;=10, "10-20 Days", M2238&gt;=0, "0-10 Days")</f>
        <v>40-50 Days</v>
      </c>
    </row>
    <row r="2239" spans="1:14">
      <c r="A2239">
        <v>2238</v>
      </c>
      <c r="B2239" t="s">
        <v>29</v>
      </c>
      <c r="C2239" s="5">
        <v>45474</v>
      </c>
      <c r="D2239" s="8">
        <v>45474</v>
      </c>
      <c r="E2239" s="8" t="str">
        <f>IF(B2239="Inactive", EDATE(D2239,K2239), "")</f>
        <v/>
      </c>
      <c r="F2239" t="s">
        <v>12</v>
      </c>
      <c r="G2239">
        <v>4.5</v>
      </c>
      <c r="H2239" t="str" cm="1">
        <f t="array" ref="H2239">_xlfn.IFS(G2239&gt;=20,"20-25", G2239&gt;=15,"15-20", G2239&gt;=10,"10-15", G2239&gt;=5,"5-10", G2239&gt;=1,"1-5", G2239&lt;1,"Less than 1")</f>
        <v>1-5</v>
      </c>
      <c r="I2239">
        <v>5</v>
      </c>
      <c r="J2239">
        <v>1</v>
      </c>
      <c r="K2239" s="6">
        <v>2</v>
      </c>
      <c r="L2239" s="2">
        <v>1.99</v>
      </c>
      <c r="M2239" s="6">
        <v>33</v>
      </c>
      <c r="N2239" t="str" cm="1">
        <f t="array" ref="N2239">_xlfn.IFS(M2239&gt;=50,"50-60 Days", M2239&gt;=40,"40-50 Days", M2239&gt;=30, "30-40 Days", M2239&gt;=20, "20-30 Days", M2239&gt;=10, "10-20 Days", M2239&gt;=0, "0-10 Days")</f>
        <v>30-40 Days</v>
      </c>
    </row>
    <row r="2240" spans="1:14">
      <c r="A2240">
        <v>2239</v>
      </c>
      <c r="B2240" t="s">
        <v>29</v>
      </c>
      <c r="C2240" s="5">
        <v>45369</v>
      </c>
      <c r="D2240" s="8">
        <v>45369</v>
      </c>
      <c r="E2240" s="8" t="str">
        <f>IF(B2240="Inactive", EDATE(D2240,K2240), "")</f>
        <v/>
      </c>
      <c r="F2240" t="s">
        <v>12</v>
      </c>
      <c r="G2240">
        <v>24.8</v>
      </c>
      <c r="H2240" t="str" cm="1">
        <f t="array" ref="H2240">_xlfn.IFS(G2240&gt;=20,"20-25", G2240&gt;=15,"15-20", G2240&gt;=10,"10-15", G2240&gt;=5,"5-10", G2240&gt;=1,"1-5", G2240&lt;1,"Less than 1")</f>
        <v>20-25</v>
      </c>
      <c r="I2240">
        <v>5</v>
      </c>
      <c r="J2240">
        <v>0</v>
      </c>
      <c r="K2240" s="6">
        <v>11</v>
      </c>
      <c r="L2240" s="2">
        <v>1.99</v>
      </c>
      <c r="M2240" s="6">
        <v>21</v>
      </c>
      <c r="N2240" t="str" cm="1">
        <f t="array" ref="N2240">_xlfn.IFS(M2240&gt;=50,"50-60 Days", M2240&gt;=40,"40-50 Days", M2240&gt;=30, "30-40 Days", M2240&gt;=20, "20-30 Days", M2240&gt;=10, "10-20 Days", M2240&gt;=0, "0-10 Days")</f>
        <v>20-30 Days</v>
      </c>
    </row>
    <row r="2241" spans="1:14">
      <c r="A2241">
        <v>2240</v>
      </c>
      <c r="B2241" t="s">
        <v>28</v>
      </c>
      <c r="C2241" s="5">
        <v>45579</v>
      </c>
      <c r="D2241" s="8">
        <v>45579</v>
      </c>
      <c r="E2241" s="8">
        <f>IF(B2241="Inactive", EDATE(D2241,K2241), "")</f>
        <v>45914</v>
      </c>
      <c r="F2241" t="s">
        <v>12</v>
      </c>
      <c r="G2241">
        <v>19.5</v>
      </c>
      <c r="H2241" t="str" cm="1">
        <f t="array" ref="H2241">_xlfn.IFS(G2241&gt;=20,"20-25", G2241&gt;=15,"15-20", G2241&gt;=10,"10-15", G2241&gt;=5,"5-10", G2241&gt;=1,"1-5", G2241&lt;1,"Less than 1")</f>
        <v>15-20</v>
      </c>
      <c r="I2241">
        <v>6</v>
      </c>
      <c r="J2241">
        <v>1</v>
      </c>
      <c r="K2241" s="6">
        <v>11</v>
      </c>
      <c r="L2241" s="2">
        <v>1.99</v>
      </c>
      <c r="M2241" s="6">
        <v>10</v>
      </c>
      <c r="N2241" t="str" cm="1">
        <f t="array" ref="N2241">_xlfn.IFS(M2241&gt;=50,"50-60 Days", M2241&gt;=40,"40-50 Days", M2241&gt;=30, "30-40 Days", M2241&gt;=20, "20-30 Days", M2241&gt;=10, "10-20 Days", M2241&gt;=0, "0-10 Days")</f>
        <v>10-20 Days</v>
      </c>
    </row>
    <row r="2242" spans="1:14">
      <c r="A2242">
        <v>2241</v>
      </c>
      <c r="B2242" t="s">
        <v>29</v>
      </c>
      <c r="C2242" s="5">
        <v>45433</v>
      </c>
      <c r="D2242" s="8">
        <v>45433</v>
      </c>
      <c r="E2242" s="8" t="str">
        <f>IF(B2242="Inactive", EDATE(D2242,K2242), "")</f>
        <v/>
      </c>
      <c r="F2242" t="s">
        <v>14</v>
      </c>
      <c r="G2242">
        <v>24.4</v>
      </c>
      <c r="H2242" t="str" cm="1">
        <f t="array" ref="H2242">_xlfn.IFS(G2242&gt;=20,"20-25", G2242&gt;=15,"15-20", G2242&gt;=10,"10-15", G2242&gt;=5,"5-10", G2242&gt;=1,"1-5", G2242&lt;1,"Less than 1")</f>
        <v>20-25</v>
      </c>
      <c r="I2242">
        <v>3</v>
      </c>
      <c r="J2242">
        <v>5</v>
      </c>
      <c r="K2242" s="6">
        <v>2</v>
      </c>
      <c r="L2242" s="2">
        <v>3.99</v>
      </c>
      <c r="M2242" s="6">
        <v>59</v>
      </c>
      <c r="N2242" t="str" cm="1">
        <f t="array" ref="N2242">_xlfn.IFS(M2242&gt;=50,"50-60 Days", M2242&gt;=40,"40-50 Days", M2242&gt;=30, "30-40 Days", M2242&gt;=20, "20-30 Days", M2242&gt;=10, "10-20 Days", M2242&gt;=0, "0-10 Days")</f>
        <v>50-60 Days</v>
      </c>
    </row>
    <row r="2243" spans="1:14">
      <c r="A2243">
        <v>2242</v>
      </c>
      <c r="B2243" t="s">
        <v>28</v>
      </c>
      <c r="C2243" s="5">
        <v>45390</v>
      </c>
      <c r="D2243" s="8">
        <v>45390</v>
      </c>
      <c r="E2243" s="8">
        <f>IF(B2243="Inactive", EDATE(D2243,K2243), "")</f>
        <v>45696</v>
      </c>
      <c r="F2243" t="s">
        <v>10</v>
      </c>
      <c r="G2243">
        <v>10</v>
      </c>
      <c r="H2243" t="str" cm="1">
        <f t="array" ref="H2243">_xlfn.IFS(G2243&gt;=20,"20-25", G2243&gt;=15,"15-20", G2243&gt;=10,"10-15", G2243&gt;=5,"5-10", G2243&gt;=1,"1-5", G2243&lt;1,"Less than 1")</f>
        <v>10-15</v>
      </c>
      <c r="I2243">
        <v>5</v>
      </c>
      <c r="J2243">
        <v>1</v>
      </c>
      <c r="K2243" s="6">
        <v>10</v>
      </c>
      <c r="L2243" s="2">
        <v>6.99</v>
      </c>
      <c r="M2243" s="6">
        <v>57</v>
      </c>
      <c r="N2243" t="str" cm="1">
        <f t="array" ref="N2243">_xlfn.IFS(M2243&gt;=50,"50-60 Days", M2243&gt;=40,"40-50 Days", M2243&gt;=30, "30-40 Days", M2243&gt;=20, "20-30 Days", M2243&gt;=10, "10-20 Days", M2243&gt;=0, "0-10 Days")</f>
        <v>50-60 Days</v>
      </c>
    </row>
    <row r="2244" spans="1:14">
      <c r="A2244">
        <v>2243</v>
      </c>
      <c r="B2244" t="s">
        <v>28</v>
      </c>
      <c r="C2244" s="5">
        <v>45273</v>
      </c>
      <c r="D2244" s="8">
        <v>45273</v>
      </c>
      <c r="E2244" s="8">
        <f>IF(B2244="Inactive", EDATE(D2244,K2244), "")</f>
        <v>45304</v>
      </c>
      <c r="F2244" t="s">
        <v>12</v>
      </c>
      <c r="G2244">
        <v>14.5</v>
      </c>
      <c r="H2244" t="str" cm="1">
        <f t="array" ref="H2244">_xlfn.IFS(G2244&gt;=20,"20-25", G2244&gt;=15,"15-20", G2244&gt;=10,"10-15", G2244&gt;=5,"5-10", G2244&gt;=1,"1-5", G2244&lt;1,"Less than 1")</f>
        <v>10-15</v>
      </c>
      <c r="I2244">
        <v>0</v>
      </c>
      <c r="J2244">
        <v>5</v>
      </c>
      <c r="K2244" s="6">
        <v>1</v>
      </c>
      <c r="L2244" s="2">
        <v>1.99</v>
      </c>
      <c r="M2244" s="6">
        <v>59</v>
      </c>
      <c r="N2244" t="str" cm="1">
        <f t="array" ref="N2244">_xlfn.IFS(M2244&gt;=50,"50-60 Days", M2244&gt;=40,"40-50 Days", M2244&gt;=30, "30-40 Days", M2244&gt;=20, "20-30 Days", M2244&gt;=10, "10-20 Days", M2244&gt;=0, "0-10 Days")</f>
        <v>50-60 Days</v>
      </c>
    </row>
    <row r="2245" spans="1:14">
      <c r="A2245">
        <v>2244</v>
      </c>
      <c r="B2245" t="s">
        <v>29</v>
      </c>
      <c r="C2245" s="5">
        <v>45535</v>
      </c>
      <c r="D2245" s="8">
        <v>45535</v>
      </c>
      <c r="E2245" s="8" t="str">
        <f>IF(B2245="Inactive", EDATE(D2245,K2245), "")</f>
        <v/>
      </c>
      <c r="F2245" t="s">
        <v>14</v>
      </c>
      <c r="G2245">
        <v>24.3</v>
      </c>
      <c r="H2245" t="str" cm="1">
        <f t="array" ref="H2245">_xlfn.IFS(G2245&gt;=20,"20-25", G2245&gt;=15,"15-20", G2245&gt;=10,"10-15", G2245&gt;=5,"5-10", G2245&gt;=1,"1-5", G2245&lt;1,"Less than 1")</f>
        <v>20-25</v>
      </c>
      <c r="I2245">
        <v>7</v>
      </c>
      <c r="J2245">
        <v>0</v>
      </c>
      <c r="K2245" s="6">
        <v>1</v>
      </c>
      <c r="L2245" s="2">
        <v>3.99</v>
      </c>
      <c r="M2245" s="6">
        <v>8</v>
      </c>
      <c r="N2245" t="str" cm="1">
        <f t="array" ref="N2245">_xlfn.IFS(M2245&gt;=50,"50-60 Days", M2245&gt;=40,"40-50 Days", M2245&gt;=30, "30-40 Days", M2245&gt;=20, "20-30 Days", M2245&gt;=10, "10-20 Days", M2245&gt;=0, "0-10 Days")</f>
        <v>0-10 Days</v>
      </c>
    </row>
    <row r="2246" spans="1:14">
      <c r="A2246">
        <v>2245</v>
      </c>
      <c r="B2246" t="s">
        <v>28</v>
      </c>
      <c r="C2246" s="5">
        <v>45491</v>
      </c>
      <c r="D2246" s="8">
        <v>45491</v>
      </c>
      <c r="E2246" s="8">
        <f>IF(B2246="Inactive", EDATE(D2246,K2246), "")</f>
        <v>45856</v>
      </c>
      <c r="F2246" t="s">
        <v>10</v>
      </c>
      <c r="G2246">
        <v>19.3</v>
      </c>
      <c r="H2246" t="str" cm="1">
        <f t="array" ref="H2246">_xlfn.IFS(G2246&gt;=20,"20-25", G2246&gt;=15,"15-20", G2246&gt;=10,"10-15", G2246&gt;=5,"5-10", G2246&gt;=1,"1-5", G2246&lt;1,"Less than 1")</f>
        <v>15-20</v>
      </c>
      <c r="I2246">
        <v>2</v>
      </c>
      <c r="J2246">
        <v>3</v>
      </c>
      <c r="K2246" s="6">
        <v>12</v>
      </c>
      <c r="L2246" s="2">
        <v>6.99</v>
      </c>
      <c r="M2246" s="6">
        <v>31</v>
      </c>
      <c r="N2246" t="str" cm="1">
        <f t="array" ref="N2246">_xlfn.IFS(M2246&gt;=50,"50-60 Days", M2246&gt;=40,"40-50 Days", M2246&gt;=30, "30-40 Days", M2246&gt;=20, "20-30 Days", M2246&gt;=10, "10-20 Days", M2246&gt;=0, "0-10 Days")</f>
        <v>30-40 Days</v>
      </c>
    </row>
    <row r="2247" spans="1:14">
      <c r="A2247">
        <v>2246</v>
      </c>
      <c r="B2247" t="s">
        <v>28</v>
      </c>
      <c r="C2247" s="5">
        <v>45476</v>
      </c>
      <c r="D2247" s="8">
        <v>45476</v>
      </c>
      <c r="E2247" s="8">
        <f>IF(B2247="Inactive", EDATE(D2247,K2247), "")</f>
        <v>45719</v>
      </c>
      <c r="F2247" t="s">
        <v>10</v>
      </c>
      <c r="G2247">
        <v>3.4</v>
      </c>
      <c r="H2247" t="str" cm="1">
        <f t="array" ref="H2247">_xlfn.IFS(G2247&gt;=20,"20-25", G2247&gt;=15,"15-20", G2247&gt;=10,"10-15", G2247&gt;=5,"5-10", G2247&gt;=1,"1-5", G2247&lt;1,"Less than 1")</f>
        <v>1-5</v>
      </c>
      <c r="I2247">
        <v>0</v>
      </c>
      <c r="J2247">
        <v>5</v>
      </c>
      <c r="K2247" s="6">
        <v>8</v>
      </c>
      <c r="L2247" s="2">
        <v>6.99</v>
      </c>
      <c r="M2247" s="6">
        <v>20</v>
      </c>
      <c r="N2247" t="str" cm="1">
        <f t="array" ref="N2247">_xlfn.IFS(M2247&gt;=50,"50-60 Days", M2247&gt;=40,"40-50 Days", M2247&gt;=30, "30-40 Days", M2247&gt;=20, "20-30 Days", M2247&gt;=10, "10-20 Days", M2247&gt;=0, "0-10 Days")</f>
        <v>20-30 Days</v>
      </c>
    </row>
    <row r="2248" spans="1:14">
      <c r="A2248">
        <v>2247</v>
      </c>
      <c r="B2248" t="s">
        <v>28</v>
      </c>
      <c r="C2248" s="5">
        <v>45067</v>
      </c>
      <c r="D2248" s="8">
        <v>45067</v>
      </c>
      <c r="E2248" s="8">
        <f>IF(B2248="Inactive", EDATE(D2248,K2248), "")</f>
        <v>45281</v>
      </c>
      <c r="F2248" t="s">
        <v>14</v>
      </c>
      <c r="G2248">
        <v>1.5</v>
      </c>
      <c r="H2248" t="str" cm="1">
        <f t="array" ref="H2248">_xlfn.IFS(G2248&gt;=20,"20-25", G2248&gt;=15,"15-20", G2248&gt;=10,"10-15", G2248&gt;=5,"5-10", G2248&gt;=1,"1-5", G2248&lt;1,"Less than 1")</f>
        <v>1-5</v>
      </c>
      <c r="I2248">
        <v>1</v>
      </c>
      <c r="J2248">
        <v>0</v>
      </c>
      <c r="K2248" s="6">
        <v>7</v>
      </c>
      <c r="L2248" s="2">
        <v>3.99</v>
      </c>
      <c r="M2248" s="6">
        <v>60</v>
      </c>
      <c r="N2248" t="str" cm="1">
        <f t="array" ref="N2248">_xlfn.IFS(M2248&gt;=50,"50-60 Days", M2248&gt;=40,"40-50 Days", M2248&gt;=30, "30-40 Days", M2248&gt;=20, "20-30 Days", M2248&gt;=10, "10-20 Days", M2248&gt;=0, "0-10 Days")</f>
        <v>50-60 Days</v>
      </c>
    </row>
    <row r="2249" spans="1:14">
      <c r="A2249">
        <v>2248</v>
      </c>
      <c r="B2249" t="s">
        <v>29</v>
      </c>
      <c r="C2249" s="5">
        <v>45003</v>
      </c>
      <c r="D2249" s="8">
        <v>45003</v>
      </c>
      <c r="E2249" s="8" t="str">
        <f>IF(B2249="Inactive", EDATE(D2249,K2249), "")</f>
        <v/>
      </c>
      <c r="F2249" t="s">
        <v>10</v>
      </c>
      <c r="G2249">
        <v>20.5</v>
      </c>
      <c r="H2249" t="str" cm="1">
        <f t="array" ref="H2249">_xlfn.IFS(G2249&gt;=20,"20-25", G2249&gt;=15,"15-20", G2249&gt;=10,"10-15", G2249&gt;=5,"5-10", G2249&gt;=1,"1-5", G2249&lt;1,"Less than 1")</f>
        <v>20-25</v>
      </c>
      <c r="I2249">
        <v>2</v>
      </c>
      <c r="J2249">
        <v>2</v>
      </c>
      <c r="K2249" s="6">
        <v>6</v>
      </c>
      <c r="L2249" s="2">
        <v>6.99</v>
      </c>
      <c r="M2249" s="6">
        <v>21</v>
      </c>
      <c r="N2249" t="str" cm="1">
        <f t="array" ref="N2249">_xlfn.IFS(M2249&gt;=50,"50-60 Days", M2249&gt;=40,"40-50 Days", M2249&gt;=30, "30-40 Days", M2249&gt;=20, "20-30 Days", M2249&gt;=10, "10-20 Days", M2249&gt;=0, "0-10 Days")</f>
        <v>20-30 Days</v>
      </c>
    </row>
    <row r="2250" spans="1:14">
      <c r="A2250">
        <v>2249</v>
      </c>
      <c r="B2250" t="s">
        <v>28</v>
      </c>
      <c r="C2250" s="5">
        <v>44953</v>
      </c>
      <c r="D2250" s="8">
        <v>44953</v>
      </c>
      <c r="E2250" s="8">
        <f>IF(B2250="Inactive", EDATE(D2250,K2250), "")</f>
        <v>45196</v>
      </c>
      <c r="F2250" t="s">
        <v>10</v>
      </c>
      <c r="G2250">
        <v>2.2999999999999998</v>
      </c>
      <c r="H2250" t="str" cm="1">
        <f t="array" ref="H2250">_xlfn.IFS(G2250&gt;=20,"20-25", G2250&gt;=15,"15-20", G2250&gt;=10,"10-15", G2250&gt;=5,"5-10", G2250&gt;=1,"1-5", G2250&lt;1,"Less than 1")</f>
        <v>1-5</v>
      </c>
      <c r="I2250">
        <v>4</v>
      </c>
      <c r="J2250">
        <v>5</v>
      </c>
      <c r="K2250" s="6">
        <v>8</v>
      </c>
      <c r="L2250" s="2">
        <v>6.99</v>
      </c>
      <c r="M2250" s="6">
        <v>19</v>
      </c>
      <c r="N2250" t="str" cm="1">
        <f t="array" ref="N2250">_xlfn.IFS(M2250&gt;=50,"50-60 Days", M2250&gt;=40,"40-50 Days", M2250&gt;=30, "30-40 Days", M2250&gt;=20, "20-30 Days", M2250&gt;=10, "10-20 Days", M2250&gt;=0, "0-10 Days")</f>
        <v>10-20 Days</v>
      </c>
    </row>
    <row r="2251" spans="1:14">
      <c r="A2251">
        <v>2250</v>
      </c>
      <c r="B2251" t="s">
        <v>29</v>
      </c>
      <c r="C2251" s="5">
        <v>45540</v>
      </c>
      <c r="D2251" s="8">
        <v>45540</v>
      </c>
      <c r="E2251" s="8" t="str">
        <f>IF(B2251="Inactive", EDATE(D2251,K2251), "")</f>
        <v/>
      </c>
      <c r="F2251" t="s">
        <v>14</v>
      </c>
      <c r="G2251">
        <v>5</v>
      </c>
      <c r="H2251" t="str" cm="1">
        <f t="array" ref="H2251">_xlfn.IFS(G2251&gt;=20,"20-25", G2251&gt;=15,"15-20", G2251&gt;=10,"10-15", G2251&gt;=5,"5-10", G2251&gt;=1,"1-5", G2251&lt;1,"Less than 1")</f>
        <v>5-10</v>
      </c>
      <c r="I2251">
        <v>1</v>
      </c>
      <c r="J2251">
        <v>1</v>
      </c>
      <c r="K2251" s="6">
        <v>7</v>
      </c>
      <c r="L2251" s="2">
        <v>3.99</v>
      </c>
      <c r="M2251" s="6">
        <v>59</v>
      </c>
      <c r="N2251" t="str" cm="1">
        <f t="array" ref="N2251">_xlfn.IFS(M2251&gt;=50,"50-60 Days", M2251&gt;=40,"40-50 Days", M2251&gt;=30, "30-40 Days", M2251&gt;=20, "20-30 Days", M2251&gt;=10, "10-20 Days", M2251&gt;=0, "0-10 Days")</f>
        <v>50-60 Days</v>
      </c>
    </row>
    <row r="2252" spans="1:14">
      <c r="A2252">
        <v>2251</v>
      </c>
      <c r="B2252" t="s">
        <v>29</v>
      </c>
      <c r="C2252" s="5">
        <v>45114</v>
      </c>
      <c r="D2252" s="8">
        <v>45114</v>
      </c>
      <c r="E2252" s="8" t="str">
        <f>IF(B2252="Inactive", EDATE(D2252,K2252), "")</f>
        <v/>
      </c>
      <c r="F2252" t="s">
        <v>12</v>
      </c>
      <c r="G2252">
        <v>3.3</v>
      </c>
      <c r="H2252" t="str" cm="1">
        <f t="array" ref="H2252">_xlfn.IFS(G2252&gt;=20,"20-25", G2252&gt;=15,"15-20", G2252&gt;=10,"10-15", G2252&gt;=5,"5-10", G2252&gt;=1,"1-5", G2252&lt;1,"Less than 1")</f>
        <v>1-5</v>
      </c>
      <c r="I2252">
        <v>4</v>
      </c>
      <c r="J2252">
        <v>2</v>
      </c>
      <c r="K2252" s="6">
        <v>8</v>
      </c>
      <c r="L2252" s="2">
        <v>1.99</v>
      </c>
      <c r="M2252" s="6">
        <v>20</v>
      </c>
      <c r="N2252" t="str" cm="1">
        <f t="array" ref="N2252">_xlfn.IFS(M2252&gt;=50,"50-60 Days", M2252&gt;=40,"40-50 Days", M2252&gt;=30, "30-40 Days", M2252&gt;=20, "20-30 Days", M2252&gt;=10, "10-20 Days", M2252&gt;=0, "0-10 Days")</f>
        <v>20-30 Days</v>
      </c>
    </row>
    <row r="2253" spans="1:14">
      <c r="A2253">
        <v>2252</v>
      </c>
      <c r="B2253" t="s">
        <v>29</v>
      </c>
      <c r="C2253" s="5">
        <v>45490</v>
      </c>
      <c r="D2253" s="8">
        <v>45490</v>
      </c>
      <c r="E2253" s="8" t="str">
        <f>IF(B2253="Inactive", EDATE(D2253,K2253), "")</f>
        <v/>
      </c>
      <c r="F2253" t="s">
        <v>10</v>
      </c>
      <c r="G2253">
        <v>14.8</v>
      </c>
      <c r="H2253" t="str" cm="1">
        <f t="array" ref="H2253">_xlfn.IFS(G2253&gt;=20,"20-25", G2253&gt;=15,"15-20", G2253&gt;=10,"10-15", G2253&gt;=5,"5-10", G2253&gt;=1,"1-5", G2253&lt;1,"Less than 1")</f>
        <v>10-15</v>
      </c>
      <c r="I2253">
        <v>1</v>
      </c>
      <c r="J2253">
        <v>1</v>
      </c>
      <c r="K2253" s="6">
        <v>5</v>
      </c>
      <c r="L2253" s="2">
        <v>6.99</v>
      </c>
      <c r="M2253" s="6">
        <v>3</v>
      </c>
      <c r="N2253" t="str" cm="1">
        <f t="array" ref="N2253">_xlfn.IFS(M2253&gt;=50,"50-60 Days", M2253&gt;=40,"40-50 Days", M2253&gt;=30, "30-40 Days", M2253&gt;=20, "20-30 Days", M2253&gt;=10, "10-20 Days", M2253&gt;=0, "0-10 Days")</f>
        <v>0-10 Days</v>
      </c>
    </row>
    <row r="2254" spans="1:14">
      <c r="A2254">
        <v>2253</v>
      </c>
      <c r="B2254" t="s">
        <v>28</v>
      </c>
      <c r="C2254" s="5">
        <v>45231</v>
      </c>
      <c r="D2254" s="8">
        <v>45231</v>
      </c>
      <c r="E2254" s="8">
        <f>IF(B2254="Inactive", EDATE(D2254,K2254), "")</f>
        <v>45292</v>
      </c>
      <c r="F2254" t="s">
        <v>10</v>
      </c>
      <c r="G2254">
        <v>20.399999999999999</v>
      </c>
      <c r="H2254" t="str" cm="1">
        <f t="array" ref="H2254">_xlfn.IFS(G2254&gt;=20,"20-25", G2254&gt;=15,"15-20", G2254&gt;=10,"10-15", G2254&gt;=5,"5-10", G2254&gt;=1,"1-5", G2254&lt;1,"Less than 1")</f>
        <v>20-25</v>
      </c>
      <c r="I2254">
        <v>8</v>
      </c>
      <c r="J2254">
        <v>4</v>
      </c>
      <c r="K2254" s="6">
        <v>2</v>
      </c>
      <c r="L2254" s="2">
        <v>6.99</v>
      </c>
      <c r="M2254" s="6">
        <v>55</v>
      </c>
      <c r="N2254" t="str" cm="1">
        <f t="array" ref="N2254">_xlfn.IFS(M2254&gt;=50,"50-60 Days", M2254&gt;=40,"40-50 Days", M2254&gt;=30, "30-40 Days", M2254&gt;=20, "20-30 Days", M2254&gt;=10, "10-20 Days", M2254&gt;=0, "0-10 Days")</f>
        <v>50-60 Days</v>
      </c>
    </row>
    <row r="2255" spans="1:14">
      <c r="A2255">
        <v>2254</v>
      </c>
      <c r="B2255" t="s">
        <v>29</v>
      </c>
      <c r="C2255" s="5">
        <v>45357</v>
      </c>
      <c r="D2255" s="8">
        <v>45357</v>
      </c>
      <c r="E2255" s="8" t="str">
        <f>IF(B2255="Inactive", EDATE(D2255,K2255), "")</f>
        <v/>
      </c>
      <c r="F2255" t="s">
        <v>10</v>
      </c>
      <c r="G2255">
        <v>3</v>
      </c>
      <c r="H2255" t="str" cm="1">
        <f t="array" ref="H2255">_xlfn.IFS(G2255&gt;=20,"20-25", G2255&gt;=15,"15-20", G2255&gt;=10,"10-15", G2255&gt;=5,"5-10", G2255&gt;=1,"1-5", G2255&lt;1,"Less than 1")</f>
        <v>1-5</v>
      </c>
      <c r="I2255">
        <v>6</v>
      </c>
      <c r="J2255">
        <v>0</v>
      </c>
      <c r="K2255" s="6">
        <v>7</v>
      </c>
      <c r="L2255" s="2">
        <v>6.99</v>
      </c>
      <c r="M2255" s="6">
        <v>19</v>
      </c>
      <c r="N2255" t="str" cm="1">
        <f t="array" ref="N2255">_xlfn.IFS(M2255&gt;=50,"50-60 Days", M2255&gt;=40,"40-50 Days", M2255&gt;=30, "30-40 Days", M2255&gt;=20, "20-30 Days", M2255&gt;=10, "10-20 Days", M2255&gt;=0, "0-10 Days")</f>
        <v>10-20 Days</v>
      </c>
    </row>
    <row r="2256" spans="1:14">
      <c r="A2256">
        <v>2255</v>
      </c>
      <c r="B2256" t="s">
        <v>28</v>
      </c>
      <c r="C2256" s="5">
        <v>45529</v>
      </c>
      <c r="D2256" s="8">
        <v>45529</v>
      </c>
      <c r="E2256" s="8">
        <f>IF(B2256="Inactive", EDATE(D2256,K2256), "")</f>
        <v>45772</v>
      </c>
      <c r="F2256" t="s">
        <v>12</v>
      </c>
      <c r="G2256">
        <v>7.1</v>
      </c>
      <c r="H2256" t="str" cm="1">
        <f t="array" ref="H2256">_xlfn.IFS(G2256&gt;=20,"20-25", G2256&gt;=15,"15-20", G2256&gt;=10,"10-15", G2256&gt;=5,"5-10", G2256&gt;=1,"1-5", G2256&lt;1,"Less than 1")</f>
        <v>5-10</v>
      </c>
      <c r="I2256">
        <v>0</v>
      </c>
      <c r="J2256">
        <v>1</v>
      </c>
      <c r="K2256" s="6">
        <v>8</v>
      </c>
      <c r="L2256" s="2">
        <v>1.99</v>
      </c>
      <c r="M2256" s="6">
        <v>4</v>
      </c>
      <c r="N2256" t="str" cm="1">
        <f t="array" ref="N2256">_xlfn.IFS(M2256&gt;=50,"50-60 Days", M2256&gt;=40,"40-50 Days", M2256&gt;=30, "30-40 Days", M2256&gt;=20, "20-30 Days", M2256&gt;=10, "10-20 Days", M2256&gt;=0, "0-10 Days")</f>
        <v>0-10 Days</v>
      </c>
    </row>
    <row r="2257" spans="1:14">
      <c r="A2257">
        <v>2256</v>
      </c>
      <c r="B2257" t="s">
        <v>28</v>
      </c>
      <c r="C2257" s="5">
        <v>45481</v>
      </c>
      <c r="D2257" s="8">
        <v>45481</v>
      </c>
      <c r="E2257" s="8">
        <f>IF(B2257="Inactive", EDATE(D2257,K2257), "")</f>
        <v>45573</v>
      </c>
      <c r="F2257" t="s">
        <v>12</v>
      </c>
      <c r="G2257">
        <v>22.3</v>
      </c>
      <c r="H2257" t="str" cm="1">
        <f t="array" ref="H2257">_xlfn.IFS(G2257&gt;=20,"20-25", G2257&gt;=15,"15-20", G2257&gt;=10,"10-15", G2257&gt;=5,"5-10", G2257&gt;=1,"1-5", G2257&lt;1,"Less than 1")</f>
        <v>20-25</v>
      </c>
      <c r="I2257">
        <v>0</v>
      </c>
      <c r="J2257">
        <v>3</v>
      </c>
      <c r="K2257" s="6">
        <v>3</v>
      </c>
      <c r="L2257" s="2">
        <v>1.99</v>
      </c>
      <c r="M2257" s="6">
        <v>51</v>
      </c>
      <c r="N2257" t="str" cm="1">
        <f t="array" ref="N2257">_xlfn.IFS(M2257&gt;=50,"50-60 Days", M2257&gt;=40,"40-50 Days", M2257&gt;=30, "30-40 Days", M2257&gt;=20, "20-30 Days", M2257&gt;=10, "10-20 Days", M2257&gt;=0, "0-10 Days")</f>
        <v>50-60 Days</v>
      </c>
    </row>
    <row r="2258" spans="1:14">
      <c r="A2258">
        <v>2257</v>
      </c>
      <c r="B2258" t="s">
        <v>28</v>
      </c>
      <c r="C2258" s="5">
        <v>45116</v>
      </c>
      <c r="D2258" s="8">
        <v>45116</v>
      </c>
      <c r="E2258" s="8">
        <f>IF(B2258="Inactive", EDATE(D2258,K2258), "")</f>
        <v>45300</v>
      </c>
      <c r="F2258" t="s">
        <v>12</v>
      </c>
      <c r="G2258">
        <v>4.4000000000000004</v>
      </c>
      <c r="H2258" t="str" cm="1">
        <f t="array" ref="H2258">_xlfn.IFS(G2258&gt;=20,"20-25", G2258&gt;=15,"15-20", G2258&gt;=10,"10-15", G2258&gt;=5,"5-10", G2258&gt;=1,"1-5", G2258&lt;1,"Less than 1")</f>
        <v>1-5</v>
      </c>
      <c r="I2258">
        <v>8</v>
      </c>
      <c r="J2258">
        <v>1</v>
      </c>
      <c r="K2258" s="6">
        <v>6</v>
      </c>
      <c r="L2258" s="2">
        <v>1.99</v>
      </c>
      <c r="M2258" s="6">
        <v>5</v>
      </c>
      <c r="N2258" t="str" cm="1">
        <f t="array" ref="N2258">_xlfn.IFS(M2258&gt;=50,"50-60 Days", M2258&gt;=40,"40-50 Days", M2258&gt;=30, "30-40 Days", M2258&gt;=20, "20-30 Days", M2258&gt;=10, "10-20 Days", M2258&gt;=0, "0-10 Days")</f>
        <v>0-10 Days</v>
      </c>
    </row>
    <row r="2259" spans="1:14">
      <c r="A2259">
        <v>2258</v>
      </c>
      <c r="B2259" t="s">
        <v>29</v>
      </c>
      <c r="C2259" s="5">
        <v>45056</v>
      </c>
      <c r="D2259" s="8">
        <v>45056</v>
      </c>
      <c r="E2259" s="8" t="str">
        <f>IF(B2259="Inactive", EDATE(D2259,K2259), "")</f>
        <v/>
      </c>
      <c r="F2259" t="s">
        <v>10</v>
      </c>
      <c r="G2259">
        <v>16</v>
      </c>
      <c r="H2259" t="str" cm="1">
        <f t="array" ref="H2259">_xlfn.IFS(G2259&gt;=20,"20-25", G2259&gt;=15,"15-20", G2259&gt;=10,"10-15", G2259&gt;=5,"5-10", G2259&gt;=1,"1-5", G2259&lt;1,"Less than 1")</f>
        <v>15-20</v>
      </c>
      <c r="I2259">
        <v>0</v>
      </c>
      <c r="J2259">
        <v>3</v>
      </c>
      <c r="K2259" s="6">
        <v>3</v>
      </c>
      <c r="L2259" s="2">
        <v>6.99</v>
      </c>
      <c r="M2259" s="6">
        <v>13</v>
      </c>
      <c r="N2259" t="str" cm="1">
        <f t="array" ref="N2259">_xlfn.IFS(M2259&gt;=50,"50-60 Days", M2259&gt;=40,"40-50 Days", M2259&gt;=30, "30-40 Days", M2259&gt;=20, "20-30 Days", M2259&gt;=10, "10-20 Days", M2259&gt;=0, "0-10 Days")</f>
        <v>10-20 Days</v>
      </c>
    </row>
    <row r="2260" spans="1:14">
      <c r="A2260">
        <v>2259</v>
      </c>
      <c r="B2260" t="s">
        <v>29</v>
      </c>
      <c r="C2260" s="5">
        <v>45206</v>
      </c>
      <c r="D2260" s="8">
        <v>45206</v>
      </c>
      <c r="E2260" s="8" t="str">
        <f>IF(B2260="Inactive", EDATE(D2260,K2260), "")</f>
        <v/>
      </c>
      <c r="F2260" t="s">
        <v>12</v>
      </c>
      <c r="G2260">
        <v>6.3</v>
      </c>
      <c r="H2260" t="str" cm="1">
        <f t="array" ref="H2260">_xlfn.IFS(G2260&gt;=20,"20-25", G2260&gt;=15,"15-20", G2260&gt;=10,"10-15", G2260&gt;=5,"5-10", G2260&gt;=1,"1-5", G2260&lt;1,"Less than 1")</f>
        <v>5-10</v>
      </c>
      <c r="I2260">
        <v>6</v>
      </c>
      <c r="J2260">
        <v>0</v>
      </c>
      <c r="K2260" s="6">
        <v>11</v>
      </c>
      <c r="L2260" s="2">
        <v>1.99</v>
      </c>
      <c r="M2260" s="6">
        <v>43</v>
      </c>
      <c r="N2260" t="str" cm="1">
        <f t="array" ref="N2260">_xlfn.IFS(M2260&gt;=50,"50-60 Days", M2260&gt;=40,"40-50 Days", M2260&gt;=30, "30-40 Days", M2260&gt;=20, "20-30 Days", M2260&gt;=10, "10-20 Days", M2260&gt;=0, "0-10 Days")</f>
        <v>40-50 Days</v>
      </c>
    </row>
    <row r="2261" spans="1:14">
      <c r="A2261">
        <v>2260</v>
      </c>
      <c r="B2261" t="s">
        <v>28</v>
      </c>
      <c r="C2261" s="5">
        <v>45609</v>
      </c>
      <c r="D2261" s="8">
        <v>45609</v>
      </c>
      <c r="E2261" s="8">
        <f>IF(B2261="Inactive", EDATE(D2261,K2261), "")</f>
        <v>45760</v>
      </c>
      <c r="F2261" t="s">
        <v>10</v>
      </c>
      <c r="G2261">
        <v>12.6</v>
      </c>
      <c r="H2261" t="str" cm="1">
        <f t="array" ref="H2261">_xlfn.IFS(G2261&gt;=20,"20-25", G2261&gt;=15,"15-20", G2261&gt;=10,"10-15", G2261&gt;=5,"5-10", G2261&gt;=1,"1-5", G2261&lt;1,"Less than 1")</f>
        <v>10-15</v>
      </c>
      <c r="I2261">
        <v>3</v>
      </c>
      <c r="J2261">
        <v>0</v>
      </c>
      <c r="K2261" s="6">
        <v>5</v>
      </c>
      <c r="L2261" s="2">
        <v>6.99</v>
      </c>
      <c r="M2261" s="6">
        <v>27</v>
      </c>
      <c r="N2261" t="str" cm="1">
        <f t="array" ref="N2261">_xlfn.IFS(M2261&gt;=50,"50-60 Days", M2261&gt;=40,"40-50 Days", M2261&gt;=30, "30-40 Days", M2261&gt;=20, "20-30 Days", M2261&gt;=10, "10-20 Days", M2261&gt;=0, "0-10 Days")</f>
        <v>20-30 Days</v>
      </c>
    </row>
    <row r="2262" spans="1:14">
      <c r="A2262">
        <v>2261</v>
      </c>
      <c r="B2262" t="s">
        <v>28</v>
      </c>
      <c r="C2262" s="5">
        <v>45531</v>
      </c>
      <c r="D2262" s="8">
        <v>45531</v>
      </c>
      <c r="E2262" s="8">
        <f>IF(B2262="Inactive", EDATE(D2262,K2262), "")</f>
        <v>45684</v>
      </c>
      <c r="F2262" t="s">
        <v>14</v>
      </c>
      <c r="G2262">
        <v>20.7</v>
      </c>
      <c r="H2262" t="str" cm="1">
        <f t="array" ref="H2262">_xlfn.IFS(G2262&gt;=20,"20-25", G2262&gt;=15,"15-20", G2262&gt;=10,"10-15", G2262&gt;=5,"5-10", G2262&gt;=1,"1-5", G2262&lt;1,"Less than 1")</f>
        <v>20-25</v>
      </c>
      <c r="I2262">
        <v>4</v>
      </c>
      <c r="J2262">
        <v>2</v>
      </c>
      <c r="K2262" s="6">
        <v>5</v>
      </c>
      <c r="L2262" s="2">
        <v>3.99</v>
      </c>
      <c r="M2262" s="6">
        <v>8</v>
      </c>
      <c r="N2262" t="str" cm="1">
        <f t="array" ref="N2262">_xlfn.IFS(M2262&gt;=50,"50-60 Days", M2262&gt;=40,"40-50 Days", M2262&gt;=30, "30-40 Days", M2262&gt;=20, "20-30 Days", M2262&gt;=10, "10-20 Days", M2262&gt;=0, "0-10 Days")</f>
        <v>0-10 Days</v>
      </c>
    </row>
    <row r="2263" spans="1:14">
      <c r="A2263">
        <v>2262</v>
      </c>
      <c r="B2263" t="s">
        <v>28</v>
      </c>
      <c r="C2263" s="5">
        <v>45546</v>
      </c>
      <c r="D2263" s="8">
        <v>45546</v>
      </c>
      <c r="E2263" s="8">
        <f>IF(B2263="Inactive", EDATE(D2263,K2263), "")</f>
        <v>45758</v>
      </c>
      <c r="F2263" t="s">
        <v>14</v>
      </c>
      <c r="G2263">
        <v>7.1</v>
      </c>
      <c r="H2263" t="str" cm="1">
        <f t="array" ref="H2263">_xlfn.IFS(G2263&gt;=20,"20-25", G2263&gt;=15,"15-20", G2263&gt;=10,"10-15", G2263&gt;=5,"5-10", G2263&gt;=1,"1-5", G2263&lt;1,"Less than 1")</f>
        <v>5-10</v>
      </c>
      <c r="I2263">
        <v>1</v>
      </c>
      <c r="J2263">
        <v>5</v>
      </c>
      <c r="K2263" s="6">
        <v>7</v>
      </c>
      <c r="L2263" s="2">
        <v>3.99</v>
      </c>
      <c r="M2263" s="6">
        <v>26</v>
      </c>
      <c r="N2263" t="str" cm="1">
        <f t="array" ref="N2263">_xlfn.IFS(M2263&gt;=50,"50-60 Days", M2263&gt;=40,"40-50 Days", M2263&gt;=30, "30-40 Days", M2263&gt;=20, "20-30 Days", M2263&gt;=10, "10-20 Days", M2263&gt;=0, "0-10 Days")</f>
        <v>20-30 Days</v>
      </c>
    </row>
    <row r="2264" spans="1:14">
      <c r="A2264">
        <v>2263</v>
      </c>
      <c r="B2264" t="s">
        <v>29</v>
      </c>
      <c r="C2264" s="5">
        <v>45634</v>
      </c>
      <c r="D2264" s="8">
        <v>45634</v>
      </c>
      <c r="E2264" s="8" t="str">
        <f>IF(B2264="Inactive", EDATE(D2264,K2264), "")</f>
        <v/>
      </c>
      <c r="F2264" t="s">
        <v>14</v>
      </c>
      <c r="G2264">
        <v>24.5</v>
      </c>
      <c r="H2264" t="str" cm="1">
        <f t="array" ref="H2264">_xlfn.IFS(G2264&gt;=20,"20-25", G2264&gt;=15,"15-20", G2264&gt;=10,"10-15", G2264&gt;=5,"5-10", G2264&gt;=1,"1-5", G2264&lt;1,"Less than 1")</f>
        <v>20-25</v>
      </c>
      <c r="I2264">
        <v>6</v>
      </c>
      <c r="J2264">
        <v>4</v>
      </c>
      <c r="K2264" s="6">
        <v>1</v>
      </c>
      <c r="L2264" s="2">
        <v>3.99</v>
      </c>
      <c r="M2264" s="6">
        <v>12</v>
      </c>
      <c r="N2264" t="str" cm="1">
        <f t="array" ref="N2264">_xlfn.IFS(M2264&gt;=50,"50-60 Days", M2264&gt;=40,"40-50 Days", M2264&gt;=30, "30-40 Days", M2264&gt;=20, "20-30 Days", M2264&gt;=10, "10-20 Days", M2264&gt;=0, "0-10 Days")</f>
        <v>10-20 Days</v>
      </c>
    </row>
    <row r="2265" spans="1:14">
      <c r="A2265">
        <v>2264</v>
      </c>
      <c r="B2265" t="s">
        <v>28</v>
      </c>
      <c r="C2265" s="5">
        <v>44968</v>
      </c>
      <c r="D2265" s="8">
        <v>44968</v>
      </c>
      <c r="E2265" s="8">
        <f>IF(B2265="Inactive", EDATE(D2265,K2265), "")</f>
        <v>45088</v>
      </c>
      <c r="F2265" t="s">
        <v>12</v>
      </c>
      <c r="G2265">
        <v>20.5</v>
      </c>
      <c r="H2265" t="str" cm="1">
        <f t="array" ref="H2265">_xlfn.IFS(G2265&gt;=20,"20-25", G2265&gt;=15,"15-20", G2265&gt;=10,"10-15", G2265&gt;=5,"5-10", G2265&gt;=1,"1-5", G2265&lt;1,"Less than 1")</f>
        <v>20-25</v>
      </c>
      <c r="I2265">
        <v>1</v>
      </c>
      <c r="J2265">
        <v>5</v>
      </c>
      <c r="K2265" s="6">
        <v>4</v>
      </c>
      <c r="L2265" s="2">
        <v>1.99</v>
      </c>
      <c r="M2265" s="6">
        <v>15</v>
      </c>
      <c r="N2265" t="str" cm="1">
        <f t="array" ref="N2265">_xlfn.IFS(M2265&gt;=50,"50-60 Days", M2265&gt;=40,"40-50 Days", M2265&gt;=30, "30-40 Days", M2265&gt;=20, "20-30 Days", M2265&gt;=10, "10-20 Days", M2265&gt;=0, "0-10 Days")</f>
        <v>10-20 Days</v>
      </c>
    </row>
    <row r="2266" spans="1:14">
      <c r="A2266">
        <v>2265</v>
      </c>
      <c r="B2266" t="s">
        <v>28</v>
      </c>
      <c r="C2266" s="5">
        <v>45150</v>
      </c>
      <c r="D2266" s="8">
        <v>45150</v>
      </c>
      <c r="E2266" s="8">
        <f>IF(B2266="Inactive", EDATE(D2266,K2266), "")</f>
        <v>45334</v>
      </c>
      <c r="F2266" t="s">
        <v>12</v>
      </c>
      <c r="G2266">
        <v>18.7</v>
      </c>
      <c r="H2266" t="str" cm="1">
        <f t="array" ref="H2266">_xlfn.IFS(G2266&gt;=20,"20-25", G2266&gt;=15,"15-20", G2266&gt;=10,"10-15", G2266&gt;=5,"5-10", G2266&gt;=1,"1-5", G2266&lt;1,"Less than 1")</f>
        <v>15-20</v>
      </c>
      <c r="I2266">
        <v>1</v>
      </c>
      <c r="J2266">
        <v>5</v>
      </c>
      <c r="K2266" s="6">
        <v>6</v>
      </c>
      <c r="L2266" s="2">
        <v>1.99</v>
      </c>
      <c r="M2266" s="6">
        <v>25</v>
      </c>
      <c r="N2266" t="str" cm="1">
        <f t="array" ref="N2266">_xlfn.IFS(M2266&gt;=50,"50-60 Days", M2266&gt;=40,"40-50 Days", M2266&gt;=30, "30-40 Days", M2266&gt;=20, "20-30 Days", M2266&gt;=10, "10-20 Days", M2266&gt;=0, "0-10 Days")</f>
        <v>20-30 Days</v>
      </c>
    </row>
    <row r="2267" spans="1:14">
      <c r="A2267">
        <v>2266</v>
      </c>
      <c r="B2267" t="s">
        <v>29</v>
      </c>
      <c r="C2267" s="5">
        <v>44941</v>
      </c>
      <c r="D2267" s="8">
        <v>44941</v>
      </c>
      <c r="E2267" s="8" t="str">
        <f>IF(B2267="Inactive", EDATE(D2267,K2267), "")</f>
        <v/>
      </c>
      <c r="F2267" t="s">
        <v>14</v>
      </c>
      <c r="G2267">
        <v>14.6</v>
      </c>
      <c r="H2267" t="str" cm="1">
        <f t="array" ref="H2267">_xlfn.IFS(G2267&gt;=20,"20-25", G2267&gt;=15,"15-20", G2267&gt;=10,"10-15", G2267&gt;=5,"5-10", G2267&gt;=1,"1-5", G2267&lt;1,"Less than 1")</f>
        <v>10-15</v>
      </c>
      <c r="I2267">
        <v>3</v>
      </c>
      <c r="J2267">
        <v>5</v>
      </c>
      <c r="K2267" s="6">
        <v>3</v>
      </c>
      <c r="L2267" s="2">
        <v>3.99</v>
      </c>
      <c r="M2267" s="6">
        <v>7</v>
      </c>
      <c r="N2267" t="str" cm="1">
        <f t="array" ref="N2267">_xlfn.IFS(M2267&gt;=50,"50-60 Days", M2267&gt;=40,"40-50 Days", M2267&gt;=30, "30-40 Days", M2267&gt;=20, "20-30 Days", M2267&gt;=10, "10-20 Days", M2267&gt;=0, "0-10 Days")</f>
        <v>0-10 Days</v>
      </c>
    </row>
    <row r="2268" spans="1:14">
      <c r="A2268">
        <v>2267</v>
      </c>
      <c r="B2268" t="s">
        <v>29</v>
      </c>
      <c r="C2268" s="5">
        <v>45053</v>
      </c>
      <c r="D2268" s="8">
        <v>45053</v>
      </c>
      <c r="E2268" s="8" t="str">
        <f>IF(B2268="Inactive", EDATE(D2268,K2268), "")</f>
        <v/>
      </c>
      <c r="F2268" t="s">
        <v>14</v>
      </c>
      <c r="G2268">
        <v>8.9</v>
      </c>
      <c r="H2268" t="str" cm="1">
        <f t="array" ref="H2268">_xlfn.IFS(G2268&gt;=20,"20-25", G2268&gt;=15,"15-20", G2268&gt;=10,"10-15", G2268&gt;=5,"5-10", G2268&gt;=1,"1-5", G2268&lt;1,"Less than 1")</f>
        <v>5-10</v>
      </c>
      <c r="I2268">
        <v>7</v>
      </c>
      <c r="J2268">
        <v>1</v>
      </c>
      <c r="K2268" s="6">
        <v>3</v>
      </c>
      <c r="L2268" s="2">
        <v>3.99</v>
      </c>
      <c r="M2268" s="6">
        <v>9</v>
      </c>
      <c r="N2268" t="str" cm="1">
        <f t="array" ref="N2268">_xlfn.IFS(M2268&gt;=50,"50-60 Days", M2268&gt;=40,"40-50 Days", M2268&gt;=30, "30-40 Days", M2268&gt;=20, "20-30 Days", M2268&gt;=10, "10-20 Days", M2268&gt;=0, "0-10 Days")</f>
        <v>0-10 Days</v>
      </c>
    </row>
    <row r="2269" spans="1:14">
      <c r="A2269">
        <v>2268</v>
      </c>
      <c r="B2269" t="s">
        <v>28</v>
      </c>
      <c r="C2269" s="5">
        <v>45381</v>
      </c>
      <c r="D2269" s="8">
        <v>45381</v>
      </c>
      <c r="E2269" s="8">
        <f>IF(B2269="Inactive", EDATE(D2269,K2269), "")</f>
        <v>45595</v>
      </c>
      <c r="F2269" t="s">
        <v>14</v>
      </c>
      <c r="G2269">
        <v>24.4</v>
      </c>
      <c r="H2269" t="str" cm="1">
        <f t="array" ref="H2269">_xlfn.IFS(G2269&gt;=20,"20-25", G2269&gt;=15,"15-20", G2269&gt;=10,"10-15", G2269&gt;=5,"5-10", G2269&gt;=1,"1-5", G2269&lt;1,"Less than 1")</f>
        <v>20-25</v>
      </c>
      <c r="I2269">
        <v>6</v>
      </c>
      <c r="J2269">
        <v>5</v>
      </c>
      <c r="K2269" s="6">
        <v>7</v>
      </c>
      <c r="L2269" s="2">
        <v>3.99</v>
      </c>
      <c r="M2269" s="6">
        <v>33</v>
      </c>
      <c r="N2269" t="str" cm="1">
        <f t="array" ref="N2269">_xlfn.IFS(M2269&gt;=50,"50-60 Days", M2269&gt;=40,"40-50 Days", M2269&gt;=30, "30-40 Days", M2269&gt;=20, "20-30 Days", M2269&gt;=10, "10-20 Days", M2269&gt;=0, "0-10 Days")</f>
        <v>30-40 Days</v>
      </c>
    </row>
    <row r="2270" spans="1:14">
      <c r="A2270">
        <v>2269</v>
      </c>
      <c r="B2270" t="s">
        <v>29</v>
      </c>
      <c r="C2270" s="5">
        <v>45608</v>
      </c>
      <c r="D2270" s="8">
        <v>45608</v>
      </c>
      <c r="E2270" s="8" t="str">
        <f>IF(B2270="Inactive", EDATE(D2270,K2270), "")</f>
        <v/>
      </c>
      <c r="F2270" t="s">
        <v>10</v>
      </c>
      <c r="G2270">
        <v>21.5</v>
      </c>
      <c r="H2270" t="str" cm="1">
        <f t="array" ref="H2270">_xlfn.IFS(G2270&gt;=20,"20-25", G2270&gt;=15,"15-20", G2270&gt;=10,"10-15", G2270&gt;=5,"5-10", G2270&gt;=1,"1-5", G2270&lt;1,"Less than 1")</f>
        <v>20-25</v>
      </c>
      <c r="I2270">
        <v>2</v>
      </c>
      <c r="J2270">
        <v>1</v>
      </c>
      <c r="K2270" s="6">
        <v>5</v>
      </c>
      <c r="L2270" s="2">
        <v>6.99</v>
      </c>
      <c r="M2270" s="6">
        <v>24</v>
      </c>
      <c r="N2270" t="str" cm="1">
        <f t="array" ref="N2270">_xlfn.IFS(M2270&gt;=50,"50-60 Days", M2270&gt;=40,"40-50 Days", M2270&gt;=30, "30-40 Days", M2270&gt;=20, "20-30 Days", M2270&gt;=10, "10-20 Days", M2270&gt;=0, "0-10 Days")</f>
        <v>20-30 Days</v>
      </c>
    </row>
    <row r="2271" spans="1:14">
      <c r="A2271">
        <v>2270</v>
      </c>
      <c r="B2271" t="s">
        <v>28</v>
      </c>
      <c r="C2271" s="5">
        <v>45370</v>
      </c>
      <c r="D2271" s="8">
        <v>45370</v>
      </c>
      <c r="E2271" s="8">
        <f>IF(B2271="Inactive", EDATE(D2271,K2271), "")</f>
        <v>45554</v>
      </c>
      <c r="F2271" t="s">
        <v>10</v>
      </c>
      <c r="G2271">
        <v>12.5</v>
      </c>
      <c r="H2271" t="str" cm="1">
        <f t="array" ref="H2271">_xlfn.IFS(G2271&gt;=20,"20-25", G2271&gt;=15,"15-20", G2271&gt;=10,"10-15", G2271&gt;=5,"5-10", G2271&gt;=1,"1-5", G2271&lt;1,"Less than 1")</f>
        <v>10-15</v>
      </c>
      <c r="I2271">
        <v>4</v>
      </c>
      <c r="J2271">
        <v>3</v>
      </c>
      <c r="K2271" s="6">
        <v>6</v>
      </c>
      <c r="L2271" s="2">
        <v>6.99</v>
      </c>
      <c r="M2271" s="6">
        <v>3</v>
      </c>
      <c r="N2271" t="str" cm="1">
        <f t="array" ref="N2271">_xlfn.IFS(M2271&gt;=50,"50-60 Days", M2271&gt;=40,"40-50 Days", M2271&gt;=30, "30-40 Days", M2271&gt;=20, "20-30 Days", M2271&gt;=10, "10-20 Days", M2271&gt;=0, "0-10 Days")</f>
        <v>0-10 Days</v>
      </c>
    </row>
    <row r="2272" spans="1:14">
      <c r="A2272">
        <v>2271</v>
      </c>
      <c r="B2272" t="s">
        <v>28</v>
      </c>
      <c r="C2272" s="5">
        <v>45135</v>
      </c>
      <c r="D2272" s="8">
        <v>45135</v>
      </c>
      <c r="E2272" s="8">
        <f>IF(B2272="Inactive", EDATE(D2272,K2272), "")</f>
        <v>45258</v>
      </c>
      <c r="F2272" t="s">
        <v>14</v>
      </c>
      <c r="G2272">
        <v>2</v>
      </c>
      <c r="H2272" t="str" cm="1">
        <f t="array" ref="H2272">_xlfn.IFS(G2272&gt;=20,"20-25", G2272&gt;=15,"15-20", G2272&gt;=10,"10-15", G2272&gt;=5,"5-10", G2272&gt;=1,"1-5", G2272&lt;1,"Less than 1")</f>
        <v>1-5</v>
      </c>
      <c r="I2272">
        <v>0</v>
      </c>
      <c r="J2272">
        <v>5</v>
      </c>
      <c r="K2272" s="6">
        <v>4</v>
      </c>
      <c r="L2272" s="2">
        <v>3.99</v>
      </c>
      <c r="M2272" s="6">
        <v>29</v>
      </c>
      <c r="N2272" t="str" cm="1">
        <f t="array" ref="N2272">_xlfn.IFS(M2272&gt;=50,"50-60 Days", M2272&gt;=40,"40-50 Days", M2272&gt;=30, "30-40 Days", M2272&gt;=20, "20-30 Days", M2272&gt;=10, "10-20 Days", M2272&gt;=0, "0-10 Days")</f>
        <v>20-30 Days</v>
      </c>
    </row>
    <row r="2273" spans="1:14">
      <c r="A2273">
        <v>2272</v>
      </c>
      <c r="B2273" t="s">
        <v>28</v>
      </c>
      <c r="C2273" s="5">
        <v>44941</v>
      </c>
      <c r="D2273" s="8">
        <v>44941</v>
      </c>
      <c r="E2273" s="8">
        <f>IF(B2273="Inactive", EDATE(D2273,K2273), "")</f>
        <v>45031</v>
      </c>
      <c r="F2273" t="s">
        <v>14</v>
      </c>
      <c r="G2273">
        <v>22.1</v>
      </c>
      <c r="H2273" t="str" cm="1">
        <f t="array" ref="H2273">_xlfn.IFS(G2273&gt;=20,"20-25", G2273&gt;=15,"15-20", G2273&gt;=10,"10-15", G2273&gt;=5,"5-10", G2273&gt;=1,"1-5", G2273&lt;1,"Less than 1")</f>
        <v>20-25</v>
      </c>
      <c r="I2273">
        <v>2</v>
      </c>
      <c r="J2273">
        <v>2</v>
      </c>
      <c r="K2273" s="6">
        <v>3</v>
      </c>
      <c r="L2273" s="2">
        <v>3.99</v>
      </c>
      <c r="M2273" s="6">
        <v>17</v>
      </c>
      <c r="N2273" t="str" cm="1">
        <f t="array" ref="N2273">_xlfn.IFS(M2273&gt;=50,"50-60 Days", M2273&gt;=40,"40-50 Days", M2273&gt;=30, "30-40 Days", M2273&gt;=20, "20-30 Days", M2273&gt;=10, "10-20 Days", M2273&gt;=0, "0-10 Days")</f>
        <v>10-20 Days</v>
      </c>
    </row>
    <row r="2274" spans="1:14">
      <c r="A2274">
        <v>2273</v>
      </c>
      <c r="B2274" t="s">
        <v>28</v>
      </c>
      <c r="C2274" s="5">
        <v>45387</v>
      </c>
      <c r="D2274" s="8">
        <v>45387</v>
      </c>
      <c r="E2274" s="8">
        <f>IF(B2274="Inactive", EDATE(D2274,K2274), "")</f>
        <v>45752</v>
      </c>
      <c r="F2274" t="s">
        <v>14</v>
      </c>
      <c r="G2274">
        <v>2.1</v>
      </c>
      <c r="H2274" t="str" cm="1">
        <f t="array" ref="H2274">_xlfn.IFS(G2274&gt;=20,"20-25", G2274&gt;=15,"15-20", G2274&gt;=10,"10-15", G2274&gt;=5,"5-10", G2274&gt;=1,"1-5", G2274&lt;1,"Less than 1")</f>
        <v>1-5</v>
      </c>
      <c r="I2274">
        <v>7</v>
      </c>
      <c r="J2274">
        <v>2</v>
      </c>
      <c r="K2274" s="6">
        <v>12</v>
      </c>
      <c r="L2274" s="2">
        <v>3.99</v>
      </c>
      <c r="M2274" s="6">
        <v>19</v>
      </c>
      <c r="N2274" t="str" cm="1">
        <f t="array" ref="N2274">_xlfn.IFS(M2274&gt;=50,"50-60 Days", M2274&gt;=40,"40-50 Days", M2274&gt;=30, "30-40 Days", M2274&gt;=20, "20-30 Days", M2274&gt;=10, "10-20 Days", M2274&gt;=0, "0-10 Days")</f>
        <v>10-20 Days</v>
      </c>
    </row>
    <row r="2275" spans="1:14">
      <c r="A2275">
        <v>2274</v>
      </c>
      <c r="B2275" t="s">
        <v>28</v>
      </c>
      <c r="C2275" s="5">
        <v>45375</v>
      </c>
      <c r="D2275" s="8">
        <v>45375</v>
      </c>
      <c r="E2275" s="8">
        <f>IF(B2275="Inactive", EDATE(D2275,K2275), "")</f>
        <v>45559</v>
      </c>
      <c r="F2275" t="s">
        <v>12</v>
      </c>
      <c r="G2275">
        <v>21.1</v>
      </c>
      <c r="H2275" t="str" cm="1">
        <f t="array" ref="H2275">_xlfn.IFS(G2275&gt;=20,"20-25", G2275&gt;=15,"15-20", G2275&gt;=10,"10-15", G2275&gt;=5,"5-10", G2275&gt;=1,"1-5", G2275&lt;1,"Less than 1")</f>
        <v>20-25</v>
      </c>
      <c r="I2275">
        <v>6</v>
      </c>
      <c r="J2275">
        <v>2</v>
      </c>
      <c r="K2275" s="6">
        <v>6</v>
      </c>
      <c r="L2275" s="2">
        <v>1.99</v>
      </c>
      <c r="M2275" s="6">
        <v>10</v>
      </c>
      <c r="N2275" t="str" cm="1">
        <f t="array" ref="N2275">_xlfn.IFS(M2275&gt;=50,"50-60 Days", M2275&gt;=40,"40-50 Days", M2275&gt;=30, "30-40 Days", M2275&gt;=20, "20-30 Days", M2275&gt;=10, "10-20 Days", M2275&gt;=0, "0-10 Days")</f>
        <v>10-20 Days</v>
      </c>
    </row>
    <row r="2276" spans="1:14">
      <c r="A2276">
        <v>2275</v>
      </c>
      <c r="B2276" t="s">
        <v>29</v>
      </c>
      <c r="C2276" s="5">
        <v>45491</v>
      </c>
      <c r="D2276" s="8">
        <v>45491</v>
      </c>
      <c r="E2276" s="8" t="str">
        <f>IF(B2276="Inactive", EDATE(D2276,K2276), "")</f>
        <v/>
      </c>
      <c r="F2276" t="s">
        <v>12</v>
      </c>
      <c r="G2276">
        <v>19.600000000000001</v>
      </c>
      <c r="H2276" t="str" cm="1">
        <f t="array" ref="H2276">_xlfn.IFS(G2276&gt;=20,"20-25", G2276&gt;=15,"15-20", G2276&gt;=10,"10-15", G2276&gt;=5,"5-10", G2276&gt;=1,"1-5", G2276&lt;1,"Less than 1")</f>
        <v>15-20</v>
      </c>
      <c r="I2276">
        <v>7</v>
      </c>
      <c r="J2276">
        <v>3</v>
      </c>
      <c r="K2276" s="6">
        <v>1</v>
      </c>
      <c r="L2276" s="2">
        <v>1.99</v>
      </c>
      <c r="M2276" s="6">
        <v>14</v>
      </c>
      <c r="N2276" t="str" cm="1">
        <f t="array" ref="N2276">_xlfn.IFS(M2276&gt;=50,"50-60 Days", M2276&gt;=40,"40-50 Days", M2276&gt;=30, "30-40 Days", M2276&gt;=20, "20-30 Days", M2276&gt;=10, "10-20 Days", M2276&gt;=0, "0-10 Days")</f>
        <v>10-20 Days</v>
      </c>
    </row>
    <row r="2277" spans="1:14">
      <c r="A2277">
        <v>2276</v>
      </c>
      <c r="B2277" t="s">
        <v>28</v>
      </c>
      <c r="C2277" s="5">
        <v>45205</v>
      </c>
      <c r="D2277" s="8">
        <v>45205</v>
      </c>
      <c r="E2277" s="8">
        <f>IF(B2277="Inactive", EDATE(D2277,K2277), "")</f>
        <v>45328</v>
      </c>
      <c r="F2277" t="s">
        <v>10</v>
      </c>
      <c r="G2277">
        <v>3.2</v>
      </c>
      <c r="H2277" t="str" cm="1">
        <f t="array" ref="H2277">_xlfn.IFS(G2277&gt;=20,"20-25", G2277&gt;=15,"15-20", G2277&gt;=10,"10-15", G2277&gt;=5,"5-10", G2277&gt;=1,"1-5", G2277&lt;1,"Less than 1")</f>
        <v>1-5</v>
      </c>
      <c r="I2277">
        <v>5</v>
      </c>
      <c r="J2277">
        <v>4</v>
      </c>
      <c r="K2277" s="6">
        <v>4</v>
      </c>
      <c r="L2277" s="2">
        <v>6.99</v>
      </c>
      <c r="M2277" s="6">
        <v>16</v>
      </c>
      <c r="N2277" t="str" cm="1">
        <f t="array" ref="N2277">_xlfn.IFS(M2277&gt;=50,"50-60 Days", M2277&gt;=40,"40-50 Days", M2277&gt;=30, "30-40 Days", M2277&gt;=20, "20-30 Days", M2277&gt;=10, "10-20 Days", M2277&gt;=0, "0-10 Days")</f>
        <v>10-20 Days</v>
      </c>
    </row>
    <row r="2278" spans="1:14">
      <c r="A2278">
        <v>2277</v>
      </c>
      <c r="B2278" t="s">
        <v>29</v>
      </c>
      <c r="C2278" s="5">
        <v>45036</v>
      </c>
      <c r="D2278" s="8">
        <v>45036</v>
      </c>
      <c r="E2278" s="8" t="str">
        <f>IF(B2278="Inactive", EDATE(D2278,K2278), "")</f>
        <v/>
      </c>
      <c r="F2278" t="s">
        <v>10</v>
      </c>
      <c r="G2278">
        <v>20.100000000000001</v>
      </c>
      <c r="H2278" t="str" cm="1">
        <f t="array" ref="H2278">_xlfn.IFS(G2278&gt;=20,"20-25", G2278&gt;=15,"15-20", G2278&gt;=10,"10-15", G2278&gt;=5,"5-10", G2278&gt;=1,"1-5", G2278&lt;1,"Less than 1")</f>
        <v>20-25</v>
      </c>
      <c r="I2278">
        <v>6</v>
      </c>
      <c r="J2278">
        <v>0</v>
      </c>
      <c r="K2278" s="6">
        <v>12</v>
      </c>
      <c r="L2278" s="2">
        <v>6.99</v>
      </c>
      <c r="M2278" s="6">
        <v>4</v>
      </c>
      <c r="N2278" t="str" cm="1">
        <f t="array" ref="N2278">_xlfn.IFS(M2278&gt;=50,"50-60 Days", M2278&gt;=40,"40-50 Days", M2278&gt;=30, "30-40 Days", M2278&gt;=20, "20-30 Days", M2278&gt;=10, "10-20 Days", M2278&gt;=0, "0-10 Days")</f>
        <v>0-10 Days</v>
      </c>
    </row>
    <row r="2279" spans="1:14">
      <c r="A2279">
        <v>2278</v>
      </c>
      <c r="B2279" t="s">
        <v>28</v>
      </c>
      <c r="C2279" s="5">
        <v>45555</v>
      </c>
      <c r="D2279" s="8">
        <v>45555</v>
      </c>
      <c r="E2279" s="8">
        <f>IF(B2279="Inactive", EDATE(D2279,K2279), "")</f>
        <v>45767</v>
      </c>
      <c r="F2279" t="s">
        <v>12</v>
      </c>
      <c r="G2279">
        <v>6.7</v>
      </c>
      <c r="H2279" t="str" cm="1">
        <f t="array" ref="H2279">_xlfn.IFS(G2279&gt;=20,"20-25", G2279&gt;=15,"15-20", G2279&gt;=10,"10-15", G2279&gt;=5,"5-10", G2279&gt;=1,"1-5", G2279&lt;1,"Less than 1")</f>
        <v>5-10</v>
      </c>
      <c r="I2279">
        <v>3</v>
      </c>
      <c r="J2279">
        <v>5</v>
      </c>
      <c r="K2279" s="6">
        <v>7</v>
      </c>
      <c r="L2279" s="2">
        <v>1.99</v>
      </c>
      <c r="M2279" s="6">
        <v>59</v>
      </c>
      <c r="N2279" t="str" cm="1">
        <f t="array" ref="N2279">_xlfn.IFS(M2279&gt;=50,"50-60 Days", M2279&gt;=40,"40-50 Days", M2279&gt;=30, "30-40 Days", M2279&gt;=20, "20-30 Days", M2279&gt;=10, "10-20 Days", M2279&gt;=0, "0-10 Days")</f>
        <v>50-60 Days</v>
      </c>
    </row>
    <row r="2280" spans="1:14">
      <c r="A2280">
        <v>2279</v>
      </c>
      <c r="B2280" t="s">
        <v>28</v>
      </c>
      <c r="C2280" s="5">
        <v>44947</v>
      </c>
      <c r="D2280" s="8">
        <v>44947</v>
      </c>
      <c r="E2280" s="8">
        <f>IF(B2280="Inactive", EDATE(D2280,K2280), "")</f>
        <v>45312</v>
      </c>
      <c r="F2280" t="s">
        <v>10</v>
      </c>
      <c r="G2280">
        <v>23.1</v>
      </c>
      <c r="H2280" t="str" cm="1">
        <f t="array" ref="H2280">_xlfn.IFS(G2280&gt;=20,"20-25", G2280&gt;=15,"15-20", G2280&gt;=10,"10-15", G2280&gt;=5,"5-10", G2280&gt;=1,"1-5", G2280&lt;1,"Less than 1")</f>
        <v>20-25</v>
      </c>
      <c r="I2280">
        <v>7</v>
      </c>
      <c r="J2280">
        <v>4</v>
      </c>
      <c r="K2280" s="6">
        <v>12</v>
      </c>
      <c r="L2280" s="2">
        <v>6.99</v>
      </c>
      <c r="M2280" s="6">
        <v>0</v>
      </c>
      <c r="N2280" t="str" cm="1">
        <f t="array" ref="N2280">_xlfn.IFS(M2280&gt;=50,"50-60 Days", M2280&gt;=40,"40-50 Days", M2280&gt;=30, "30-40 Days", M2280&gt;=20, "20-30 Days", M2280&gt;=10, "10-20 Days", M2280&gt;=0, "0-10 Days")</f>
        <v>0-10 Days</v>
      </c>
    </row>
    <row r="2281" spans="1:14">
      <c r="A2281">
        <v>2280</v>
      </c>
      <c r="B2281" t="s">
        <v>28</v>
      </c>
      <c r="C2281" s="5">
        <v>45038</v>
      </c>
      <c r="D2281" s="8">
        <v>45038</v>
      </c>
      <c r="E2281" s="8">
        <f>IF(B2281="Inactive", EDATE(D2281,K2281), "")</f>
        <v>45404</v>
      </c>
      <c r="F2281" t="s">
        <v>14</v>
      </c>
      <c r="G2281">
        <v>10.8</v>
      </c>
      <c r="H2281" t="str" cm="1">
        <f t="array" ref="H2281">_xlfn.IFS(G2281&gt;=20,"20-25", G2281&gt;=15,"15-20", G2281&gt;=10,"10-15", G2281&gt;=5,"5-10", G2281&gt;=1,"1-5", G2281&lt;1,"Less than 1")</f>
        <v>10-15</v>
      </c>
      <c r="I2281">
        <v>5</v>
      </c>
      <c r="J2281">
        <v>0</v>
      </c>
      <c r="K2281" s="6">
        <v>12</v>
      </c>
      <c r="L2281" s="2">
        <v>3.99</v>
      </c>
      <c r="M2281" s="6">
        <v>30</v>
      </c>
      <c r="N2281" t="str" cm="1">
        <f t="array" ref="N2281">_xlfn.IFS(M2281&gt;=50,"50-60 Days", M2281&gt;=40,"40-50 Days", M2281&gt;=30, "30-40 Days", M2281&gt;=20, "20-30 Days", M2281&gt;=10, "10-20 Days", M2281&gt;=0, "0-10 Days")</f>
        <v>30-40 Days</v>
      </c>
    </row>
    <row r="2282" spans="1:14">
      <c r="A2282">
        <v>2281</v>
      </c>
      <c r="B2282" t="s">
        <v>29</v>
      </c>
      <c r="C2282" s="5">
        <v>45527</v>
      </c>
      <c r="D2282" s="8">
        <v>45527</v>
      </c>
      <c r="E2282" s="8" t="str">
        <f>IF(B2282="Inactive", EDATE(D2282,K2282), "")</f>
        <v/>
      </c>
      <c r="F2282" t="s">
        <v>10</v>
      </c>
      <c r="G2282">
        <v>18.2</v>
      </c>
      <c r="H2282" t="str" cm="1">
        <f t="array" ref="H2282">_xlfn.IFS(G2282&gt;=20,"20-25", G2282&gt;=15,"15-20", G2282&gt;=10,"10-15", G2282&gt;=5,"5-10", G2282&gt;=1,"1-5", G2282&lt;1,"Less than 1")</f>
        <v>15-20</v>
      </c>
      <c r="I2282">
        <v>6</v>
      </c>
      <c r="J2282">
        <v>2</v>
      </c>
      <c r="K2282" s="6">
        <v>7</v>
      </c>
      <c r="L2282" s="2">
        <v>6.99</v>
      </c>
      <c r="M2282" s="6">
        <v>44</v>
      </c>
      <c r="N2282" t="str" cm="1">
        <f t="array" ref="N2282">_xlfn.IFS(M2282&gt;=50,"50-60 Days", M2282&gt;=40,"40-50 Days", M2282&gt;=30, "30-40 Days", M2282&gt;=20, "20-30 Days", M2282&gt;=10, "10-20 Days", M2282&gt;=0, "0-10 Days")</f>
        <v>40-50 Days</v>
      </c>
    </row>
    <row r="2283" spans="1:14">
      <c r="A2283">
        <v>2282</v>
      </c>
      <c r="B2283" t="s">
        <v>28</v>
      </c>
      <c r="C2283" s="5">
        <v>45127</v>
      </c>
      <c r="D2283" s="8">
        <v>45127</v>
      </c>
      <c r="E2283" s="8">
        <f>IF(B2283="Inactive", EDATE(D2283,K2283), "")</f>
        <v>45402</v>
      </c>
      <c r="F2283" t="s">
        <v>12</v>
      </c>
      <c r="G2283">
        <v>16.899999999999999</v>
      </c>
      <c r="H2283" t="str" cm="1">
        <f t="array" ref="H2283">_xlfn.IFS(G2283&gt;=20,"20-25", G2283&gt;=15,"15-20", G2283&gt;=10,"10-15", G2283&gt;=5,"5-10", G2283&gt;=1,"1-5", G2283&lt;1,"Less than 1")</f>
        <v>15-20</v>
      </c>
      <c r="I2283">
        <v>5</v>
      </c>
      <c r="J2283">
        <v>0</v>
      </c>
      <c r="K2283" s="6">
        <v>9</v>
      </c>
      <c r="L2283" s="2">
        <v>1.99</v>
      </c>
      <c r="M2283" s="6">
        <v>24</v>
      </c>
      <c r="N2283" t="str" cm="1">
        <f t="array" ref="N2283">_xlfn.IFS(M2283&gt;=50,"50-60 Days", M2283&gt;=40,"40-50 Days", M2283&gt;=30, "30-40 Days", M2283&gt;=20, "20-30 Days", M2283&gt;=10, "10-20 Days", M2283&gt;=0, "0-10 Days")</f>
        <v>20-30 Days</v>
      </c>
    </row>
    <row r="2284" spans="1:14">
      <c r="A2284">
        <v>2283</v>
      </c>
      <c r="B2284" t="s">
        <v>28</v>
      </c>
      <c r="C2284" s="5">
        <v>45472</v>
      </c>
      <c r="D2284" s="8">
        <v>45472</v>
      </c>
      <c r="E2284" s="8">
        <f>IF(B2284="Inactive", EDATE(D2284,K2284), "")</f>
        <v>45686</v>
      </c>
      <c r="F2284" t="s">
        <v>12</v>
      </c>
      <c r="G2284">
        <v>1.6</v>
      </c>
      <c r="H2284" t="str" cm="1">
        <f t="array" ref="H2284">_xlfn.IFS(G2284&gt;=20,"20-25", G2284&gt;=15,"15-20", G2284&gt;=10,"10-15", G2284&gt;=5,"5-10", G2284&gt;=1,"1-5", G2284&lt;1,"Less than 1")</f>
        <v>1-5</v>
      </c>
      <c r="I2284">
        <v>5</v>
      </c>
      <c r="J2284">
        <v>2</v>
      </c>
      <c r="K2284" s="6">
        <v>7</v>
      </c>
      <c r="L2284" s="2">
        <v>1.99</v>
      </c>
      <c r="M2284" s="6">
        <v>30</v>
      </c>
      <c r="N2284" t="str" cm="1">
        <f t="array" ref="N2284">_xlfn.IFS(M2284&gt;=50,"50-60 Days", M2284&gt;=40,"40-50 Days", M2284&gt;=30, "30-40 Days", M2284&gt;=20, "20-30 Days", M2284&gt;=10, "10-20 Days", M2284&gt;=0, "0-10 Days")</f>
        <v>30-40 Days</v>
      </c>
    </row>
    <row r="2285" spans="1:14">
      <c r="A2285">
        <v>2284</v>
      </c>
      <c r="B2285" t="s">
        <v>28</v>
      </c>
      <c r="C2285" s="5">
        <v>45505</v>
      </c>
      <c r="D2285" s="8">
        <v>45505</v>
      </c>
      <c r="E2285" s="8">
        <f>IF(B2285="Inactive", EDATE(D2285,K2285), "")</f>
        <v>45839</v>
      </c>
      <c r="F2285" t="s">
        <v>14</v>
      </c>
      <c r="G2285">
        <v>6.1</v>
      </c>
      <c r="H2285" t="str" cm="1">
        <f t="array" ref="H2285">_xlfn.IFS(G2285&gt;=20,"20-25", G2285&gt;=15,"15-20", G2285&gt;=10,"10-15", G2285&gt;=5,"5-10", G2285&gt;=1,"1-5", G2285&lt;1,"Less than 1")</f>
        <v>5-10</v>
      </c>
      <c r="I2285">
        <v>8</v>
      </c>
      <c r="J2285">
        <v>0</v>
      </c>
      <c r="K2285" s="6">
        <v>11</v>
      </c>
      <c r="L2285" s="2">
        <v>3.99</v>
      </c>
      <c r="M2285" s="6">
        <v>44</v>
      </c>
      <c r="N2285" t="str" cm="1">
        <f t="array" ref="N2285">_xlfn.IFS(M2285&gt;=50,"50-60 Days", M2285&gt;=40,"40-50 Days", M2285&gt;=30, "30-40 Days", M2285&gt;=20, "20-30 Days", M2285&gt;=10, "10-20 Days", M2285&gt;=0, "0-10 Days")</f>
        <v>40-50 Days</v>
      </c>
    </row>
    <row r="2286" spans="1:14">
      <c r="A2286">
        <v>2285</v>
      </c>
      <c r="B2286" t="s">
        <v>29</v>
      </c>
      <c r="C2286" s="5">
        <v>45001</v>
      </c>
      <c r="D2286" s="8">
        <v>45001</v>
      </c>
      <c r="E2286" s="8" t="str">
        <f>IF(B2286="Inactive", EDATE(D2286,K2286), "")</f>
        <v/>
      </c>
      <c r="F2286" t="s">
        <v>12</v>
      </c>
      <c r="G2286">
        <v>10.6</v>
      </c>
      <c r="H2286" t="str" cm="1">
        <f t="array" ref="H2286">_xlfn.IFS(G2286&gt;=20,"20-25", G2286&gt;=15,"15-20", G2286&gt;=10,"10-15", G2286&gt;=5,"5-10", G2286&gt;=1,"1-5", G2286&lt;1,"Less than 1")</f>
        <v>10-15</v>
      </c>
      <c r="I2286">
        <v>0</v>
      </c>
      <c r="J2286">
        <v>1</v>
      </c>
      <c r="K2286" s="6">
        <v>5</v>
      </c>
      <c r="L2286" s="2">
        <v>1.99</v>
      </c>
      <c r="M2286" s="6">
        <v>29</v>
      </c>
      <c r="N2286" t="str" cm="1">
        <f t="array" ref="N2286">_xlfn.IFS(M2286&gt;=50,"50-60 Days", M2286&gt;=40,"40-50 Days", M2286&gt;=30, "30-40 Days", M2286&gt;=20, "20-30 Days", M2286&gt;=10, "10-20 Days", M2286&gt;=0, "0-10 Days")</f>
        <v>20-30 Days</v>
      </c>
    </row>
    <row r="2287" spans="1:14">
      <c r="A2287">
        <v>2286</v>
      </c>
      <c r="B2287" t="s">
        <v>28</v>
      </c>
      <c r="C2287" s="5">
        <v>45306</v>
      </c>
      <c r="D2287" s="8">
        <v>45306</v>
      </c>
      <c r="E2287" s="8">
        <f>IF(B2287="Inactive", EDATE(D2287,K2287), "")</f>
        <v>45672</v>
      </c>
      <c r="F2287" t="s">
        <v>12</v>
      </c>
      <c r="G2287">
        <v>11.3</v>
      </c>
      <c r="H2287" t="str" cm="1">
        <f t="array" ref="H2287">_xlfn.IFS(G2287&gt;=20,"20-25", G2287&gt;=15,"15-20", G2287&gt;=10,"10-15", G2287&gt;=5,"5-10", G2287&gt;=1,"1-5", G2287&lt;1,"Less than 1")</f>
        <v>10-15</v>
      </c>
      <c r="I2287">
        <v>2</v>
      </c>
      <c r="J2287">
        <v>1</v>
      </c>
      <c r="K2287" s="6">
        <v>12</v>
      </c>
      <c r="L2287" s="2">
        <v>1.99</v>
      </c>
      <c r="M2287" s="6">
        <v>47</v>
      </c>
      <c r="N2287" t="str" cm="1">
        <f t="array" ref="N2287">_xlfn.IFS(M2287&gt;=50,"50-60 Days", M2287&gt;=40,"40-50 Days", M2287&gt;=30, "30-40 Days", M2287&gt;=20, "20-30 Days", M2287&gt;=10, "10-20 Days", M2287&gt;=0, "0-10 Days")</f>
        <v>40-50 Days</v>
      </c>
    </row>
    <row r="2288" spans="1:14">
      <c r="A2288">
        <v>2287</v>
      </c>
      <c r="B2288" t="s">
        <v>29</v>
      </c>
      <c r="C2288" s="5">
        <v>45387</v>
      </c>
      <c r="D2288" s="8">
        <v>45387</v>
      </c>
      <c r="E2288" s="8" t="str">
        <f>IF(B2288="Inactive", EDATE(D2288,K2288), "")</f>
        <v/>
      </c>
      <c r="F2288" t="s">
        <v>12</v>
      </c>
      <c r="G2288">
        <v>6.8</v>
      </c>
      <c r="H2288" t="str" cm="1">
        <f t="array" ref="H2288">_xlfn.IFS(G2288&gt;=20,"20-25", G2288&gt;=15,"15-20", G2288&gt;=10,"10-15", G2288&gt;=5,"5-10", G2288&gt;=1,"1-5", G2288&lt;1,"Less than 1")</f>
        <v>5-10</v>
      </c>
      <c r="I2288">
        <v>6</v>
      </c>
      <c r="J2288">
        <v>0</v>
      </c>
      <c r="K2288" s="6">
        <v>1</v>
      </c>
      <c r="L2288" s="2">
        <v>1.99</v>
      </c>
      <c r="M2288" s="6">
        <v>17</v>
      </c>
      <c r="N2288" t="str" cm="1">
        <f t="array" ref="N2288">_xlfn.IFS(M2288&gt;=50,"50-60 Days", M2288&gt;=40,"40-50 Days", M2288&gt;=30, "30-40 Days", M2288&gt;=20, "20-30 Days", M2288&gt;=10, "10-20 Days", M2288&gt;=0, "0-10 Days")</f>
        <v>10-20 Days</v>
      </c>
    </row>
    <row r="2289" spans="1:14">
      <c r="A2289">
        <v>2288</v>
      </c>
      <c r="B2289" t="s">
        <v>28</v>
      </c>
      <c r="C2289" s="5">
        <v>45183</v>
      </c>
      <c r="D2289" s="8">
        <v>45183</v>
      </c>
      <c r="E2289" s="8">
        <f>IF(B2289="Inactive", EDATE(D2289,K2289), "")</f>
        <v>45244</v>
      </c>
      <c r="F2289" t="s">
        <v>12</v>
      </c>
      <c r="G2289">
        <v>8.8000000000000007</v>
      </c>
      <c r="H2289" t="str" cm="1">
        <f t="array" ref="H2289">_xlfn.IFS(G2289&gt;=20,"20-25", G2289&gt;=15,"15-20", G2289&gt;=10,"10-15", G2289&gt;=5,"5-10", G2289&gt;=1,"1-5", G2289&lt;1,"Less than 1")</f>
        <v>5-10</v>
      </c>
      <c r="I2289">
        <v>3</v>
      </c>
      <c r="J2289">
        <v>4</v>
      </c>
      <c r="K2289" s="6">
        <v>2</v>
      </c>
      <c r="L2289" s="2">
        <v>1.99</v>
      </c>
      <c r="M2289" s="6">
        <v>7</v>
      </c>
      <c r="N2289" t="str" cm="1">
        <f t="array" ref="N2289">_xlfn.IFS(M2289&gt;=50,"50-60 Days", M2289&gt;=40,"40-50 Days", M2289&gt;=30, "30-40 Days", M2289&gt;=20, "20-30 Days", M2289&gt;=10, "10-20 Days", M2289&gt;=0, "0-10 Days")</f>
        <v>0-10 Days</v>
      </c>
    </row>
    <row r="2290" spans="1:14">
      <c r="A2290">
        <v>2289</v>
      </c>
      <c r="B2290" t="s">
        <v>29</v>
      </c>
      <c r="C2290" s="5">
        <v>45481</v>
      </c>
      <c r="D2290" s="8">
        <v>45481</v>
      </c>
      <c r="E2290" s="8" t="str">
        <f>IF(B2290="Inactive", EDATE(D2290,K2290), "")</f>
        <v/>
      </c>
      <c r="F2290" t="s">
        <v>10</v>
      </c>
      <c r="G2290">
        <v>18.8</v>
      </c>
      <c r="H2290" t="str" cm="1">
        <f t="array" ref="H2290">_xlfn.IFS(G2290&gt;=20,"20-25", G2290&gt;=15,"15-20", G2290&gt;=10,"10-15", G2290&gt;=5,"5-10", G2290&gt;=1,"1-5", G2290&lt;1,"Less than 1")</f>
        <v>15-20</v>
      </c>
      <c r="I2290">
        <v>3</v>
      </c>
      <c r="J2290">
        <v>0</v>
      </c>
      <c r="K2290" s="6">
        <v>12</v>
      </c>
      <c r="L2290" s="2">
        <v>6.99</v>
      </c>
      <c r="M2290" s="6">
        <v>30</v>
      </c>
      <c r="N2290" t="str" cm="1">
        <f t="array" ref="N2290">_xlfn.IFS(M2290&gt;=50,"50-60 Days", M2290&gt;=40,"40-50 Days", M2290&gt;=30, "30-40 Days", M2290&gt;=20, "20-30 Days", M2290&gt;=10, "10-20 Days", M2290&gt;=0, "0-10 Days")</f>
        <v>30-40 Days</v>
      </c>
    </row>
    <row r="2291" spans="1:14">
      <c r="A2291">
        <v>2290</v>
      </c>
      <c r="B2291" t="s">
        <v>28</v>
      </c>
      <c r="C2291" s="5">
        <v>45265</v>
      </c>
      <c r="D2291" s="8">
        <v>45265</v>
      </c>
      <c r="E2291" s="8">
        <f>IF(B2291="Inactive", EDATE(D2291,K2291), "")</f>
        <v>45296</v>
      </c>
      <c r="F2291" t="s">
        <v>12</v>
      </c>
      <c r="G2291">
        <v>23.2</v>
      </c>
      <c r="H2291" t="str" cm="1">
        <f t="array" ref="H2291">_xlfn.IFS(G2291&gt;=20,"20-25", G2291&gt;=15,"15-20", G2291&gt;=10,"10-15", G2291&gt;=5,"5-10", G2291&gt;=1,"1-5", G2291&lt;1,"Less than 1")</f>
        <v>20-25</v>
      </c>
      <c r="I2291">
        <v>7</v>
      </c>
      <c r="J2291">
        <v>1</v>
      </c>
      <c r="K2291" s="6">
        <v>1</v>
      </c>
      <c r="L2291" s="2">
        <v>1.99</v>
      </c>
      <c r="M2291" s="6">
        <v>50</v>
      </c>
      <c r="N2291" t="str" cm="1">
        <f t="array" ref="N2291">_xlfn.IFS(M2291&gt;=50,"50-60 Days", M2291&gt;=40,"40-50 Days", M2291&gt;=30, "30-40 Days", M2291&gt;=20, "20-30 Days", M2291&gt;=10, "10-20 Days", M2291&gt;=0, "0-10 Days")</f>
        <v>50-60 Days</v>
      </c>
    </row>
    <row r="2292" spans="1:14">
      <c r="A2292">
        <v>2291</v>
      </c>
      <c r="B2292" t="s">
        <v>28</v>
      </c>
      <c r="C2292" s="5">
        <v>45640</v>
      </c>
      <c r="D2292" s="8">
        <v>45640</v>
      </c>
      <c r="E2292" s="8">
        <f>IF(B2292="Inactive", EDATE(D2292,K2292), "")</f>
        <v>45702</v>
      </c>
      <c r="F2292" t="s">
        <v>12</v>
      </c>
      <c r="G2292">
        <v>12.8</v>
      </c>
      <c r="H2292" t="str" cm="1">
        <f t="array" ref="H2292">_xlfn.IFS(G2292&gt;=20,"20-25", G2292&gt;=15,"15-20", G2292&gt;=10,"10-15", G2292&gt;=5,"5-10", G2292&gt;=1,"1-5", G2292&lt;1,"Less than 1")</f>
        <v>10-15</v>
      </c>
      <c r="I2292">
        <v>3</v>
      </c>
      <c r="J2292">
        <v>4</v>
      </c>
      <c r="K2292" s="6">
        <v>2</v>
      </c>
      <c r="L2292" s="2">
        <v>1.99</v>
      </c>
      <c r="M2292" s="6">
        <v>17</v>
      </c>
      <c r="N2292" t="str" cm="1">
        <f t="array" ref="N2292">_xlfn.IFS(M2292&gt;=50,"50-60 Days", M2292&gt;=40,"40-50 Days", M2292&gt;=30, "30-40 Days", M2292&gt;=20, "20-30 Days", M2292&gt;=10, "10-20 Days", M2292&gt;=0, "0-10 Days")</f>
        <v>10-20 Days</v>
      </c>
    </row>
    <row r="2293" spans="1:14">
      <c r="A2293">
        <v>2292</v>
      </c>
      <c r="B2293" t="s">
        <v>28</v>
      </c>
      <c r="C2293" s="5">
        <v>45026</v>
      </c>
      <c r="D2293" s="8">
        <v>45026</v>
      </c>
      <c r="E2293" s="8">
        <f>IF(B2293="Inactive", EDATE(D2293,K2293), "")</f>
        <v>45270</v>
      </c>
      <c r="F2293" t="s">
        <v>14</v>
      </c>
      <c r="G2293">
        <v>19</v>
      </c>
      <c r="H2293" t="str" cm="1">
        <f t="array" ref="H2293">_xlfn.IFS(G2293&gt;=20,"20-25", G2293&gt;=15,"15-20", G2293&gt;=10,"10-15", G2293&gt;=5,"5-10", G2293&gt;=1,"1-5", G2293&lt;1,"Less than 1")</f>
        <v>15-20</v>
      </c>
      <c r="I2293">
        <v>8</v>
      </c>
      <c r="J2293">
        <v>5</v>
      </c>
      <c r="K2293" s="6">
        <v>8</v>
      </c>
      <c r="L2293" s="2">
        <v>3.99</v>
      </c>
      <c r="M2293" s="6">
        <v>10</v>
      </c>
      <c r="N2293" t="str" cm="1">
        <f t="array" ref="N2293">_xlfn.IFS(M2293&gt;=50,"50-60 Days", M2293&gt;=40,"40-50 Days", M2293&gt;=30, "30-40 Days", M2293&gt;=20, "20-30 Days", M2293&gt;=10, "10-20 Days", M2293&gt;=0, "0-10 Days")</f>
        <v>10-20 Days</v>
      </c>
    </row>
    <row r="2294" spans="1:14">
      <c r="A2294">
        <v>2293</v>
      </c>
      <c r="B2294" t="s">
        <v>28</v>
      </c>
      <c r="C2294" s="5">
        <v>44973</v>
      </c>
      <c r="D2294" s="8">
        <v>44973</v>
      </c>
      <c r="E2294" s="8">
        <f>IF(B2294="Inactive", EDATE(D2294,K2294), "")</f>
        <v>45001</v>
      </c>
      <c r="F2294" t="s">
        <v>10</v>
      </c>
      <c r="G2294">
        <v>16.8</v>
      </c>
      <c r="H2294" t="str" cm="1">
        <f t="array" ref="H2294">_xlfn.IFS(G2294&gt;=20,"20-25", G2294&gt;=15,"15-20", G2294&gt;=10,"10-15", G2294&gt;=5,"5-10", G2294&gt;=1,"1-5", G2294&lt;1,"Less than 1")</f>
        <v>15-20</v>
      </c>
      <c r="I2294">
        <v>3</v>
      </c>
      <c r="J2294">
        <v>1</v>
      </c>
      <c r="K2294" s="6">
        <v>1</v>
      </c>
      <c r="L2294" s="2">
        <v>6.99</v>
      </c>
      <c r="M2294" s="6">
        <v>52</v>
      </c>
      <c r="N2294" t="str" cm="1">
        <f t="array" ref="N2294">_xlfn.IFS(M2294&gt;=50,"50-60 Days", M2294&gt;=40,"40-50 Days", M2294&gt;=30, "30-40 Days", M2294&gt;=20, "20-30 Days", M2294&gt;=10, "10-20 Days", M2294&gt;=0, "0-10 Days")</f>
        <v>50-60 Days</v>
      </c>
    </row>
    <row r="2295" spans="1:14">
      <c r="A2295">
        <v>2294</v>
      </c>
      <c r="B2295" t="s">
        <v>29</v>
      </c>
      <c r="C2295" s="5">
        <v>44989</v>
      </c>
      <c r="D2295" s="8">
        <v>44989</v>
      </c>
      <c r="E2295" s="8" t="str">
        <f>IF(B2295="Inactive", EDATE(D2295,K2295), "")</f>
        <v/>
      </c>
      <c r="F2295" t="s">
        <v>10</v>
      </c>
      <c r="G2295">
        <v>5.3</v>
      </c>
      <c r="H2295" t="str" cm="1">
        <f t="array" ref="H2295">_xlfn.IFS(G2295&gt;=20,"20-25", G2295&gt;=15,"15-20", G2295&gt;=10,"10-15", G2295&gt;=5,"5-10", G2295&gt;=1,"1-5", G2295&lt;1,"Less than 1")</f>
        <v>5-10</v>
      </c>
      <c r="I2295">
        <v>3</v>
      </c>
      <c r="J2295">
        <v>1</v>
      </c>
      <c r="K2295" s="6">
        <v>4</v>
      </c>
      <c r="L2295" s="2">
        <v>6.99</v>
      </c>
      <c r="M2295" s="6">
        <v>8</v>
      </c>
      <c r="N2295" t="str" cm="1">
        <f t="array" ref="N2295">_xlfn.IFS(M2295&gt;=50,"50-60 Days", M2295&gt;=40,"40-50 Days", M2295&gt;=30, "30-40 Days", M2295&gt;=20, "20-30 Days", M2295&gt;=10, "10-20 Days", M2295&gt;=0, "0-10 Days")</f>
        <v>0-10 Days</v>
      </c>
    </row>
    <row r="2296" spans="1:14">
      <c r="A2296">
        <v>2295</v>
      </c>
      <c r="B2296" t="s">
        <v>29</v>
      </c>
      <c r="C2296" s="5">
        <v>45136</v>
      </c>
      <c r="D2296" s="8">
        <v>45136</v>
      </c>
      <c r="E2296" s="8" t="str">
        <f>IF(B2296="Inactive", EDATE(D2296,K2296), "")</f>
        <v/>
      </c>
      <c r="F2296" t="s">
        <v>10</v>
      </c>
      <c r="G2296">
        <v>6</v>
      </c>
      <c r="H2296" t="str" cm="1">
        <f t="array" ref="H2296">_xlfn.IFS(G2296&gt;=20,"20-25", G2296&gt;=15,"15-20", G2296&gt;=10,"10-15", G2296&gt;=5,"5-10", G2296&gt;=1,"1-5", G2296&lt;1,"Less than 1")</f>
        <v>5-10</v>
      </c>
      <c r="I2296">
        <v>2</v>
      </c>
      <c r="J2296">
        <v>0</v>
      </c>
      <c r="K2296" s="6">
        <v>10</v>
      </c>
      <c r="L2296" s="2">
        <v>6.99</v>
      </c>
      <c r="M2296" s="6">
        <v>7</v>
      </c>
      <c r="N2296" t="str" cm="1">
        <f t="array" ref="N2296">_xlfn.IFS(M2296&gt;=50,"50-60 Days", M2296&gt;=40,"40-50 Days", M2296&gt;=30, "30-40 Days", M2296&gt;=20, "20-30 Days", M2296&gt;=10, "10-20 Days", M2296&gt;=0, "0-10 Days")</f>
        <v>0-10 Days</v>
      </c>
    </row>
    <row r="2297" spans="1:14">
      <c r="A2297">
        <v>2296</v>
      </c>
      <c r="B2297" t="s">
        <v>28</v>
      </c>
      <c r="C2297" s="5">
        <v>45089</v>
      </c>
      <c r="D2297" s="8">
        <v>45089</v>
      </c>
      <c r="E2297" s="8">
        <f>IF(B2297="Inactive", EDATE(D2297,K2297), "")</f>
        <v>45303</v>
      </c>
      <c r="F2297" t="s">
        <v>14</v>
      </c>
      <c r="G2297">
        <v>21</v>
      </c>
      <c r="H2297" t="str" cm="1">
        <f t="array" ref="H2297">_xlfn.IFS(G2297&gt;=20,"20-25", G2297&gt;=15,"15-20", G2297&gt;=10,"10-15", G2297&gt;=5,"5-10", G2297&gt;=1,"1-5", G2297&lt;1,"Less than 1")</f>
        <v>20-25</v>
      </c>
      <c r="I2297">
        <v>6</v>
      </c>
      <c r="J2297">
        <v>1</v>
      </c>
      <c r="K2297" s="6">
        <v>7</v>
      </c>
      <c r="L2297" s="2">
        <v>3.99</v>
      </c>
      <c r="M2297" s="6">
        <v>44</v>
      </c>
      <c r="N2297" t="str" cm="1">
        <f t="array" ref="N2297">_xlfn.IFS(M2297&gt;=50,"50-60 Days", M2297&gt;=40,"40-50 Days", M2297&gt;=30, "30-40 Days", M2297&gt;=20, "20-30 Days", M2297&gt;=10, "10-20 Days", M2297&gt;=0, "0-10 Days")</f>
        <v>40-50 Days</v>
      </c>
    </row>
    <row r="2298" spans="1:14">
      <c r="A2298">
        <v>2297</v>
      </c>
      <c r="B2298" t="s">
        <v>28</v>
      </c>
      <c r="C2298" s="5">
        <v>45357</v>
      </c>
      <c r="D2298" s="8">
        <v>45357</v>
      </c>
      <c r="E2298" s="8">
        <f>IF(B2298="Inactive", EDATE(D2298,K2298), "")</f>
        <v>45632</v>
      </c>
      <c r="F2298" t="s">
        <v>14</v>
      </c>
      <c r="G2298">
        <v>0.7</v>
      </c>
      <c r="H2298" t="str" cm="1">
        <f t="array" ref="H2298">_xlfn.IFS(G2298&gt;=20,"20-25", G2298&gt;=15,"15-20", G2298&gt;=10,"10-15", G2298&gt;=5,"5-10", G2298&gt;=1,"1-5", G2298&lt;1,"Less than 1")</f>
        <v>Less than 1</v>
      </c>
      <c r="I2298">
        <v>5</v>
      </c>
      <c r="J2298">
        <v>0</v>
      </c>
      <c r="K2298" s="6">
        <v>9</v>
      </c>
      <c r="L2298" s="2">
        <v>3.99</v>
      </c>
      <c r="M2298" s="6">
        <v>34</v>
      </c>
      <c r="N2298" t="str" cm="1">
        <f t="array" ref="N2298">_xlfn.IFS(M2298&gt;=50,"50-60 Days", M2298&gt;=40,"40-50 Days", M2298&gt;=30, "30-40 Days", M2298&gt;=20, "20-30 Days", M2298&gt;=10, "10-20 Days", M2298&gt;=0, "0-10 Days")</f>
        <v>30-40 Days</v>
      </c>
    </row>
    <row r="2299" spans="1:14">
      <c r="A2299">
        <v>2298</v>
      </c>
      <c r="B2299" t="s">
        <v>29</v>
      </c>
      <c r="C2299" s="5">
        <v>45372</v>
      </c>
      <c r="D2299" s="8">
        <v>45372</v>
      </c>
      <c r="E2299" s="8" t="str">
        <f>IF(B2299="Inactive", EDATE(D2299,K2299), "")</f>
        <v/>
      </c>
      <c r="F2299" t="s">
        <v>12</v>
      </c>
      <c r="G2299">
        <v>19.2</v>
      </c>
      <c r="H2299" t="str" cm="1">
        <f t="array" ref="H2299">_xlfn.IFS(G2299&gt;=20,"20-25", G2299&gt;=15,"15-20", G2299&gt;=10,"10-15", G2299&gt;=5,"5-10", G2299&gt;=1,"1-5", G2299&lt;1,"Less than 1")</f>
        <v>15-20</v>
      </c>
      <c r="I2299">
        <v>3</v>
      </c>
      <c r="J2299">
        <v>0</v>
      </c>
      <c r="K2299" s="6">
        <v>2</v>
      </c>
      <c r="L2299" s="2">
        <v>1.99</v>
      </c>
      <c r="M2299" s="6">
        <v>9</v>
      </c>
      <c r="N2299" t="str" cm="1">
        <f t="array" ref="N2299">_xlfn.IFS(M2299&gt;=50,"50-60 Days", M2299&gt;=40,"40-50 Days", M2299&gt;=30, "30-40 Days", M2299&gt;=20, "20-30 Days", M2299&gt;=10, "10-20 Days", M2299&gt;=0, "0-10 Days")</f>
        <v>0-10 Days</v>
      </c>
    </row>
    <row r="2300" spans="1:14">
      <c r="A2300">
        <v>2299</v>
      </c>
      <c r="B2300" t="s">
        <v>29</v>
      </c>
      <c r="C2300" s="5">
        <v>45470</v>
      </c>
      <c r="D2300" s="8">
        <v>45470</v>
      </c>
      <c r="E2300" s="8" t="str">
        <f>IF(B2300="Inactive", EDATE(D2300,K2300), "")</f>
        <v/>
      </c>
      <c r="F2300" t="s">
        <v>12</v>
      </c>
      <c r="G2300">
        <v>7</v>
      </c>
      <c r="H2300" t="str" cm="1">
        <f t="array" ref="H2300">_xlfn.IFS(G2300&gt;=20,"20-25", G2300&gt;=15,"15-20", G2300&gt;=10,"10-15", G2300&gt;=5,"5-10", G2300&gt;=1,"1-5", G2300&lt;1,"Less than 1")</f>
        <v>5-10</v>
      </c>
      <c r="I2300">
        <v>8</v>
      </c>
      <c r="J2300">
        <v>5</v>
      </c>
      <c r="K2300" s="6">
        <v>4</v>
      </c>
      <c r="L2300" s="2">
        <v>1.99</v>
      </c>
      <c r="M2300" s="6">
        <v>35</v>
      </c>
      <c r="N2300" t="str" cm="1">
        <f t="array" ref="N2300">_xlfn.IFS(M2300&gt;=50,"50-60 Days", M2300&gt;=40,"40-50 Days", M2300&gt;=30, "30-40 Days", M2300&gt;=20, "20-30 Days", M2300&gt;=10, "10-20 Days", M2300&gt;=0, "0-10 Days")</f>
        <v>30-40 Days</v>
      </c>
    </row>
    <row r="2301" spans="1:14">
      <c r="A2301">
        <v>2300</v>
      </c>
      <c r="B2301" t="s">
        <v>29</v>
      </c>
      <c r="C2301" s="5">
        <v>45147</v>
      </c>
      <c r="D2301" s="8">
        <v>45147</v>
      </c>
      <c r="E2301" s="8" t="str">
        <f>IF(B2301="Inactive", EDATE(D2301,K2301), "")</f>
        <v/>
      </c>
      <c r="F2301" t="s">
        <v>10</v>
      </c>
      <c r="G2301">
        <v>22.2</v>
      </c>
      <c r="H2301" t="str" cm="1">
        <f t="array" ref="H2301">_xlfn.IFS(G2301&gt;=20,"20-25", G2301&gt;=15,"15-20", G2301&gt;=10,"10-15", G2301&gt;=5,"5-10", G2301&gt;=1,"1-5", G2301&lt;1,"Less than 1")</f>
        <v>20-25</v>
      </c>
      <c r="I2301">
        <v>2</v>
      </c>
      <c r="J2301">
        <v>4</v>
      </c>
      <c r="K2301" s="6">
        <v>8</v>
      </c>
      <c r="L2301" s="2">
        <v>6.99</v>
      </c>
      <c r="M2301" s="6">
        <v>34</v>
      </c>
      <c r="N2301" t="str" cm="1">
        <f t="array" ref="N2301">_xlfn.IFS(M2301&gt;=50,"50-60 Days", M2301&gt;=40,"40-50 Days", M2301&gt;=30, "30-40 Days", M2301&gt;=20, "20-30 Days", M2301&gt;=10, "10-20 Days", M2301&gt;=0, "0-10 Days")</f>
        <v>30-40 Days</v>
      </c>
    </row>
    <row r="2302" spans="1:14">
      <c r="A2302">
        <v>2301</v>
      </c>
      <c r="B2302" t="s">
        <v>28</v>
      </c>
      <c r="C2302" s="5">
        <v>45146</v>
      </c>
      <c r="D2302" s="8">
        <v>45146</v>
      </c>
      <c r="E2302" s="8">
        <f>IF(B2302="Inactive", EDATE(D2302,K2302), "")</f>
        <v>45451</v>
      </c>
      <c r="F2302" t="s">
        <v>14</v>
      </c>
      <c r="G2302">
        <v>4.7</v>
      </c>
      <c r="H2302" t="str" cm="1">
        <f t="array" ref="H2302">_xlfn.IFS(G2302&gt;=20,"20-25", G2302&gt;=15,"15-20", G2302&gt;=10,"10-15", G2302&gt;=5,"5-10", G2302&gt;=1,"1-5", G2302&lt;1,"Less than 1")</f>
        <v>1-5</v>
      </c>
      <c r="I2302">
        <v>7</v>
      </c>
      <c r="J2302">
        <v>2</v>
      </c>
      <c r="K2302" s="6">
        <v>10</v>
      </c>
      <c r="L2302" s="2">
        <v>3.99</v>
      </c>
      <c r="M2302" s="6">
        <v>20</v>
      </c>
      <c r="N2302" t="str" cm="1">
        <f t="array" ref="N2302">_xlfn.IFS(M2302&gt;=50,"50-60 Days", M2302&gt;=40,"40-50 Days", M2302&gt;=30, "30-40 Days", M2302&gt;=20, "20-30 Days", M2302&gt;=10, "10-20 Days", M2302&gt;=0, "0-10 Days")</f>
        <v>20-30 Days</v>
      </c>
    </row>
    <row r="2303" spans="1:14">
      <c r="A2303">
        <v>2302</v>
      </c>
      <c r="B2303" t="s">
        <v>28</v>
      </c>
      <c r="C2303" s="5">
        <v>45020</v>
      </c>
      <c r="D2303" s="8">
        <v>45020</v>
      </c>
      <c r="E2303" s="8">
        <f>IF(B2303="Inactive", EDATE(D2303,K2303), "")</f>
        <v>45050</v>
      </c>
      <c r="F2303" t="s">
        <v>10</v>
      </c>
      <c r="G2303">
        <v>5.3</v>
      </c>
      <c r="H2303" t="str" cm="1">
        <f t="array" ref="H2303">_xlfn.IFS(G2303&gt;=20,"20-25", G2303&gt;=15,"15-20", G2303&gt;=10,"10-15", G2303&gt;=5,"5-10", G2303&gt;=1,"1-5", G2303&lt;1,"Less than 1")</f>
        <v>5-10</v>
      </c>
      <c r="I2303">
        <v>4</v>
      </c>
      <c r="J2303">
        <v>3</v>
      </c>
      <c r="K2303" s="6">
        <v>1</v>
      </c>
      <c r="L2303" s="2">
        <v>6.99</v>
      </c>
      <c r="M2303" s="6">
        <v>49</v>
      </c>
      <c r="N2303" t="str" cm="1">
        <f t="array" ref="N2303">_xlfn.IFS(M2303&gt;=50,"50-60 Days", M2303&gt;=40,"40-50 Days", M2303&gt;=30, "30-40 Days", M2303&gt;=20, "20-30 Days", M2303&gt;=10, "10-20 Days", M2303&gt;=0, "0-10 Days")</f>
        <v>40-50 Days</v>
      </c>
    </row>
    <row r="2304" spans="1:14">
      <c r="A2304">
        <v>2303</v>
      </c>
      <c r="B2304" t="s">
        <v>29</v>
      </c>
      <c r="C2304" s="5">
        <v>45473</v>
      </c>
      <c r="D2304" s="8">
        <v>45473</v>
      </c>
      <c r="E2304" s="8" t="str">
        <f>IF(B2304="Inactive", EDATE(D2304,K2304), "")</f>
        <v/>
      </c>
      <c r="F2304" t="s">
        <v>10</v>
      </c>
      <c r="G2304">
        <v>20</v>
      </c>
      <c r="H2304" t="str" cm="1">
        <f t="array" ref="H2304">_xlfn.IFS(G2304&gt;=20,"20-25", G2304&gt;=15,"15-20", G2304&gt;=10,"10-15", G2304&gt;=5,"5-10", G2304&gt;=1,"1-5", G2304&lt;1,"Less than 1")</f>
        <v>20-25</v>
      </c>
      <c r="I2304">
        <v>2</v>
      </c>
      <c r="J2304">
        <v>0</v>
      </c>
      <c r="K2304" s="6">
        <v>3</v>
      </c>
      <c r="L2304" s="2">
        <v>6.99</v>
      </c>
      <c r="M2304" s="6">
        <v>14</v>
      </c>
      <c r="N2304" t="str" cm="1">
        <f t="array" ref="N2304">_xlfn.IFS(M2304&gt;=50,"50-60 Days", M2304&gt;=40,"40-50 Days", M2304&gt;=30, "30-40 Days", M2304&gt;=20, "20-30 Days", M2304&gt;=10, "10-20 Days", M2304&gt;=0, "0-10 Days")</f>
        <v>10-20 Days</v>
      </c>
    </row>
    <row r="2305" spans="1:14">
      <c r="A2305">
        <v>2304</v>
      </c>
      <c r="B2305" t="s">
        <v>28</v>
      </c>
      <c r="C2305" s="5">
        <v>45164</v>
      </c>
      <c r="D2305" s="8">
        <v>45164</v>
      </c>
      <c r="E2305" s="8">
        <f>IF(B2305="Inactive", EDATE(D2305,K2305), "")</f>
        <v>45530</v>
      </c>
      <c r="F2305" t="s">
        <v>12</v>
      </c>
      <c r="G2305">
        <v>12.2</v>
      </c>
      <c r="H2305" t="str" cm="1">
        <f t="array" ref="H2305">_xlfn.IFS(G2305&gt;=20,"20-25", G2305&gt;=15,"15-20", G2305&gt;=10,"10-15", G2305&gt;=5,"5-10", G2305&gt;=1,"1-5", G2305&lt;1,"Less than 1")</f>
        <v>10-15</v>
      </c>
      <c r="I2305">
        <v>2</v>
      </c>
      <c r="J2305">
        <v>0</v>
      </c>
      <c r="K2305" s="6">
        <v>12</v>
      </c>
      <c r="L2305" s="2">
        <v>1.99</v>
      </c>
      <c r="M2305" s="6">
        <v>33</v>
      </c>
      <c r="N2305" t="str" cm="1">
        <f t="array" ref="N2305">_xlfn.IFS(M2305&gt;=50,"50-60 Days", M2305&gt;=40,"40-50 Days", M2305&gt;=30, "30-40 Days", M2305&gt;=20, "20-30 Days", M2305&gt;=10, "10-20 Days", M2305&gt;=0, "0-10 Days")</f>
        <v>30-40 Days</v>
      </c>
    </row>
    <row r="2306" spans="1:14">
      <c r="A2306">
        <v>2305</v>
      </c>
      <c r="B2306" t="s">
        <v>29</v>
      </c>
      <c r="C2306" s="5">
        <v>45174</v>
      </c>
      <c r="D2306" s="8">
        <v>45174</v>
      </c>
      <c r="E2306" s="8" t="str">
        <f>IF(B2306="Inactive", EDATE(D2306,K2306), "")</f>
        <v/>
      </c>
      <c r="F2306" t="s">
        <v>12</v>
      </c>
      <c r="G2306">
        <v>22.7</v>
      </c>
      <c r="H2306" t="str" cm="1">
        <f t="array" ref="H2306">_xlfn.IFS(G2306&gt;=20,"20-25", G2306&gt;=15,"15-20", G2306&gt;=10,"10-15", G2306&gt;=5,"5-10", G2306&gt;=1,"1-5", G2306&lt;1,"Less than 1")</f>
        <v>20-25</v>
      </c>
      <c r="I2306">
        <v>8</v>
      </c>
      <c r="J2306">
        <v>4</v>
      </c>
      <c r="K2306" s="6">
        <v>6</v>
      </c>
      <c r="L2306" s="2">
        <v>1.99</v>
      </c>
      <c r="M2306" s="6">
        <v>34</v>
      </c>
      <c r="N2306" t="str" cm="1">
        <f t="array" ref="N2306">_xlfn.IFS(M2306&gt;=50,"50-60 Days", M2306&gt;=40,"40-50 Days", M2306&gt;=30, "30-40 Days", M2306&gt;=20, "20-30 Days", M2306&gt;=10, "10-20 Days", M2306&gt;=0, "0-10 Days")</f>
        <v>30-40 Days</v>
      </c>
    </row>
    <row r="2307" spans="1:14">
      <c r="A2307">
        <v>2306</v>
      </c>
      <c r="B2307" t="s">
        <v>28</v>
      </c>
      <c r="C2307" s="5">
        <v>45267</v>
      </c>
      <c r="D2307" s="8">
        <v>45267</v>
      </c>
      <c r="E2307" s="8">
        <f>IF(B2307="Inactive", EDATE(D2307,K2307), "")</f>
        <v>45633</v>
      </c>
      <c r="F2307" t="s">
        <v>10</v>
      </c>
      <c r="G2307">
        <v>2.5</v>
      </c>
      <c r="H2307" t="str" cm="1">
        <f t="array" ref="H2307">_xlfn.IFS(G2307&gt;=20,"20-25", G2307&gt;=15,"15-20", G2307&gt;=10,"10-15", G2307&gt;=5,"5-10", G2307&gt;=1,"1-5", G2307&lt;1,"Less than 1")</f>
        <v>1-5</v>
      </c>
      <c r="I2307">
        <v>8</v>
      </c>
      <c r="J2307">
        <v>4</v>
      </c>
      <c r="K2307" s="6">
        <v>12</v>
      </c>
      <c r="L2307" s="2">
        <v>6.99</v>
      </c>
      <c r="M2307" s="6">
        <v>5</v>
      </c>
      <c r="N2307" t="str" cm="1">
        <f t="array" ref="N2307">_xlfn.IFS(M2307&gt;=50,"50-60 Days", M2307&gt;=40,"40-50 Days", M2307&gt;=30, "30-40 Days", M2307&gt;=20, "20-30 Days", M2307&gt;=10, "10-20 Days", M2307&gt;=0, "0-10 Days")</f>
        <v>0-10 Days</v>
      </c>
    </row>
    <row r="2308" spans="1:14">
      <c r="A2308">
        <v>2307</v>
      </c>
      <c r="B2308" t="s">
        <v>29</v>
      </c>
      <c r="C2308" s="5">
        <v>45137</v>
      </c>
      <c r="D2308" s="8">
        <v>45137</v>
      </c>
      <c r="E2308" s="8" t="str">
        <f>IF(B2308="Inactive", EDATE(D2308,K2308), "")</f>
        <v/>
      </c>
      <c r="F2308" t="s">
        <v>10</v>
      </c>
      <c r="G2308">
        <v>20.8</v>
      </c>
      <c r="H2308" t="str" cm="1">
        <f t="array" ref="H2308">_xlfn.IFS(G2308&gt;=20,"20-25", G2308&gt;=15,"15-20", G2308&gt;=10,"10-15", G2308&gt;=5,"5-10", G2308&gt;=1,"1-5", G2308&lt;1,"Less than 1")</f>
        <v>20-25</v>
      </c>
      <c r="I2308">
        <v>0</v>
      </c>
      <c r="J2308">
        <v>3</v>
      </c>
      <c r="K2308" s="6">
        <v>3</v>
      </c>
      <c r="L2308" s="2">
        <v>6.99</v>
      </c>
      <c r="M2308" s="6">
        <v>31</v>
      </c>
      <c r="N2308" t="str" cm="1">
        <f t="array" ref="N2308">_xlfn.IFS(M2308&gt;=50,"50-60 Days", M2308&gt;=40,"40-50 Days", M2308&gt;=30, "30-40 Days", M2308&gt;=20, "20-30 Days", M2308&gt;=10, "10-20 Days", M2308&gt;=0, "0-10 Days")</f>
        <v>30-40 Days</v>
      </c>
    </row>
    <row r="2309" spans="1:14">
      <c r="A2309">
        <v>2308</v>
      </c>
      <c r="B2309" t="s">
        <v>29</v>
      </c>
      <c r="C2309" s="5">
        <v>45000</v>
      </c>
      <c r="D2309" s="8">
        <v>45000</v>
      </c>
      <c r="E2309" s="8" t="str">
        <f>IF(B2309="Inactive", EDATE(D2309,K2309), "")</f>
        <v/>
      </c>
      <c r="F2309" t="s">
        <v>12</v>
      </c>
      <c r="G2309">
        <v>17.600000000000001</v>
      </c>
      <c r="H2309" t="str" cm="1">
        <f t="array" ref="H2309">_xlfn.IFS(G2309&gt;=20,"20-25", G2309&gt;=15,"15-20", G2309&gt;=10,"10-15", G2309&gt;=5,"5-10", G2309&gt;=1,"1-5", G2309&lt;1,"Less than 1")</f>
        <v>15-20</v>
      </c>
      <c r="I2309">
        <v>1</v>
      </c>
      <c r="J2309">
        <v>4</v>
      </c>
      <c r="K2309" s="6">
        <v>5</v>
      </c>
      <c r="L2309" s="2">
        <v>1.99</v>
      </c>
      <c r="M2309" s="6">
        <v>9</v>
      </c>
      <c r="N2309" t="str" cm="1">
        <f t="array" ref="N2309">_xlfn.IFS(M2309&gt;=50,"50-60 Days", M2309&gt;=40,"40-50 Days", M2309&gt;=30, "30-40 Days", M2309&gt;=20, "20-30 Days", M2309&gt;=10, "10-20 Days", M2309&gt;=0, "0-10 Days")</f>
        <v>0-10 Days</v>
      </c>
    </row>
    <row r="2310" spans="1:14">
      <c r="A2310">
        <v>2309</v>
      </c>
      <c r="B2310" t="s">
        <v>28</v>
      </c>
      <c r="C2310" s="5">
        <v>45272</v>
      </c>
      <c r="D2310" s="8">
        <v>45272</v>
      </c>
      <c r="E2310" s="8">
        <f>IF(B2310="Inactive", EDATE(D2310,K2310), "")</f>
        <v>45638</v>
      </c>
      <c r="F2310" t="s">
        <v>14</v>
      </c>
      <c r="G2310">
        <v>2.5</v>
      </c>
      <c r="H2310" t="str" cm="1">
        <f t="array" ref="H2310">_xlfn.IFS(G2310&gt;=20,"20-25", G2310&gt;=15,"15-20", G2310&gt;=10,"10-15", G2310&gt;=5,"5-10", G2310&gt;=1,"1-5", G2310&lt;1,"Less than 1")</f>
        <v>1-5</v>
      </c>
      <c r="I2310">
        <v>5</v>
      </c>
      <c r="J2310">
        <v>3</v>
      </c>
      <c r="K2310" s="6">
        <v>12</v>
      </c>
      <c r="L2310" s="2">
        <v>3.99</v>
      </c>
      <c r="M2310" s="6">
        <v>10</v>
      </c>
      <c r="N2310" t="str" cm="1">
        <f t="array" ref="N2310">_xlfn.IFS(M2310&gt;=50,"50-60 Days", M2310&gt;=40,"40-50 Days", M2310&gt;=30, "30-40 Days", M2310&gt;=20, "20-30 Days", M2310&gt;=10, "10-20 Days", M2310&gt;=0, "0-10 Days")</f>
        <v>10-20 Days</v>
      </c>
    </row>
    <row r="2311" spans="1:14">
      <c r="A2311">
        <v>2310</v>
      </c>
      <c r="B2311" t="s">
        <v>28</v>
      </c>
      <c r="C2311" s="5">
        <v>44958</v>
      </c>
      <c r="D2311" s="8">
        <v>44958</v>
      </c>
      <c r="E2311" s="8">
        <f>IF(B2311="Inactive", EDATE(D2311,K2311), "")</f>
        <v>44986</v>
      </c>
      <c r="F2311" t="s">
        <v>12</v>
      </c>
      <c r="G2311">
        <v>19.3</v>
      </c>
      <c r="H2311" t="str" cm="1">
        <f t="array" ref="H2311">_xlfn.IFS(G2311&gt;=20,"20-25", G2311&gt;=15,"15-20", G2311&gt;=10,"10-15", G2311&gt;=5,"5-10", G2311&gt;=1,"1-5", G2311&lt;1,"Less than 1")</f>
        <v>15-20</v>
      </c>
      <c r="I2311">
        <v>0</v>
      </c>
      <c r="J2311">
        <v>5</v>
      </c>
      <c r="K2311" s="6">
        <v>1</v>
      </c>
      <c r="L2311" s="2">
        <v>1.99</v>
      </c>
      <c r="M2311" s="6">
        <v>44</v>
      </c>
      <c r="N2311" t="str" cm="1">
        <f t="array" ref="N2311">_xlfn.IFS(M2311&gt;=50,"50-60 Days", M2311&gt;=40,"40-50 Days", M2311&gt;=30, "30-40 Days", M2311&gt;=20, "20-30 Days", M2311&gt;=10, "10-20 Days", M2311&gt;=0, "0-10 Days")</f>
        <v>40-50 Days</v>
      </c>
    </row>
    <row r="2312" spans="1:14">
      <c r="A2312">
        <v>2311</v>
      </c>
      <c r="B2312" t="s">
        <v>28</v>
      </c>
      <c r="C2312" s="5">
        <v>45027</v>
      </c>
      <c r="D2312" s="8">
        <v>45027</v>
      </c>
      <c r="E2312" s="8">
        <f>IF(B2312="Inactive", EDATE(D2312,K2312), "")</f>
        <v>45241</v>
      </c>
      <c r="F2312" t="s">
        <v>12</v>
      </c>
      <c r="G2312">
        <v>4.5</v>
      </c>
      <c r="H2312" t="str" cm="1">
        <f t="array" ref="H2312">_xlfn.IFS(G2312&gt;=20,"20-25", G2312&gt;=15,"15-20", G2312&gt;=10,"10-15", G2312&gt;=5,"5-10", G2312&gt;=1,"1-5", G2312&lt;1,"Less than 1")</f>
        <v>1-5</v>
      </c>
      <c r="I2312">
        <v>1</v>
      </c>
      <c r="J2312">
        <v>0</v>
      </c>
      <c r="K2312" s="6">
        <v>7</v>
      </c>
      <c r="L2312" s="2">
        <v>1.99</v>
      </c>
      <c r="M2312" s="6">
        <v>44</v>
      </c>
      <c r="N2312" t="str" cm="1">
        <f t="array" ref="N2312">_xlfn.IFS(M2312&gt;=50,"50-60 Days", M2312&gt;=40,"40-50 Days", M2312&gt;=30, "30-40 Days", M2312&gt;=20, "20-30 Days", M2312&gt;=10, "10-20 Days", M2312&gt;=0, "0-10 Days")</f>
        <v>40-50 Days</v>
      </c>
    </row>
    <row r="2313" spans="1:14">
      <c r="A2313">
        <v>2312</v>
      </c>
      <c r="B2313" t="s">
        <v>29</v>
      </c>
      <c r="C2313" s="5">
        <v>44953</v>
      </c>
      <c r="D2313" s="8">
        <v>44953</v>
      </c>
      <c r="E2313" s="8" t="str">
        <f>IF(B2313="Inactive", EDATE(D2313,K2313), "")</f>
        <v/>
      </c>
      <c r="F2313" t="s">
        <v>14</v>
      </c>
      <c r="G2313">
        <v>16.399999999999999</v>
      </c>
      <c r="H2313" t="str" cm="1">
        <f t="array" ref="H2313">_xlfn.IFS(G2313&gt;=20,"20-25", G2313&gt;=15,"15-20", G2313&gt;=10,"10-15", G2313&gt;=5,"5-10", G2313&gt;=1,"1-5", G2313&lt;1,"Less than 1")</f>
        <v>15-20</v>
      </c>
      <c r="I2313">
        <v>0</v>
      </c>
      <c r="J2313">
        <v>5</v>
      </c>
      <c r="K2313" s="6">
        <v>12</v>
      </c>
      <c r="L2313" s="2">
        <v>3.99</v>
      </c>
      <c r="M2313" s="6">
        <v>47</v>
      </c>
      <c r="N2313" t="str" cm="1">
        <f t="array" ref="N2313">_xlfn.IFS(M2313&gt;=50,"50-60 Days", M2313&gt;=40,"40-50 Days", M2313&gt;=30, "30-40 Days", M2313&gt;=20, "20-30 Days", M2313&gt;=10, "10-20 Days", M2313&gt;=0, "0-10 Days")</f>
        <v>40-50 Days</v>
      </c>
    </row>
    <row r="2314" spans="1:14">
      <c r="A2314">
        <v>2313</v>
      </c>
      <c r="B2314" t="s">
        <v>28</v>
      </c>
      <c r="C2314" s="5">
        <v>45443</v>
      </c>
      <c r="D2314" s="8">
        <v>45443</v>
      </c>
      <c r="E2314" s="8">
        <f>IF(B2314="Inactive", EDATE(D2314,K2314), "")</f>
        <v>45565</v>
      </c>
      <c r="F2314" t="s">
        <v>10</v>
      </c>
      <c r="G2314">
        <v>24.7</v>
      </c>
      <c r="H2314" t="str" cm="1">
        <f t="array" ref="H2314">_xlfn.IFS(G2314&gt;=20,"20-25", G2314&gt;=15,"15-20", G2314&gt;=10,"10-15", G2314&gt;=5,"5-10", G2314&gt;=1,"1-5", G2314&lt;1,"Less than 1")</f>
        <v>20-25</v>
      </c>
      <c r="I2314">
        <v>5</v>
      </c>
      <c r="J2314">
        <v>3</v>
      </c>
      <c r="K2314" s="6">
        <v>4</v>
      </c>
      <c r="L2314" s="2">
        <v>6.99</v>
      </c>
      <c r="M2314" s="6">
        <v>43</v>
      </c>
      <c r="N2314" t="str" cm="1">
        <f t="array" ref="N2314">_xlfn.IFS(M2314&gt;=50,"50-60 Days", M2314&gt;=40,"40-50 Days", M2314&gt;=30, "30-40 Days", M2314&gt;=20, "20-30 Days", M2314&gt;=10, "10-20 Days", M2314&gt;=0, "0-10 Days")</f>
        <v>40-50 Days</v>
      </c>
    </row>
    <row r="2315" spans="1:14">
      <c r="A2315">
        <v>2314</v>
      </c>
      <c r="B2315" t="s">
        <v>29</v>
      </c>
      <c r="C2315" s="5">
        <v>45078</v>
      </c>
      <c r="D2315" s="8">
        <v>45078</v>
      </c>
      <c r="E2315" s="8" t="str">
        <f>IF(B2315="Inactive", EDATE(D2315,K2315), "")</f>
        <v/>
      </c>
      <c r="F2315" t="s">
        <v>10</v>
      </c>
      <c r="G2315">
        <v>18.899999999999999</v>
      </c>
      <c r="H2315" t="str" cm="1">
        <f t="array" ref="H2315">_xlfn.IFS(G2315&gt;=20,"20-25", G2315&gt;=15,"15-20", G2315&gt;=10,"10-15", G2315&gt;=5,"5-10", G2315&gt;=1,"1-5", G2315&lt;1,"Less than 1")</f>
        <v>15-20</v>
      </c>
      <c r="I2315">
        <v>4</v>
      </c>
      <c r="J2315">
        <v>1</v>
      </c>
      <c r="K2315" s="6">
        <v>7</v>
      </c>
      <c r="L2315" s="2">
        <v>6.99</v>
      </c>
      <c r="M2315" s="6">
        <v>5</v>
      </c>
      <c r="N2315" t="str" cm="1">
        <f t="array" ref="N2315">_xlfn.IFS(M2315&gt;=50,"50-60 Days", M2315&gt;=40,"40-50 Days", M2315&gt;=30, "30-40 Days", M2315&gt;=20, "20-30 Days", M2315&gt;=10, "10-20 Days", M2315&gt;=0, "0-10 Days")</f>
        <v>0-10 Days</v>
      </c>
    </row>
    <row r="2316" spans="1:14">
      <c r="A2316">
        <v>2315</v>
      </c>
      <c r="B2316" t="s">
        <v>29</v>
      </c>
      <c r="C2316" s="5">
        <v>45081</v>
      </c>
      <c r="D2316" s="8">
        <v>45081</v>
      </c>
      <c r="E2316" s="8" t="str">
        <f>IF(B2316="Inactive", EDATE(D2316,K2316), "")</f>
        <v/>
      </c>
      <c r="F2316" t="s">
        <v>10</v>
      </c>
      <c r="G2316">
        <v>12.2</v>
      </c>
      <c r="H2316" t="str" cm="1">
        <f t="array" ref="H2316">_xlfn.IFS(G2316&gt;=20,"20-25", G2316&gt;=15,"15-20", G2316&gt;=10,"10-15", G2316&gt;=5,"5-10", G2316&gt;=1,"1-5", G2316&lt;1,"Less than 1")</f>
        <v>10-15</v>
      </c>
      <c r="I2316">
        <v>7</v>
      </c>
      <c r="J2316">
        <v>4</v>
      </c>
      <c r="K2316" s="6">
        <v>12</v>
      </c>
      <c r="L2316" s="2">
        <v>6.99</v>
      </c>
      <c r="M2316" s="6">
        <v>58</v>
      </c>
      <c r="N2316" t="str" cm="1">
        <f t="array" ref="N2316">_xlfn.IFS(M2316&gt;=50,"50-60 Days", M2316&gt;=40,"40-50 Days", M2316&gt;=30, "30-40 Days", M2316&gt;=20, "20-30 Days", M2316&gt;=10, "10-20 Days", M2316&gt;=0, "0-10 Days")</f>
        <v>50-60 Days</v>
      </c>
    </row>
    <row r="2317" spans="1:14">
      <c r="A2317">
        <v>2316</v>
      </c>
      <c r="B2317" t="s">
        <v>28</v>
      </c>
      <c r="C2317" s="5">
        <v>45446</v>
      </c>
      <c r="D2317" s="8">
        <v>45446</v>
      </c>
      <c r="E2317" s="8">
        <f>IF(B2317="Inactive", EDATE(D2317,K2317), "")</f>
        <v>45660</v>
      </c>
      <c r="F2317" t="s">
        <v>12</v>
      </c>
      <c r="G2317">
        <v>12.8</v>
      </c>
      <c r="H2317" t="str" cm="1">
        <f t="array" ref="H2317">_xlfn.IFS(G2317&gt;=20,"20-25", G2317&gt;=15,"15-20", G2317&gt;=10,"10-15", G2317&gt;=5,"5-10", G2317&gt;=1,"1-5", G2317&lt;1,"Less than 1")</f>
        <v>10-15</v>
      </c>
      <c r="I2317">
        <v>0</v>
      </c>
      <c r="J2317">
        <v>2</v>
      </c>
      <c r="K2317" s="6">
        <v>7</v>
      </c>
      <c r="L2317" s="2">
        <v>1.99</v>
      </c>
      <c r="M2317" s="6">
        <v>24</v>
      </c>
      <c r="N2317" t="str" cm="1">
        <f t="array" ref="N2317">_xlfn.IFS(M2317&gt;=50,"50-60 Days", M2317&gt;=40,"40-50 Days", M2317&gt;=30, "30-40 Days", M2317&gt;=20, "20-30 Days", M2317&gt;=10, "10-20 Days", M2317&gt;=0, "0-10 Days")</f>
        <v>20-30 Days</v>
      </c>
    </row>
    <row r="2318" spans="1:14">
      <c r="A2318">
        <v>2317</v>
      </c>
      <c r="B2318" t="s">
        <v>28</v>
      </c>
      <c r="C2318" s="5">
        <v>45178</v>
      </c>
      <c r="D2318" s="8">
        <v>45178</v>
      </c>
      <c r="E2318" s="8">
        <f>IF(B2318="Inactive", EDATE(D2318,K2318), "")</f>
        <v>45482</v>
      </c>
      <c r="F2318" t="s">
        <v>14</v>
      </c>
      <c r="G2318">
        <v>1.1000000000000001</v>
      </c>
      <c r="H2318" t="str" cm="1">
        <f t="array" ref="H2318">_xlfn.IFS(G2318&gt;=20,"20-25", G2318&gt;=15,"15-20", G2318&gt;=10,"10-15", G2318&gt;=5,"5-10", G2318&gt;=1,"1-5", G2318&lt;1,"Less than 1")</f>
        <v>1-5</v>
      </c>
      <c r="I2318">
        <v>0</v>
      </c>
      <c r="J2318">
        <v>0</v>
      </c>
      <c r="K2318" s="6">
        <v>10</v>
      </c>
      <c r="L2318" s="2">
        <v>3.99</v>
      </c>
      <c r="M2318" s="6">
        <v>42</v>
      </c>
      <c r="N2318" t="str" cm="1">
        <f t="array" ref="N2318">_xlfn.IFS(M2318&gt;=50,"50-60 Days", M2318&gt;=40,"40-50 Days", M2318&gt;=30, "30-40 Days", M2318&gt;=20, "20-30 Days", M2318&gt;=10, "10-20 Days", M2318&gt;=0, "0-10 Days")</f>
        <v>40-50 Days</v>
      </c>
    </row>
    <row r="2319" spans="1:14">
      <c r="A2319">
        <v>2318</v>
      </c>
      <c r="B2319" t="s">
        <v>28</v>
      </c>
      <c r="C2319" s="5">
        <v>45469</v>
      </c>
      <c r="D2319" s="8">
        <v>45469</v>
      </c>
      <c r="E2319" s="8">
        <f>IF(B2319="Inactive", EDATE(D2319,K2319), "")</f>
        <v>45714</v>
      </c>
      <c r="F2319" t="s">
        <v>14</v>
      </c>
      <c r="G2319">
        <v>16.100000000000001</v>
      </c>
      <c r="H2319" t="str" cm="1">
        <f t="array" ref="H2319">_xlfn.IFS(G2319&gt;=20,"20-25", G2319&gt;=15,"15-20", G2319&gt;=10,"10-15", G2319&gt;=5,"5-10", G2319&gt;=1,"1-5", G2319&lt;1,"Less than 1")</f>
        <v>15-20</v>
      </c>
      <c r="I2319">
        <v>1</v>
      </c>
      <c r="J2319">
        <v>2</v>
      </c>
      <c r="K2319" s="6">
        <v>8</v>
      </c>
      <c r="L2319" s="2">
        <v>3.99</v>
      </c>
      <c r="M2319" s="6">
        <v>46</v>
      </c>
      <c r="N2319" t="str" cm="1">
        <f t="array" ref="N2319">_xlfn.IFS(M2319&gt;=50,"50-60 Days", M2319&gt;=40,"40-50 Days", M2319&gt;=30, "30-40 Days", M2319&gt;=20, "20-30 Days", M2319&gt;=10, "10-20 Days", M2319&gt;=0, "0-10 Days")</f>
        <v>40-50 Days</v>
      </c>
    </row>
    <row r="2320" spans="1:14">
      <c r="A2320">
        <v>2319</v>
      </c>
      <c r="B2320" t="s">
        <v>28</v>
      </c>
      <c r="C2320" s="5">
        <v>45202</v>
      </c>
      <c r="D2320" s="8">
        <v>45202</v>
      </c>
      <c r="E2320" s="8">
        <f>IF(B2320="Inactive", EDATE(D2320,K2320), "")</f>
        <v>45476</v>
      </c>
      <c r="F2320" t="s">
        <v>12</v>
      </c>
      <c r="G2320">
        <v>9.8000000000000007</v>
      </c>
      <c r="H2320" t="str" cm="1">
        <f t="array" ref="H2320">_xlfn.IFS(G2320&gt;=20,"20-25", G2320&gt;=15,"15-20", G2320&gt;=10,"10-15", G2320&gt;=5,"5-10", G2320&gt;=1,"1-5", G2320&lt;1,"Less than 1")</f>
        <v>5-10</v>
      </c>
      <c r="I2320">
        <v>1</v>
      </c>
      <c r="J2320">
        <v>1</v>
      </c>
      <c r="K2320" s="6">
        <v>9</v>
      </c>
      <c r="L2320" s="2">
        <v>1.99</v>
      </c>
      <c r="M2320" s="6">
        <v>26</v>
      </c>
      <c r="N2320" t="str" cm="1">
        <f t="array" ref="N2320">_xlfn.IFS(M2320&gt;=50,"50-60 Days", M2320&gt;=40,"40-50 Days", M2320&gt;=30, "30-40 Days", M2320&gt;=20, "20-30 Days", M2320&gt;=10, "10-20 Days", M2320&gt;=0, "0-10 Days")</f>
        <v>20-30 Days</v>
      </c>
    </row>
    <row r="2321" spans="1:14">
      <c r="A2321">
        <v>2320</v>
      </c>
      <c r="B2321" t="s">
        <v>28</v>
      </c>
      <c r="C2321" s="5">
        <v>45101</v>
      </c>
      <c r="D2321" s="8">
        <v>45101</v>
      </c>
      <c r="E2321" s="8">
        <f>IF(B2321="Inactive", EDATE(D2321,K2321), "")</f>
        <v>45254</v>
      </c>
      <c r="F2321" t="s">
        <v>10</v>
      </c>
      <c r="G2321">
        <v>24.8</v>
      </c>
      <c r="H2321" t="str" cm="1">
        <f t="array" ref="H2321">_xlfn.IFS(G2321&gt;=20,"20-25", G2321&gt;=15,"15-20", G2321&gt;=10,"10-15", G2321&gt;=5,"5-10", G2321&gt;=1,"1-5", G2321&lt;1,"Less than 1")</f>
        <v>20-25</v>
      </c>
      <c r="I2321">
        <v>5</v>
      </c>
      <c r="J2321">
        <v>5</v>
      </c>
      <c r="K2321" s="6">
        <v>5</v>
      </c>
      <c r="L2321" s="2">
        <v>6.99</v>
      </c>
      <c r="M2321" s="6">
        <v>3</v>
      </c>
      <c r="N2321" t="str" cm="1">
        <f t="array" ref="N2321">_xlfn.IFS(M2321&gt;=50,"50-60 Days", M2321&gt;=40,"40-50 Days", M2321&gt;=30, "30-40 Days", M2321&gt;=20, "20-30 Days", M2321&gt;=10, "10-20 Days", M2321&gt;=0, "0-10 Days")</f>
        <v>0-10 Days</v>
      </c>
    </row>
    <row r="2322" spans="1:14">
      <c r="A2322">
        <v>2321</v>
      </c>
      <c r="B2322" t="s">
        <v>29</v>
      </c>
      <c r="C2322" s="5">
        <v>44981</v>
      </c>
      <c r="D2322" s="8">
        <v>44981</v>
      </c>
      <c r="E2322" s="8" t="str">
        <f>IF(B2322="Inactive", EDATE(D2322,K2322), "")</f>
        <v/>
      </c>
      <c r="F2322" t="s">
        <v>10</v>
      </c>
      <c r="G2322">
        <v>18.399999999999999</v>
      </c>
      <c r="H2322" t="str" cm="1">
        <f t="array" ref="H2322">_xlfn.IFS(G2322&gt;=20,"20-25", G2322&gt;=15,"15-20", G2322&gt;=10,"10-15", G2322&gt;=5,"5-10", G2322&gt;=1,"1-5", G2322&lt;1,"Less than 1")</f>
        <v>15-20</v>
      </c>
      <c r="I2322">
        <v>8</v>
      </c>
      <c r="J2322">
        <v>5</v>
      </c>
      <c r="K2322" s="6">
        <v>9</v>
      </c>
      <c r="L2322" s="2">
        <v>6.99</v>
      </c>
      <c r="M2322" s="6">
        <v>2</v>
      </c>
      <c r="N2322" t="str" cm="1">
        <f t="array" ref="N2322">_xlfn.IFS(M2322&gt;=50,"50-60 Days", M2322&gt;=40,"40-50 Days", M2322&gt;=30, "30-40 Days", M2322&gt;=20, "20-30 Days", M2322&gt;=10, "10-20 Days", M2322&gt;=0, "0-10 Days")</f>
        <v>0-10 Days</v>
      </c>
    </row>
    <row r="2323" spans="1:14">
      <c r="A2323">
        <v>2322</v>
      </c>
      <c r="B2323" t="s">
        <v>28</v>
      </c>
      <c r="C2323" s="5">
        <v>44944</v>
      </c>
      <c r="D2323" s="8">
        <v>44944</v>
      </c>
      <c r="E2323" s="8">
        <f>IF(B2323="Inactive", EDATE(D2323,K2323), "")</f>
        <v>45095</v>
      </c>
      <c r="F2323" t="s">
        <v>14</v>
      </c>
      <c r="G2323">
        <v>6.4</v>
      </c>
      <c r="H2323" t="str" cm="1">
        <f t="array" ref="H2323">_xlfn.IFS(G2323&gt;=20,"20-25", G2323&gt;=15,"15-20", G2323&gt;=10,"10-15", G2323&gt;=5,"5-10", G2323&gt;=1,"1-5", G2323&lt;1,"Less than 1")</f>
        <v>5-10</v>
      </c>
      <c r="I2323">
        <v>8</v>
      </c>
      <c r="J2323">
        <v>3</v>
      </c>
      <c r="K2323" s="6">
        <v>5</v>
      </c>
      <c r="L2323" s="2">
        <v>3.99</v>
      </c>
      <c r="M2323" s="6">
        <v>39</v>
      </c>
      <c r="N2323" t="str" cm="1">
        <f t="array" ref="N2323">_xlfn.IFS(M2323&gt;=50,"50-60 Days", M2323&gt;=40,"40-50 Days", M2323&gt;=30, "30-40 Days", M2323&gt;=20, "20-30 Days", M2323&gt;=10, "10-20 Days", M2323&gt;=0, "0-10 Days")</f>
        <v>30-40 Days</v>
      </c>
    </row>
    <row r="2324" spans="1:14">
      <c r="A2324">
        <v>2323</v>
      </c>
      <c r="B2324" t="s">
        <v>29</v>
      </c>
      <c r="C2324" s="5">
        <v>45052</v>
      </c>
      <c r="D2324" s="8">
        <v>45052</v>
      </c>
      <c r="E2324" s="8" t="str">
        <f>IF(B2324="Inactive", EDATE(D2324,K2324), "")</f>
        <v/>
      </c>
      <c r="F2324" t="s">
        <v>10</v>
      </c>
      <c r="G2324">
        <v>5</v>
      </c>
      <c r="H2324" t="str" cm="1">
        <f t="array" ref="H2324">_xlfn.IFS(G2324&gt;=20,"20-25", G2324&gt;=15,"15-20", G2324&gt;=10,"10-15", G2324&gt;=5,"5-10", G2324&gt;=1,"1-5", G2324&lt;1,"Less than 1")</f>
        <v>5-10</v>
      </c>
      <c r="I2324">
        <v>1</v>
      </c>
      <c r="J2324">
        <v>0</v>
      </c>
      <c r="K2324" s="6">
        <v>12</v>
      </c>
      <c r="L2324" s="2">
        <v>6.99</v>
      </c>
      <c r="M2324" s="6">
        <v>17</v>
      </c>
      <c r="N2324" t="str" cm="1">
        <f t="array" ref="N2324">_xlfn.IFS(M2324&gt;=50,"50-60 Days", M2324&gt;=40,"40-50 Days", M2324&gt;=30, "30-40 Days", M2324&gt;=20, "20-30 Days", M2324&gt;=10, "10-20 Days", M2324&gt;=0, "0-10 Days")</f>
        <v>10-20 Days</v>
      </c>
    </row>
    <row r="2325" spans="1:14">
      <c r="A2325">
        <v>2324</v>
      </c>
      <c r="B2325" t="s">
        <v>28</v>
      </c>
      <c r="C2325" s="5">
        <v>44932</v>
      </c>
      <c r="D2325" s="8">
        <v>44932</v>
      </c>
      <c r="E2325" s="8">
        <f>IF(B2325="Inactive", EDATE(D2325,K2325), "")</f>
        <v>45113</v>
      </c>
      <c r="F2325" t="s">
        <v>14</v>
      </c>
      <c r="G2325">
        <v>21</v>
      </c>
      <c r="H2325" t="str" cm="1">
        <f t="array" ref="H2325">_xlfn.IFS(G2325&gt;=20,"20-25", G2325&gt;=15,"15-20", G2325&gt;=10,"10-15", G2325&gt;=5,"5-10", G2325&gt;=1,"1-5", G2325&lt;1,"Less than 1")</f>
        <v>20-25</v>
      </c>
      <c r="I2325">
        <v>1</v>
      </c>
      <c r="J2325">
        <v>4</v>
      </c>
      <c r="K2325" s="6">
        <v>6</v>
      </c>
      <c r="L2325" s="2">
        <v>3.99</v>
      </c>
      <c r="M2325" s="6">
        <v>58</v>
      </c>
      <c r="N2325" t="str" cm="1">
        <f t="array" ref="N2325">_xlfn.IFS(M2325&gt;=50,"50-60 Days", M2325&gt;=40,"40-50 Days", M2325&gt;=30, "30-40 Days", M2325&gt;=20, "20-30 Days", M2325&gt;=10, "10-20 Days", M2325&gt;=0, "0-10 Days")</f>
        <v>50-60 Days</v>
      </c>
    </row>
    <row r="2326" spans="1:14">
      <c r="A2326">
        <v>2325</v>
      </c>
      <c r="B2326" t="s">
        <v>28</v>
      </c>
      <c r="C2326" s="5">
        <v>45181</v>
      </c>
      <c r="D2326" s="8">
        <v>45181</v>
      </c>
      <c r="E2326" s="8">
        <f>IF(B2326="Inactive", EDATE(D2326,K2326), "")</f>
        <v>45363</v>
      </c>
      <c r="F2326" t="s">
        <v>14</v>
      </c>
      <c r="G2326">
        <v>24.1</v>
      </c>
      <c r="H2326" t="str" cm="1">
        <f t="array" ref="H2326">_xlfn.IFS(G2326&gt;=20,"20-25", G2326&gt;=15,"15-20", G2326&gt;=10,"10-15", G2326&gt;=5,"5-10", G2326&gt;=1,"1-5", G2326&lt;1,"Less than 1")</f>
        <v>20-25</v>
      </c>
      <c r="I2326">
        <v>2</v>
      </c>
      <c r="J2326">
        <v>4</v>
      </c>
      <c r="K2326" s="6">
        <v>6</v>
      </c>
      <c r="L2326" s="2">
        <v>3.99</v>
      </c>
      <c r="M2326" s="6">
        <v>60</v>
      </c>
      <c r="N2326" t="str" cm="1">
        <f t="array" ref="N2326">_xlfn.IFS(M2326&gt;=50,"50-60 Days", M2326&gt;=40,"40-50 Days", M2326&gt;=30, "30-40 Days", M2326&gt;=20, "20-30 Days", M2326&gt;=10, "10-20 Days", M2326&gt;=0, "0-10 Days")</f>
        <v>50-60 Days</v>
      </c>
    </row>
    <row r="2327" spans="1:14">
      <c r="A2327">
        <v>2326</v>
      </c>
      <c r="B2327" t="s">
        <v>28</v>
      </c>
      <c r="C2327" s="5">
        <v>45201</v>
      </c>
      <c r="D2327" s="8">
        <v>45201</v>
      </c>
      <c r="E2327" s="8">
        <f>IF(B2327="Inactive", EDATE(D2327,K2327), "")</f>
        <v>45353</v>
      </c>
      <c r="F2327" t="s">
        <v>10</v>
      </c>
      <c r="G2327">
        <v>9.8000000000000007</v>
      </c>
      <c r="H2327" t="str" cm="1">
        <f t="array" ref="H2327">_xlfn.IFS(G2327&gt;=20,"20-25", G2327&gt;=15,"15-20", G2327&gt;=10,"10-15", G2327&gt;=5,"5-10", G2327&gt;=1,"1-5", G2327&lt;1,"Less than 1")</f>
        <v>5-10</v>
      </c>
      <c r="I2327">
        <v>3</v>
      </c>
      <c r="J2327">
        <v>4</v>
      </c>
      <c r="K2327" s="6">
        <v>5</v>
      </c>
      <c r="L2327" s="2">
        <v>6.99</v>
      </c>
      <c r="M2327" s="6">
        <v>41</v>
      </c>
      <c r="N2327" t="str" cm="1">
        <f t="array" ref="N2327">_xlfn.IFS(M2327&gt;=50,"50-60 Days", M2327&gt;=40,"40-50 Days", M2327&gt;=30, "30-40 Days", M2327&gt;=20, "20-30 Days", M2327&gt;=10, "10-20 Days", M2327&gt;=0, "0-10 Days")</f>
        <v>40-50 Days</v>
      </c>
    </row>
    <row r="2328" spans="1:14">
      <c r="A2328">
        <v>2327</v>
      </c>
      <c r="B2328" t="s">
        <v>29</v>
      </c>
      <c r="C2328" s="5">
        <v>45229</v>
      </c>
      <c r="D2328" s="8">
        <v>45229</v>
      </c>
      <c r="E2328" s="8" t="str">
        <f>IF(B2328="Inactive", EDATE(D2328,K2328), "")</f>
        <v/>
      </c>
      <c r="F2328" t="s">
        <v>12</v>
      </c>
      <c r="G2328">
        <v>17</v>
      </c>
      <c r="H2328" t="str" cm="1">
        <f t="array" ref="H2328">_xlfn.IFS(G2328&gt;=20,"20-25", G2328&gt;=15,"15-20", G2328&gt;=10,"10-15", G2328&gt;=5,"5-10", G2328&gt;=1,"1-5", G2328&lt;1,"Less than 1")</f>
        <v>15-20</v>
      </c>
      <c r="I2328">
        <v>2</v>
      </c>
      <c r="J2328">
        <v>5</v>
      </c>
      <c r="K2328" s="6">
        <v>4</v>
      </c>
      <c r="L2328" s="2">
        <v>1.99</v>
      </c>
      <c r="M2328" s="6">
        <v>25</v>
      </c>
      <c r="N2328" t="str" cm="1">
        <f t="array" ref="N2328">_xlfn.IFS(M2328&gt;=50,"50-60 Days", M2328&gt;=40,"40-50 Days", M2328&gt;=30, "30-40 Days", M2328&gt;=20, "20-30 Days", M2328&gt;=10, "10-20 Days", M2328&gt;=0, "0-10 Days")</f>
        <v>20-30 Days</v>
      </c>
    </row>
    <row r="2329" spans="1:14">
      <c r="A2329">
        <v>2328</v>
      </c>
      <c r="B2329" t="s">
        <v>28</v>
      </c>
      <c r="C2329" s="5">
        <v>45175</v>
      </c>
      <c r="D2329" s="8">
        <v>45175</v>
      </c>
      <c r="E2329" s="8">
        <f>IF(B2329="Inactive", EDATE(D2329,K2329), "")</f>
        <v>45297</v>
      </c>
      <c r="F2329" t="s">
        <v>10</v>
      </c>
      <c r="G2329">
        <v>13.3</v>
      </c>
      <c r="H2329" t="str" cm="1">
        <f t="array" ref="H2329">_xlfn.IFS(G2329&gt;=20,"20-25", G2329&gt;=15,"15-20", G2329&gt;=10,"10-15", G2329&gt;=5,"5-10", G2329&gt;=1,"1-5", G2329&lt;1,"Less than 1")</f>
        <v>10-15</v>
      </c>
      <c r="I2329">
        <v>4</v>
      </c>
      <c r="J2329">
        <v>3</v>
      </c>
      <c r="K2329" s="6">
        <v>4</v>
      </c>
      <c r="L2329" s="2">
        <v>6.99</v>
      </c>
      <c r="M2329" s="6">
        <v>19</v>
      </c>
      <c r="N2329" t="str" cm="1">
        <f t="array" ref="N2329">_xlfn.IFS(M2329&gt;=50,"50-60 Days", M2329&gt;=40,"40-50 Days", M2329&gt;=30, "30-40 Days", M2329&gt;=20, "20-30 Days", M2329&gt;=10, "10-20 Days", M2329&gt;=0, "0-10 Days")</f>
        <v>10-20 Days</v>
      </c>
    </row>
    <row r="2330" spans="1:14">
      <c r="A2330">
        <v>2329</v>
      </c>
      <c r="B2330" t="s">
        <v>28</v>
      </c>
      <c r="C2330" s="5">
        <v>45184</v>
      </c>
      <c r="D2330" s="8">
        <v>45184</v>
      </c>
      <c r="E2330" s="8">
        <f>IF(B2330="Inactive", EDATE(D2330,K2330), "")</f>
        <v>45275</v>
      </c>
      <c r="F2330" t="s">
        <v>14</v>
      </c>
      <c r="G2330">
        <v>9.5</v>
      </c>
      <c r="H2330" t="str" cm="1">
        <f t="array" ref="H2330">_xlfn.IFS(G2330&gt;=20,"20-25", G2330&gt;=15,"15-20", G2330&gt;=10,"10-15", G2330&gt;=5,"5-10", G2330&gt;=1,"1-5", G2330&lt;1,"Less than 1")</f>
        <v>5-10</v>
      </c>
      <c r="I2330">
        <v>8</v>
      </c>
      <c r="J2330">
        <v>3</v>
      </c>
      <c r="K2330" s="6">
        <v>3</v>
      </c>
      <c r="L2330" s="2">
        <v>3.99</v>
      </c>
      <c r="M2330" s="6">
        <v>13</v>
      </c>
      <c r="N2330" t="str" cm="1">
        <f t="array" ref="N2330">_xlfn.IFS(M2330&gt;=50,"50-60 Days", M2330&gt;=40,"40-50 Days", M2330&gt;=30, "30-40 Days", M2330&gt;=20, "20-30 Days", M2330&gt;=10, "10-20 Days", M2330&gt;=0, "0-10 Days")</f>
        <v>10-20 Days</v>
      </c>
    </row>
    <row r="2331" spans="1:14">
      <c r="A2331">
        <v>2330</v>
      </c>
      <c r="B2331" t="s">
        <v>29</v>
      </c>
      <c r="C2331" s="5">
        <v>45326</v>
      </c>
      <c r="D2331" s="8">
        <v>45326</v>
      </c>
      <c r="E2331" s="8" t="str">
        <f>IF(B2331="Inactive", EDATE(D2331,K2331), "")</f>
        <v/>
      </c>
      <c r="F2331" t="s">
        <v>12</v>
      </c>
      <c r="G2331">
        <v>21.9</v>
      </c>
      <c r="H2331" t="str" cm="1">
        <f t="array" ref="H2331">_xlfn.IFS(G2331&gt;=20,"20-25", G2331&gt;=15,"15-20", G2331&gt;=10,"10-15", G2331&gt;=5,"5-10", G2331&gt;=1,"1-5", G2331&lt;1,"Less than 1")</f>
        <v>20-25</v>
      </c>
      <c r="I2331">
        <v>6</v>
      </c>
      <c r="J2331">
        <v>2</v>
      </c>
      <c r="K2331" s="6">
        <v>10</v>
      </c>
      <c r="L2331" s="2">
        <v>1.99</v>
      </c>
      <c r="M2331" s="6">
        <v>60</v>
      </c>
      <c r="N2331" t="str" cm="1">
        <f t="array" ref="N2331">_xlfn.IFS(M2331&gt;=50,"50-60 Days", M2331&gt;=40,"40-50 Days", M2331&gt;=30, "30-40 Days", M2331&gt;=20, "20-30 Days", M2331&gt;=10, "10-20 Days", M2331&gt;=0, "0-10 Days")</f>
        <v>50-60 Days</v>
      </c>
    </row>
    <row r="2332" spans="1:14">
      <c r="A2332">
        <v>2331</v>
      </c>
      <c r="B2332" t="s">
        <v>29</v>
      </c>
      <c r="C2332" s="5">
        <v>45118</v>
      </c>
      <c r="D2332" s="8">
        <v>45118</v>
      </c>
      <c r="E2332" s="8" t="str">
        <f>IF(B2332="Inactive", EDATE(D2332,K2332), "")</f>
        <v/>
      </c>
      <c r="F2332" t="s">
        <v>12</v>
      </c>
      <c r="G2332">
        <v>23.7</v>
      </c>
      <c r="H2332" t="str" cm="1">
        <f t="array" ref="H2332">_xlfn.IFS(G2332&gt;=20,"20-25", G2332&gt;=15,"15-20", G2332&gt;=10,"10-15", G2332&gt;=5,"5-10", G2332&gt;=1,"1-5", G2332&lt;1,"Less than 1")</f>
        <v>20-25</v>
      </c>
      <c r="I2332">
        <v>5</v>
      </c>
      <c r="J2332">
        <v>2</v>
      </c>
      <c r="K2332" s="6">
        <v>8</v>
      </c>
      <c r="L2332" s="2">
        <v>1.99</v>
      </c>
      <c r="M2332" s="6">
        <v>55</v>
      </c>
      <c r="N2332" t="str" cm="1">
        <f t="array" ref="N2332">_xlfn.IFS(M2332&gt;=50,"50-60 Days", M2332&gt;=40,"40-50 Days", M2332&gt;=30, "30-40 Days", M2332&gt;=20, "20-30 Days", M2332&gt;=10, "10-20 Days", M2332&gt;=0, "0-10 Days")</f>
        <v>50-60 Days</v>
      </c>
    </row>
    <row r="2333" spans="1:14">
      <c r="A2333">
        <v>2332</v>
      </c>
      <c r="B2333" t="s">
        <v>28</v>
      </c>
      <c r="C2333" s="5">
        <v>45227</v>
      </c>
      <c r="D2333" s="8">
        <v>45227</v>
      </c>
      <c r="E2333" s="8">
        <f>IF(B2333="Inactive", EDATE(D2333,K2333), "")</f>
        <v>45379</v>
      </c>
      <c r="F2333" t="s">
        <v>14</v>
      </c>
      <c r="G2333">
        <v>18.2</v>
      </c>
      <c r="H2333" t="str" cm="1">
        <f t="array" ref="H2333">_xlfn.IFS(G2333&gt;=20,"20-25", G2333&gt;=15,"15-20", G2333&gt;=10,"10-15", G2333&gt;=5,"5-10", G2333&gt;=1,"1-5", G2333&lt;1,"Less than 1")</f>
        <v>15-20</v>
      </c>
      <c r="I2333">
        <v>5</v>
      </c>
      <c r="J2333">
        <v>2</v>
      </c>
      <c r="K2333" s="6">
        <v>5</v>
      </c>
      <c r="L2333" s="2">
        <v>3.99</v>
      </c>
      <c r="M2333" s="6">
        <v>34</v>
      </c>
      <c r="N2333" t="str" cm="1">
        <f t="array" ref="N2333">_xlfn.IFS(M2333&gt;=50,"50-60 Days", M2333&gt;=40,"40-50 Days", M2333&gt;=30, "30-40 Days", M2333&gt;=20, "20-30 Days", M2333&gt;=10, "10-20 Days", M2333&gt;=0, "0-10 Days")</f>
        <v>30-40 Days</v>
      </c>
    </row>
    <row r="2334" spans="1:14">
      <c r="A2334">
        <v>2333</v>
      </c>
      <c r="B2334" t="s">
        <v>28</v>
      </c>
      <c r="C2334" s="5">
        <v>45213</v>
      </c>
      <c r="D2334" s="8">
        <v>45213</v>
      </c>
      <c r="E2334" s="8">
        <f>IF(B2334="Inactive", EDATE(D2334,K2334), "")</f>
        <v>45244</v>
      </c>
      <c r="F2334" t="s">
        <v>12</v>
      </c>
      <c r="G2334">
        <v>16.899999999999999</v>
      </c>
      <c r="H2334" t="str" cm="1">
        <f t="array" ref="H2334">_xlfn.IFS(G2334&gt;=20,"20-25", G2334&gt;=15,"15-20", G2334&gt;=10,"10-15", G2334&gt;=5,"5-10", G2334&gt;=1,"1-5", G2334&lt;1,"Less than 1")</f>
        <v>15-20</v>
      </c>
      <c r="I2334">
        <v>7</v>
      </c>
      <c r="J2334">
        <v>3</v>
      </c>
      <c r="K2334" s="6">
        <v>1</v>
      </c>
      <c r="L2334" s="2">
        <v>1.99</v>
      </c>
      <c r="M2334" s="6">
        <v>19</v>
      </c>
      <c r="N2334" t="str" cm="1">
        <f t="array" ref="N2334">_xlfn.IFS(M2334&gt;=50,"50-60 Days", M2334&gt;=40,"40-50 Days", M2334&gt;=30, "30-40 Days", M2334&gt;=20, "20-30 Days", M2334&gt;=10, "10-20 Days", M2334&gt;=0, "0-10 Days")</f>
        <v>10-20 Days</v>
      </c>
    </row>
    <row r="2335" spans="1:14">
      <c r="A2335">
        <v>2334</v>
      </c>
      <c r="B2335" t="s">
        <v>29</v>
      </c>
      <c r="C2335" s="5">
        <v>45158</v>
      </c>
      <c r="D2335" s="8">
        <v>45158</v>
      </c>
      <c r="E2335" s="8" t="str">
        <f>IF(B2335="Inactive", EDATE(D2335,K2335), "")</f>
        <v/>
      </c>
      <c r="F2335" t="s">
        <v>14</v>
      </c>
      <c r="G2335">
        <v>14.6</v>
      </c>
      <c r="H2335" t="str" cm="1">
        <f t="array" ref="H2335">_xlfn.IFS(G2335&gt;=20,"20-25", G2335&gt;=15,"15-20", G2335&gt;=10,"10-15", G2335&gt;=5,"5-10", G2335&gt;=1,"1-5", G2335&lt;1,"Less than 1")</f>
        <v>10-15</v>
      </c>
      <c r="I2335">
        <v>8</v>
      </c>
      <c r="J2335">
        <v>4</v>
      </c>
      <c r="K2335" s="6">
        <v>11</v>
      </c>
      <c r="L2335" s="2">
        <v>3.99</v>
      </c>
      <c r="M2335" s="6">
        <v>58</v>
      </c>
      <c r="N2335" t="str" cm="1">
        <f t="array" ref="N2335">_xlfn.IFS(M2335&gt;=50,"50-60 Days", M2335&gt;=40,"40-50 Days", M2335&gt;=30, "30-40 Days", M2335&gt;=20, "20-30 Days", M2335&gt;=10, "10-20 Days", M2335&gt;=0, "0-10 Days")</f>
        <v>50-60 Days</v>
      </c>
    </row>
    <row r="2336" spans="1:14">
      <c r="A2336">
        <v>2335</v>
      </c>
      <c r="B2336" t="s">
        <v>28</v>
      </c>
      <c r="C2336" s="5">
        <v>45209</v>
      </c>
      <c r="D2336" s="8">
        <v>45209</v>
      </c>
      <c r="E2336" s="8">
        <f>IF(B2336="Inactive", EDATE(D2336,K2336), "")</f>
        <v>45301</v>
      </c>
      <c r="F2336" t="s">
        <v>10</v>
      </c>
      <c r="G2336">
        <v>9.5</v>
      </c>
      <c r="H2336" t="str" cm="1">
        <f t="array" ref="H2336">_xlfn.IFS(G2336&gt;=20,"20-25", G2336&gt;=15,"15-20", G2336&gt;=10,"10-15", G2336&gt;=5,"5-10", G2336&gt;=1,"1-5", G2336&lt;1,"Less than 1")</f>
        <v>5-10</v>
      </c>
      <c r="I2336">
        <v>8</v>
      </c>
      <c r="J2336">
        <v>5</v>
      </c>
      <c r="K2336" s="6">
        <v>3</v>
      </c>
      <c r="L2336" s="2">
        <v>6.99</v>
      </c>
      <c r="M2336" s="6">
        <v>32</v>
      </c>
      <c r="N2336" t="str" cm="1">
        <f t="array" ref="N2336">_xlfn.IFS(M2336&gt;=50,"50-60 Days", M2336&gt;=40,"40-50 Days", M2336&gt;=30, "30-40 Days", M2336&gt;=20, "20-30 Days", M2336&gt;=10, "10-20 Days", M2336&gt;=0, "0-10 Days")</f>
        <v>30-40 Days</v>
      </c>
    </row>
    <row r="2337" spans="1:14">
      <c r="A2337">
        <v>2336</v>
      </c>
      <c r="B2337" t="s">
        <v>28</v>
      </c>
      <c r="C2337" s="5">
        <v>45223</v>
      </c>
      <c r="D2337" s="8">
        <v>45223</v>
      </c>
      <c r="E2337" s="8">
        <f>IF(B2337="Inactive", EDATE(D2337,K2337), "")</f>
        <v>45315</v>
      </c>
      <c r="F2337" t="s">
        <v>14</v>
      </c>
      <c r="G2337">
        <v>11.9</v>
      </c>
      <c r="H2337" t="str" cm="1">
        <f t="array" ref="H2337">_xlfn.IFS(G2337&gt;=20,"20-25", G2337&gt;=15,"15-20", G2337&gt;=10,"10-15", G2337&gt;=5,"5-10", G2337&gt;=1,"1-5", G2337&lt;1,"Less than 1")</f>
        <v>10-15</v>
      </c>
      <c r="I2337">
        <v>0</v>
      </c>
      <c r="J2337">
        <v>5</v>
      </c>
      <c r="K2337" s="6">
        <v>3</v>
      </c>
      <c r="L2337" s="2">
        <v>3.99</v>
      </c>
      <c r="M2337" s="6">
        <v>44</v>
      </c>
      <c r="N2337" t="str" cm="1">
        <f t="array" ref="N2337">_xlfn.IFS(M2337&gt;=50,"50-60 Days", M2337&gt;=40,"40-50 Days", M2337&gt;=30, "30-40 Days", M2337&gt;=20, "20-30 Days", M2337&gt;=10, "10-20 Days", M2337&gt;=0, "0-10 Days")</f>
        <v>40-50 Days</v>
      </c>
    </row>
    <row r="2338" spans="1:14">
      <c r="A2338">
        <v>2337</v>
      </c>
      <c r="B2338" t="s">
        <v>29</v>
      </c>
      <c r="C2338" s="5">
        <v>45140</v>
      </c>
      <c r="D2338" s="8">
        <v>45140</v>
      </c>
      <c r="E2338" s="8" t="str">
        <f>IF(B2338="Inactive", EDATE(D2338,K2338), "")</f>
        <v/>
      </c>
      <c r="F2338" t="s">
        <v>10</v>
      </c>
      <c r="G2338">
        <v>24.8</v>
      </c>
      <c r="H2338" t="str" cm="1">
        <f t="array" ref="H2338">_xlfn.IFS(G2338&gt;=20,"20-25", G2338&gt;=15,"15-20", G2338&gt;=10,"10-15", G2338&gt;=5,"5-10", G2338&gt;=1,"1-5", G2338&lt;1,"Less than 1")</f>
        <v>20-25</v>
      </c>
      <c r="I2338">
        <v>4</v>
      </c>
      <c r="J2338">
        <v>1</v>
      </c>
      <c r="K2338" s="6">
        <v>2</v>
      </c>
      <c r="L2338" s="2">
        <v>6.99</v>
      </c>
      <c r="M2338" s="6">
        <v>13</v>
      </c>
      <c r="N2338" t="str" cm="1">
        <f t="array" ref="N2338">_xlfn.IFS(M2338&gt;=50,"50-60 Days", M2338&gt;=40,"40-50 Days", M2338&gt;=30, "30-40 Days", M2338&gt;=20, "20-30 Days", M2338&gt;=10, "10-20 Days", M2338&gt;=0, "0-10 Days")</f>
        <v>10-20 Days</v>
      </c>
    </row>
    <row r="2339" spans="1:14">
      <c r="A2339">
        <v>2338</v>
      </c>
      <c r="B2339" t="s">
        <v>29</v>
      </c>
      <c r="C2339" s="5">
        <v>45052</v>
      </c>
      <c r="D2339" s="8">
        <v>45052</v>
      </c>
      <c r="E2339" s="8" t="str">
        <f>IF(B2339="Inactive", EDATE(D2339,K2339), "")</f>
        <v/>
      </c>
      <c r="F2339" t="s">
        <v>14</v>
      </c>
      <c r="G2339">
        <v>20.8</v>
      </c>
      <c r="H2339" t="str" cm="1">
        <f t="array" ref="H2339">_xlfn.IFS(G2339&gt;=20,"20-25", G2339&gt;=15,"15-20", G2339&gt;=10,"10-15", G2339&gt;=5,"5-10", G2339&gt;=1,"1-5", G2339&lt;1,"Less than 1")</f>
        <v>20-25</v>
      </c>
      <c r="I2339">
        <v>4</v>
      </c>
      <c r="J2339">
        <v>4</v>
      </c>
      <c r="K2339" s="6">
        <v>5</v>
      </c>
      <c r="L2339" s="2">
        <v>3.99</v>
      </c>
      <c r="M2339" s="6">
        <v>20</v>
      </c>
      <c r="N2339" t="str" cm="1">
        <f t="array" ref="N2339">_xlfn.IFS(M2339&gt;=50,"50-60 Days", M2339&gt;=40,"40-50 Days", M2339&gt;=30, "30-40 Days", M2339&gt;=20, "20-30 Days", M2339&gt;=10, "10-20 Days", M2339&gt;=0, "0-10 Days")</f>
        <v>20-30 Days</v>
      </c>
    </row>
    <row r="2340" spans="1:14">
      <c r="A2340">
        <v>2339</v>
      </c>
      <c r="B2340" t="s">
        <v>29</v>
      </c>
      <c r="C2340" s="5">
        <v>45392</v>
      </c>
      <c r="D2340" s="8">
        <v>45392</v>
      </c>
      <c r="E2340" s="8" t="str">
        <f>IF(B2340="Inactive", EDATE(D2340,K2340), "")</f>
        <v/>
      </c>
      <c r="F2340" t="s">
        <v>14</v>
      </c>
      <c r="G2340">
        <v>20.3</v>
      </c>
      <c r="H2340" t="str" cm="1">
        <f t="array" ref="H2340">_xlfn.IFS(G2340&gt;=20,"20-25", G2340&gt;=15,"15-20", G2340&gt;=10,"10-15", G2340&gt;=5,"5-10", G2340&gt;=1,"1-5", G2340&lt;1,"Less than 1")</f>
        <v>20-25</v>
      </c>
      <c r="I2340">
        <v>1</v>
      </c>
      <c r="J2340">
        <v>0</v>
      </c>
      <c r="K2340" s="6">
        <v>5</v>
      </c>
      <c r="L2340" s="2">
        <v>3.99</v>
      </c>
      <c r="M2340" s="6">
        <v>6</v>
      </c>
      <c r="N2340" t="str" cm="1">
        <f t="array" ref="N2340">_xlfn.IFS(M2340&gt;=50,"50-60 Days", M2340&gt;=40,"40-50 Days", M2340&gt;=30, "30-40 Days", M2340&gt;=20, "20-30 Days", M2340&gt;=10, "10-20 Days", M2340&gt;=0, "0-10 Days")</f>
        <v>0-10 Days</v>
      </c>
    </row>
    <row r="2341" spans="1:14">
      <c r="A2341">
        <v>2340</v>
      </c>
      <c r="B2341" t="s">
        <v>29</v>
      </c>
      <c r="C2341" s="5">
        <v>45130</v>
      </c>
      <c r="D2341" s="8">
        <v>45130</v>
      </c>
      <c r="E2341" s="8" t="str">
        <f>IF(B2341="Inactive", EDATE(D2341,K2341), "")</f>
        <v/>
      </c>
      <c r="F2341" t="s">
        <v>10</v>
      </c>
      <c r="G2341">
        <v>18.2</v>
      </c>
      <c r="H2341" t="str" cm="1">
        <f t="array" ref="H2341">_xlfn.IFS(G2341&gt;=20,"20-25", G2341&gt;=15,"15-20", G2341&gt;=10,"10-15", G2341&gt;=5,"5-10", G2341&gt;=1,"1-5", G2341&lt;1,"Less than 1")</f>
        <v>15-20</v>
      </c>
      <c r="I2341">
        <v>1</v>
      </c>
      <c r="J2341">
        <v>4</v>
      </c>
      <c r="K2341" s="6">
        <v>10</v>
      </c>
      <c r="L2341" s="2">
        <v>6.99</v>
      </c>
      <c r="M2341" s="6">
        <v>3</v>
      </c>
      <c r="N2341" t="str" cm="1">
        <f t="array" ref="N2341">_xlfn.IFS(M2341&gt;=50,"50-60 Days", M2341&gt;=40,"40-50 Days", M2341&gt;=30, "30-40 Days", M2341&gt;=20, "20-30 Days", M2341&gt;=10, "10-20 Days", M2341&gt;=0, "0-10 Days")</f>
        <v>0-10 Days</v>
      </c>
    </row>
    <row r="2342" spans="1:14">
      <c r="A2342">
        <v>2341</v>
      </c>
      <c r="B2342" t="s">
        <v>28</v>
      </c>
      <c r="C2342" s="5">
        <v>45586</v>
      </c>
      <c r="D2342" s="8">
        <v>45586</v>
      </c>
      <c r="E2342" s="8">
        <f>IF(B2342="Inactive", EDATE(D2342,K2342), "")</f>
        <v>45647</v>
      </c>
      <c r="F2342" t="s">
        <v>12</v>
      </c>
      <c r="G2342">
        <v>16</v>
      </c>
      <c r="H2342" t="str" cm="1">
        <f t="array" ref="H2342">_xlfn.IFS(G2342&gt;=20,"20-25", G2342&gt;=15,"15-20", G2342&gt;=10,"10-15", G2342&gt;=5,"5-10", G2342&gt;=1,"1-5", G2342&lt;1,"Less than 1")</f>
        <v>15-20</v>
      </c>
      <c r="I2342">
        <v>3</v>
      </c>
      <c r="J2342">
        <v>3</v>
      </c>
      <c r="K2342" s="6">
        <v>2</v>
      </c>
      <c r="L2342" s="2">
        <v>1.99</v>
      </c>
      <c r="M2342" s="6">
        <v>13</v>
      </c>
      <c r="N2342" t="str" cm="1">
        <f t="array" ref="N2342">_xlfn.IFS(M2342&gt;=50,"50-60 Days", M2342&gt;=40,"40-50 Days", M2342&gt;=30, "30-40 Days", M2342&gt;=20, "20-30 Days", M2342&gt;=10, "10-20 Days", M2342&gt;=0, "0-10 Days")</f>
        <v>10-20 Days</v>
      </c>
    </row>
    <row r="2343" spans="1:14">
      <c r="A2343">
        <v>2342</v>
      </c>
      <c r="B2343" t="s">
        <v>28</v>
      </c>
      <c r="C2343" s="5">
        <v>45012</v>
      </c>
      <c r="D2343" s="8">
        <v>45012</v>
      </c>
      <c r="E2343" s="8">
        <f>IF(B2343="Inactive", EDATE(D2343,K2343), "")</f>
        <v>45165</v>
      </c>
      <c r="F2343" t="s">
        <v>14</v>
      </c>
      <c r="G2343">
        <v>1.5</v>
      </c>
      <c r="H2343" t="str" cm="1">
        <f t="array" ref="H2343">_xlfn.IFS(G2343&gt;=20,"20-25", G2343&gt;=15,"15-20", G2343&gt;=10,"10-15", G2343&gt;=5,"5-10", G2343&gt;=1,"1-5", G2343&lt;1,"Less than 1")</f>
        <v>1-5</v>
      </c>
      <c r="I2343">
        <v>6</v>
      </c>
      <c r="J2343">
        <v>0</v>
      </c>
      <c r="K2343" s="6">
        <v>5</v>
      </c>
      <c r="L2343" s="2">
        <v>3.99</v>
      </c>
      <c r="M2343" s="6">
        <v>46</v>
      </c>
      <c r="N2343" t="str" cm="1">
        <f t="array" ref="N2343">_xlfn.IFS(M2343&gt;=50,"50-60 Days", M2343&gt;=40,"40-50 Days", M2343&gt;=30, "30-40 Days", M2343&gt;=20, "20-30 Days", M2343&gt;=10, "10-20 Days", M2343&gt;=0, "0-10 Days")</f>
        <v>40-50 Days</v>
      </c>
    </row>
    <row r="2344" spans="1:14">
      <c r="A2344">
        <v>2343</v>
      </c>
      <c r="B2344" t="s">
        <v>28</v>
      </c>
      <c r="C2344" s="5">
        <v>45439</v>
      </c>
      <c r="D2344" s="8">
        <v>45439</v>
      </c>
      <c r="E2344" s="8">
        <f>IF(B2344="Inactive", EDATE(D2344,K2344), "")</f>
        <v>45774</v>
      </c>
      <c r="F2344" t="s">
        <v>10</v>
      </c>
      <c r="G2344">
        <v>12.7</v>
      </c>
      <c r="H2344" t="str" cm="1">
        <f t="array" ref="H2344">_xlfn.IFS(G2344&gt;=20,"20-25", G2344&gt;=15,"15-20", G2344&gt;=10,"10-15", G2344&gt;=5,"5-10", G2344&gt;=1,"1-5", G2344&lt;1,"Less than 1")</f>
        <v>10-15</v>
      </c>
      <c r="I2344">
        <v>5</v>
      </c>
      <c r="J2344">
        <v>3</v>
      </c>
      <c r="K2344" s="6">
        <v>11</v>
      </c>
      <c r="L2344" s="2">
        <v>6.99</v>
      </c>
      <c r="M2344" s="6">
        <v>6</v>
      </c>
      <c r="N2344" t="str" cm="1">
        <f t="array" ref="N2344">_xlfn.IFS(M2344&gt;=50,"50-60 Days", M2344&gt;=40,"40-50 Days", M2344&gt;=30, "30-40 Days", M2344&gt;=20, "20-30 Days", M2344&gt;=10, "10-20 Days", M2344&gt;=0, "0-10 Days")</f>
        <v>0-10 Days</v>
      </c>
    </row>
    <row r="2345" spans="1:14">
      <c r="A2345">
        <v>2344</v>
      </c>
      <c r="B2345" t="s">
        <v>29</v>
      </c>
      <c r="C2345" s="5">
        <v>45140</v>
      </c>
      <c r="D2345" s="8">
        <v>45140</v>
      </c>
      <c r="E2345" s="8" t="str">
        <f>IF(B2345="Inactive", EDATE(D2345,K2345), "")</f>
        <v/>
      </c>
      <c r="F2345" t="s">
        <v>14</v>
      </c>
      <c r="G2345">
        <v>18.100000000000001</v>
      </c>
      <c r="H2345" t="str" cm="1">
        <f t="array" ref="H2345">_xlfn.IFS(G2345&gt;=20,"20-25", G2345&gt;=15,"15-20", G2345&gt;=10,"10-15", G2345&gt;=5,"5-10", G2345&gt;=1,"1-5", G2345&lt;1,"Less than 1")</f>
        <v>15-20</v>
      </c>
      <c r="I2345">
        <v>8</v>
      </c>
      <c r="J2345">
        <v>0</v>
      </c>
      <c r="K2345" s="6">
        <v>12</v>
      </c>
      <c r="L2345" s="2">
        <v>3.99</v>
      </c>
      <c r="M2345" s="6">
        <v>0</v>
      </c>
      <c r="N2345" t="str" cm="1">
        <f t="array" ref="N2345">_xlfn.IFS(M2345&gt;=50,"50-60 Days", M2345&gt;=40,"40-50 Days", M2345&gt;=30, "30-40 Days", M2345&gt;=20, "20-30 Days", M2345&gt;=10, "10-20 Days", M2345&gt;=0, "0-10 Days")</f>
        <v>0-10 Days</v>
      </c>
    </row>
    <row r="2346" spans="1:14">
      <c r="A2346">
        <v>2345</v>
      </c>
      <c r="B2346" t="s">
        <v>29</v>
      </c>
      <c r="C2346" s="5">
        <v>45538</v>
      </c>
      <c r="D2346" s="8">
        <v>45538</v>
      </c>
      <c r="E2346" s="8" t="str">
        <f>IF(B2346="Inactive", EDATE(D2346,K2346), "")</f>
        <v/>
      </c>
      <c r="F2346" t="s">
        <v>12</v>
      </c>
      <c r="G2346">
        <v>14.9</v>
      </c>
      <c r="H2346" t="str" cm="1">
        <f t="array" ref="H2346">_xlfn.IFS(G2346&gt;=20,"20-25", G2346&gt;=15,"15-20", G2346&gt;=10,"10-15", G2346&gt;=5,"5-10", G2346&gt;=1,"1-5", G2346&lt;1,"Less than 1")</f>
        <v>10-15</v>
      </c>
      <c r="I2346">
        <v>5</v>
      </c>
      <c r="J2346">
        <v>3</v>
      </c>
      <c r="K2346" s="6">
        <v>1</v>
      </c>
      <c r="L2346" s="2">
        <v>1.99</v>
      </c>
      <c r="M2346" s="6">
        <v>7</v>
      </c>
      <c r="N2346" t="str" cm="1">
        <f t="array" ref="N2346">_xlfn.IFS(M2346&gt;=50,"50-60 Days", M2346&gt;=40,"40-50 Days", M2346&gt;=30, "30-40 Days", M2346&gt;=20, "20-30 Days", M2346&gt;=10, "10-20 Days", M2346&gt;=0, "0-10 Days")</f>
        <v>0-10 Days</v>
      </c>
    </row>
    <row r="2347" spans="1:14">
      <c r="A2347">
        <v>2346</v>
      </c>
      <c r="B2347" t="s">
        <v>28</v>
      </c>
      <c r="C2347" s="5">
        <v>45436</v>
      </c>
      <c r="D2347" s="8">
        <v>45436</v>
      </c>
      <c r="E2347" s="8">
        <f>IF(B2347="Inactive", EDATE(D2347,K2347), "")</f>
        <v>45467</v>
      </c>
      <c r="F2347" t="s">
        <v>10</v>
      </c>
      <c r="G2347">
        <v>6.5</v>
      </c>
      <c r="H2347" t="str" cm="1">
        <f t="array" ref="H2347">_xlfn.IFS(G2347&gt;=20,"20-25", G2347&gt;=15,"15-20", G2347&gt;=10,"10-15", G2347&gt;=5,"5-10", G2347&gt;=1,"1-5", G2347&lt;1,"Less than 1")</f>
        <v>5-10</v>
      </c>
      <c r="I2347">
        <v>6</v>
      </c>
      <c r="J2347">
        <v>2</v>
      </c>
      <c r="K2347" s="6">
        <v>1</v>
      </c>
      <c r="L2347" s="2">
        <v>6.99</v>
      </c>
      <c r="M2347" s="6">
        <v>30</v>
      </c>
      <c r="N2347" t="str" cm="1">
        <f t="array" ref="N2347">_xlfn.IFS(M2347&gt;=50,"50-60 Days", M2347&gt;=40,"40-50 Days", M2347&gt;=30, "30-40 Days", M2347&gt;=20, "20-30 Days", M2347&gt;=10, "10-20 Days", M2347&gt;=0, "0-10 Days")</f>
        <v>30-40 Days</v>
      </c>
    </row>
    <row r="2348" spans="1:14">
      <c r="A2348">
        <v>2347</v>
      </c>
      <c r="B2348" t="s">
        <v>28</v>
      </c>
      <c r="C2348" s="5">
        <v>44930</v>
      </c>
      <c r="D2348" s="8">
        <v>44930</v>
      </c>
      <c r="E2348" s="8">
        <f>IF(B2348="Inactive", EDATE(D2348,K2348), "")</f>
        <v>45142</v>
      </c>
      <c r="F2348" t="s">
        <v>14</v>
      </c>
      <c r="G2348">
        <v>20.7</v>
      </c>
      <c r="H2348" t="str" cm="1">
        <f t="array" ref="H2348">_xlfn.IFS(G2348&gt;=20,"20-25", G2348&gt;=15,"15-20", G2348&gt;=10,"10-15", G2348&gt;=5,"5-10", G2348&gt;=1,"1-5", G2348&lt;1,"Less than 1")</f>
        <v>20-25</v>
      </c>
      <c r="I2348">
        <v>1</v>
      </c>
      <c r="J2348">
        <v>5</v>
      </c>
      <c r="K2348" s="6">
        <v>7</v>
      </c>
      <c r="L2348" s="2">
        <v>3.99</v>
      </c>
      <c r="M2348" s="6">
        <v>58</v>
      </c>
      <c r="N2348" t="str" cm="1">
        <f t="array" ref="N2348">_xlfn.IFS(M2348&gt;=50,"50-60 Days", M2348&gt;=40,"40-50 Days", M2348&gt;=30, "30-40 Days", M2348&gt;=20, "20-30 Days", M2348&gt;=10, "10-20 Days", M2348&gt;=0, "0-10 Days")</f>
        <v>50-60 Days</v>
      </c>
    </row>
    <row r="2349" spans="1:14">
      <c r="A2349">
        <v>2348</v>
      </c>
      <c r="B2349" t="s">
        <v>28</v>
      </c>
      <c r="C2349" s="5">
        <v>45245</v>
      </c>
      <c r="D2349" s="8">
        <v>45245</v>
      </c>
      <c r="E2349" s="8">
        <f>IF(B2349="Inactive", EDATE(D2349,K2349), "")</f>
        <v>45397</v>
      </c>
      <c r="F2349" t="s">
        <v>10</v>
      </c>
      <c r="G2349">
        <v>10.1</v>
      </c>
      <c r="H2349" t="str" cm="1">
        <f t="array" ref="H2349">_xlfn.IFS(G2349&gt;=20,"20-25", G2349&gt;=15,"15-20", G2349&gt;=10,"10-15", G2349&gt;=5,"5-10", G2349&gt;=1,"1-5", G2349&lt;1,"Less than 1")</f>
        <v>10-15</v>
      </c>
      <c r="I2349">
        <v>5</v>
      </c>
      <c r="J2349">
        <v>1</v>
      </c>
      <c r="K2349" s="6">
        <v>5</v>
      </c>
      <c r="L2349" s="2">
        <v>6.99</v>
      </c>
      <c r="M2349" s="6">
        <v>56</v>
      </c>
      <c r="N2349" t="str" cm="1">
        <f t="array" ref="N2349">_xlfn.IFS(M2349&gt;=50,"50-60 Days", M2349&gt;=40,"40-50 Days", M2349&gt;=30, "30-40 Days", M2349&gt;=20, "20-30 Days", M2349&gt;=10, "10-20 Days", M2349&gt;=0, "0-10 Days")</f>
        <v>50-60 Days</v>
      </c>
    </row>
    <row r="2350" spans="1:14">
      <c r="A2350">
        <v>2349</v>
      </c>
      <c r="B2350" t="s">
        <v>28</v>
      </c>
      <c r="C2350" s="5">
        <v>45038</v>
      </c>
      <c r="D2350" s="8">
        <v>45038</v>
      </c>
      <c r="E2350" s="8">
        <f>IF(B2350="Inactive", EDATE(D2350,K2350), "")</f>
        <v>45099</v>
      </c>
      <c r="F2350" t="s">
        <v>10</v>
      </c>
      <c r="G2350">
        <v>20.3</v>
      </c>
      <c r="H2350" t="str" cm="1">
        <f t="array" ref="H2350">_xlfn.IFS(G2350&gt;=20,"20-25", G2350&gt;=15,"15-20", G2350&gt;=10,"10-15", G2350&gt;=5,"5-10", G2350&gt;=1,"1-5", G2350&lt;1,"Less than 1")</f>
        <v>20-25</v>
      </c>
      <c r="I2350">
        <v>8</v>
      </c>
      <c r="J2350">
        <v>5</v>
      </c>
      <c r="K2350" s="6">
        <v>2</v>
      </c>
      <c r="L2350" s="2">
        <v>6.99</v>
      </c>
      <c r="M2350" s="6">
        <v>49</v>
      </c>
      <c r="N2350" t="str" cm="1">
        <f t="array" ref="N2350">_xlfn.IFS(M2350&gt;=50,"50-60 Days", M2350&gt;=40,"40-50 Days", M2350&gt;=30, "30-40 Days", M2350&gt;=20, "20-30 Days", M2350&gt;=10, "10-20 Days", M2350&gt;=0, "0-10 Days")</f>
        <v>40-50 Days</v>
      </c>
    </row>
    <row r="2351" spans="1:14">
      <c r="A2351">
        <v>2350</v>
      </c>
      <c r="B2351" t="s">
        <v>28</v>
      </c>
      <c r="C2351" s="5">
        <v>44954</v>
      </c>
      <c r="D2351" s="8">
        <v>44954</v>
      </c>
      <c r="E2351" s="8">
        <f>IF(B2351="Inactive", EDATE(D2351,K2351), "")</f>
        <v>45166</v>
      </c>
      <c r="F2351" t="s">
        <v>10</v>
      </c>
      <c r="G2351">
        <v>6</v>
      </c>
      <c r="H2351" t="str" cm="1">
        <f t="array" ref="H2351">_xlfn.IFS(G2351&gt;=20,"20-25", G2351&gt;=15,"15-20", G2351&gt;=10,"10-15", G2351&gt;=5,"5-10", G2351&gt;=1,"1-5", G2351&lt;1,"Less than 1")</f>
        <v>5-10</v>
      </c>
      <c r="I2351">
        <v>6</v>
      </c>
      <c r="J2351">
        <v>4</v>
      </c>
      <c r="K2351" s="6">
        <v>7</v>
      </c>
      <c r="L2351" s="2">
        <v>6.99</v>
      </c>
      <c r="M2351" s="6">
        <v>30</v>
      </c>
      <c r="N2351" t="str" cm="1">
        <f t="array" ref="N2351">_xlfn.IFS(M2351&gt;=50,"50-60 Days", M2351&gt;=40,"40-50 Days", M2351&gt;=30, "30-40 Days", M2351&gt;=20, "20-30 Days", M2351&gt;=10, "10-20 Days", M2351&gt;=0, "0-10 Days")</f>
        <v>30-40 Days</v>
      </c>
    </row>
    <row r="2352" spans="1:14">
      <c r="A2352">
        <v>2351</v>
      </c>
      <c r="B2352" t="s">
        <v>29</v>
      </c>
      <c r="C2352" s="5">
        <v>45088</v>
      </c>
      <c r="D2352" s="8">
        <v>45088</v>
      </c>
      <c r="E2352" s="8" t="str">
        <f>IF(B2352="Inactive", EDATE(D2352,K2352), "")</f>
        <v/>
      </c>
      <c r="F2352" t="s">
        <v>10</v>
      </c>
      <c r="G2352">
        <v>19</v>
      </c>
      <c r="H2352" t="str" cm="1">
        <f t="array" ref="H2352">_xlfn.IFS(G2352&gt;=20,"20-25", G2352&gt;=15,"15-20", G2352&gt;=10,"10-15", G2352&gt;=5,"5-10", G2352&gt;=1,"1-5", G2352&lt;1,"Less than 1")</f>
        <v>15-20</v>
      </c>
      <c r="I2352">
        <v>6</v>
      </c>
      <c r="J2352">
        <v>1</v>
      </c>
      <c r="K2352" s="6">
        <v>3</v>
      </c>
      <c r="L2352" s="2">
        <v>6.99</v>
      </c>
      <c r="M2352" s="6">
        <v>10</v>
      </c>
      <c r="N2352" t="str" cm="1">
        <f t="array" ref="N2352">_xlfn.IFS(M2352&gt;=50,"50-60 Days", M2352&gt;=40,"40-50 Days", M2352&gt;=30, "30-40 Days", M2352&gt;=20, "20-30 Days", M2352&gt;=10, "10-20 Days", M2352&gt;=0, "0-10 Days")</f>
        <v>10-20 Days</v>
      </c>
    </row>
    <row r="2353" spans="1:14">
      <c r="A2353">
        <v>2352</v>
      </c>
      <c r="B2353" t="s">
        <v>28</v>
      </c>
      <c r="C2353" s="5">
        <v>45355</v>
      </c>
      <c r="D2353" s="8">
        <v>45355</v>
      </c>
      <c r="E2353" s="8">
        <f>IF(B2353="Inactive", EDATE(D2353,K2353), "")</f>
        <v>45692</v>
      </c>
      <c r="F2353" t="s">
        <v>12</v>
      </c>
      <c r="G2353">
        <v>4.0999999999999996</v>
      </c>
      <c r="H2353" t="str" cm="1">
        <f t="array" ref="H2353">_xlfn.IFS(G2353&gt;=20,"20-25", G2353&gt;=15,"15-20", G2353&gt;=10,"10-15", G2353&gt;=5,"5-10", G2353&gt;=1,"1-5", G2353&lt;1,"Less than 1")</f>
        <v>1-5</v>
      </c>
      <c r="I2353">
        <v>3</v>
      </c>
      <c r="J2353">
        <v>3</v>
      </c>
      <c r="K2353" s="6">
        <v>11</v>
      </c>
      <c r="L2353" s="2">
        <v>1.99</v>
      </c>
      <c r="M2353" s="6">
        <v>17</v>
      </c>
      <c r="N2353" t="str" cm="1">
        <f t="array" ref="N2353">_xlfn.IFS(M2353&gt;=50,"50-60 Days", M2353&gt;=40,"40-50 Days", M2353&gt;=30, "30-40 Days", M2353&gt;=20, "20-30 Days", M2353&gt;=10, "10-20 Days", M2353&gt;=0, "0-10 Days")</f>
        <v>10-20 Days</v>
      </c>
    </row>
    <row r="2354" spans="1:14">
      <c r="A2354">
        <v>2353</v>
      </c>
      <c r="B2354" t="s">
        <v>29</v>
      </c>
      <c r="C2354" s="5">
        <v>45228</v>
      </c>
      <c r="D2354" s="8">
        <v>45228</v>
      </c>
      <c r="E2354" s="8" t="str">
        <f>IF(B2354="Inactive", EDATE(D2354,K2354), "")</f>
        <v/>
      </c>
      <c r="F2354" t="s">
        <v>12</v>
      </c>
      <c r="G2354">
        <v>6.8</v>
      </c>
      <c r="H2354" t="str" cm="1">
        <f t="array" ref="H2354">_xlfn.IFS(G2354&gt;=20,"20-25", G2354&gt;=15,"15-20", G2354&gt;=10,"10-15", G2354&gt;=5,"5-10", G2354&gt;=1,"1-5", G2354&lt;1,"Less than 1")</f>
        <v>5-10</v>
      </c>
      <c r="I2354">
        <v>0</v>
      </c>
      <c r="J2354">
        <v>5</v>
      </c>
      <c r="K2354" s="6">
        <v>2</v>
      </c>
      <c r="L2354" s="2">
        <v>1.99</v>
      </c>
      <c r="M2354" s="6">
        <v>47</v>
      </c>
      <c r="N2354" t="str" cm="1">
        <f t="array" ref="N2354">_xlfn.IFS(M2354&gt;=50,"50-60 Days", M2354&gt;=40,"40-50 Days", M2354&gt;=30, "30-40 Days", M2354&gt;=20, "20-30 Days", M2354&gt;=10, "10-20 Days", M2354&gt;=0, "0-10 Days")</f>
        <v>40-50 Days</v>
      </c>
    </row>
    <row r="2355" spans="1:14">
      <c r="A2355">
        <v>2354</v>
      </c>
      <c r="B2355" t="s">
        <v>28</v>
      </c>
      <c r="C2355" s="5">
        <v>45272</v>
      </c>
      <c r="D2355" s="8">
        <v>45272</v>
      </c>
      <c r="E2355" s="8">
        <f>IF(B2355="Inactive", EDATE(D2355,K2355), "")</f>
        <v>45638</v>
      </c>
      <c r="F2355" t="s">
        <v>12</v>
      </c>
      <c r="G2355">
        <v>13.6</v>
      </c>
      <c r="H2355" t="str" cm="1">
        <f t="array" ref="H2355">_xlfn.IFS(G2355&gt;=20,"20-25", G2355&gt;=15,"15-20", G2355&gt;=10,"10-15", G2355&gt;=5,"5-10", G2355&gt;=1,"1-5", G2355&lt;1,"Less than 1")</f>
        <v>10-15</v>
      </c>
      <c r="I2355">
        <v>0</v>
      </c>
      <c r="J2355">
        <v>2</v>
      </c>
      <c r="K2355" s="6">
        <v>12</v>
      </c>
      <c r="L2355" s="2">
        <v>1.99</v>
      </c>
      <c r="M2355" s="6">
        <v>40</v>
      </c>
      <c r="N2355" t="str" cm="1">
        <f t="array" ref="N2355">_xlfn.IFS(M2355&gt;=50,"50-60 Days", M2355&gt;=40,"40-50 Days", M2355&gt;=30, "30-40 Days", M2355&gt;=20, "20-30 Days", M2355&gt;=10, "10-20 Days", M2355&gt;=0, "0-10 Days")</f>
        <v>40-50 Days</v>
      </c>
    </row>
    <row r="2356" spans="1:14">
      <c r="A2356">
        <v>2355</v>
      </c>
      <c r="B2356" t="s">
        <v>28</v>
      </c>
      <c r="C2356" s="5">
        <v>45458</v>
      </c>
      <c r="D2356" s="8">
        <v>45458</v>
      </c>
      <c r="E2356" s="8">
        <f>IF(B2356="Inactive", EDATE(D2356,K2356), "")</f>
        <v>45792</v>
      </c>
      <c r="F2356" t="s">
        <v>12</v>
      </c>
      <c r="G2356">
        <v>23.4</v>
      </c>
      <c r="H2356" t="str" cm="1">
        <f t="array" ref="H2356">_xlfn.IFS(G2356&gt;=20,"20-25", G2356&gt;=15,"15-20", G2356&gt;=10,"10-15", G2356&gt;=5,"5-10", G2356&gt;=1,"1-5", G2356&lt;1,"Less than 1")</f>
        <v>20-25</v>
      </c>
      <c r="I2356">
        <v>6</v>
      </c>
      <c r="J2356">
        <v>3</v>
      </c>
      <c r="K2356" s="6">
        <v>11</v>
      </c>
      <c r="L2356" s="2">
        <v>1.99</v>
      </c>
      <c r="M2356" s="6">
        <v>50</v>
      </c>
      <c r="N2356" t="str" cm="1">
        <f t="array" ref="N2356">_xlfn.IFS(M2356&gt;=50,"50-60 Days", M2356&gt;=40,"40-50 Days", M2356&gt;=30, "30-40 Days", M2356&gt;=20, "20-30 Days", M2356&gt;=10, "10-20 Days", M2356&gt;=0, "0-10 Days")</f>
        <v>50-60 Days</v>
      </c>
    </row>
    <row r="2357" spans="1:14">
      <c r="A2357">
        <v>2356</v>
      </c>
      <c r="B2357" t="s">
        <v>28</v>
      </c>
      <c r="C2357" s="5">
        <v>44970</v>
      </c>
      <c r="D2357" s="8">
        <v>44970</v>
      </c>
      <c r="E2357" s="8">
        <f>IF(B2357="Inactive", EDATE(D2357,K2357), "")</f>
        <v>45059</v>
      </c>
      <c r="F2357" t="s">
        <v>10</v>
      </c>
      <c r="G2357">
        <v>3.4</v>
      </c>
      <c r="H2357" t="str" cm="1">
        <f t="array" ref="H2357">_xlfn.IFS(G2357&gt;=20,"20-25", G2357&gt;=15,"15-20", G2357&gt;=10,"10-15", G2357&gt;=5,"5-10", G2357&gt;=1,"1-5", G2357&lt;1,"Less than 1")</f>
        <v>1-5</v>
      </c>
      <c r="I2357">
        <v>2</v>
      </c>
      <c r="J2357">
        <v>3</v>
      </c>
      <c r="K2357" s="6">
        <v>3</v>
      </c>
      <c r="L2357" s="2">
        <v>6.99</v>
      </c>
      <c r="M2357" s="6">
        <v>49</v>
      </c>
      <c r="N2357" t="str" cm="1">
        <f t="array" ref="N2357">_xlfn.IFS(M2357&gt;=50,"50-60 Days", M2357&gt;=40,"40-50 Days", M2357&gt;=30, "30-40 Days", M2357&gt;=20, "20-30 Days", M2357&gt;=10, "10-20 Days", M2357&gt;=0, "0-10 Days")</f>
        <v>40-50 Days</v>
      </c>
    </row>
    <row r="2358" spans="1:14">
      <c r="A2358">
        <v>2357</v>
      </c>
      <c r="B2358" t="s">
        <v>28</v>
      </c>
      <c r="C2358" s="5">
        <v>45549</v>
      </c>
      <c r="D2358" s="8">
        <v>45549</v>
      </c>
      <c r="E2358" s="8">
        <f>IF(B2358="Inactive", EDATE(D2358,K2358), "")</f>
        <v>45610</v>
      </c>
      <c r="F2358" t="s">
        <v>12</v>
      </c>
      <c r="G2358">
        <v>13.2</v>
      </c>
      <c r="H2358" t="str" cm="1">
        <f t="array" ref="H2358">_xlfn.IFS(G2358&gt;=20,"20-25", G2358&gt;=15,"15-20", G2358&gt;=10,"10-15", G2358&gt;=5,"5-10", G2358&gt;=1,"1-5", G2358&lt;1,"Less than 1")</f>
        <v>10-15</v>
      </c>
      <c r="I2358">
        <v>3</v>
      </c>
      <c r="J2358">
        <v>2</v>
      </c>
      <c r="K2358" s="6">
        <v>2</v>
      </c>
      <c r="L2358" s="2">
        <v>1.99</v>
      </c>
      <c r="M2358" s="6">
        <v>24</v>
      </c>
      <c r="N2358" t="str" cm="1">
        <f t="array" ref="N2358">_xlfn.IFS(M2358&gt;=50,"50-60 Days", M2358&gt;=40,"40-50 Days", M2358&gt;=30, "30-40 Days", M2358&gt;=20, "20-30 Days", M2358&gt;=10, "10-20 Days", M2358&gt;=0, "0-10 Days")</f>
        <v>20-30 Days</v>
      </c>
    </row>
    <row r="2359" spans="1:14">
      <c r="A2359">
        <v>2358</v>
      </c>
      <c r="B2359" t="s">
        <v>29</v>
      </c>
      <c r="C2359" s="5">
        <v>45144</v>
      </c>
      <c r="D2359" s="8">
        <v>45144</v>
      </c>
      <c r="E2359" s="8" t="str">
        <f>IF(B2359="Inactive", EDATE(D2359,K2359), "")</f>
        <v/>
      </c>
      <c r="F2359" t="s">
        <v>12</v>
      </c>
      <c r="G2359">
        <v>10</v>
      </c>
      <c r="H2359" t="str" cm="1">
        <f t="array" ref="H2359">_xlfn.IFS(G2359&gt;=20,"20-25", G2359&gt;=15,"15-20", G2359&gt;=10,"10-15", G2359&gt;=5,"5-10", G2359&gt;=1,"1-5", G2359&lt;1,"Less than 1")</f>
        <v>10-15</v>
      </c>
      <c r="I2359">
        <v>7</v>
      </c>
      <c r="J2359">
        <v>0</v>
      </c>
      <c r="K2359" s="6">
        <v>1</v>
      </c>
      <c r="L2359" s="2">
        <v>1.99</v>
      </c>
      <c r="M2359" s="6">
        <v>20</v>
      </c>
      <c r="N2359" t="str" cm="1">
        <f t="array" ref="N2359">_xlfn.IFS(M2359&gt;=50,"50-60 Days", M2359&gt;=40,"40-50 Days", M2359&gt;=30, "30-40 Days", M2359&gt;=20, "20-30 Days", M2359&gt;=10, "10-20 Days", M2359&gt;=0, "0-10 Days")</f>
        <v>20-30 Days</v>
      </c>
    </row>
    <row r="2360" spans="1:14">
      <c r="A2360">
        <v>2359</v>
      </c>
      <c r="B2360" t="s">
        <v>28</v>
      </c>
      <c r="C2360" s="5">
        <v>45367</v>
      </c>
      <c r="D2360" s="8">
        <v>45367</v>
      </c>
      <c r="E2360" s="8">
        <f>IF(B2360="Inactive", EDATE(D2360,K2360), "")</f>
        <v>45489</v>
      </c>
      <c r="F2360" t="s">
        <v>12</v>
      </c>
      <c r="G2360">
        <v>19.3</v>
      </c>
      <c r="H2360" t="str" cm="1">
        <f t="array" ref="H2360">_xlfn.IFS(G2360&gt;=20,"20-25", G2360&gt;=15,"15-20", G2360&gt;=10,"10-15", G2360&gt;=5,"5-10", G2360&gt;=1,"1-5", G2360&lt;1,"Less than 1")</f>
        <v>15-20</v>
      </c>
      <c r="I2360">
        <v>4</v>
      </c>
      <c r="J2360">
        <v>2</v>
      </c>
      <c r="K2360" s="6">
        <v>4</v>
      </c>
      <c r="L2360" s="2">
        <v>1.99</v>
      </c>
      <c r="M2360" s="6">
        <v>22</v>
      </c>
      <c r="N2360" t="str" cm="1">
        <f t="array" ref="N2360">_xlfn.IFS(M2360&gt;=50,"50-60 Days", M2360&gt;=40,"40-50 Days", M2360&gt;=30, "30-40 Days", M2360&gt;=20, "20-30 Days", M2360&gt;=10, "10-20 Days", M2360&gt;=0, "0-10 Days")</f>
        <v>20-30 Days</v>
      </c>
    </row>
    <row r="2361" spans="1:14">
      <c r="A2361">
        <v>2360</v>
      </c>
      <c r="B2361" t="s">
        <v>29</v>
      </c>
      <c r="C2361" s="5">
        <v>45361</v>
      </c>
      <c r="D2361" s="8">
        <v>45361</v>
      </c>
      <c r="E2361" s="8" t="str">
        <f>IF(B2361="Inactive", EDATE(D2361,K2361), "")</f>
        <v/>
      </c>
      <c r="F2361" t="s">
        <v>10</v>
      </c>
      <c r="G2361">
        <v>5</v>
      </c>
      <c r="H2361" t="str" cm="1">
        <f t="array" ref="H2361">_xlfn.IFS(G2361&gt;=20,"20-25", G2361&gt;=15,"15-20", G2361&gt;=10,"10-15", G2361&gt;=5,"5-10", G2361&gt;=1,"1-5", G2361&lt;1,"Less than 1")</f>
        <v>5-10</v>
      </c>
      <c r="I2361">
        <v>1</v>
      </c>
      <c r="J2361">
        <v>3</v>
      </c>
      <c r="K2361" s="6">
        <v>12</v>
      </c>
      <c r="L2361" s="2">
        <v>6.99</v>
      </c>
      <c r="M2361" s="6">
        <v>40</v>
      </c>
      <c r="N2361" t="str" cm="1">
        <f t="array" ref="N2361">_xlfn.IFS(M2361&gt;=50,"50-60 Days", M2361&gt;=40,"40-50 Days", M2361&gt;=30, "30-40 Days", M2361&gt;=20, "20-30 Days", M2361&gt;=10, "10-20 Days", M2361&gt;=0, "0-10 Days")</f>
        <v>40-50 Days</v>
      </c>
    </row>
    <row r="2362" spans="1:14">
      <c r="A2362">
        <v>2361</v>
      </c>
      <c r="B2362" t="s">
        <v>29</v>
      </c>
      <c r="C2362" s="5">
        <v>44968</v>
      </c>
      <c r="D2362" s="8">
        <v>44968</v>
      </c>
      <c r="E2362" s="8" t="str">
        <f>IF(B2362="Inactive", EDATE(D2362,K2362), "")</f>
        <v/>
      </c>
      <c r="F2362" t="s">
        <v>10</v>
      </c>
      <c r="G2362">
        <v>15.7</v>
      </c>
      <c r="H2362" t="str" cm="1">
        <f t="array" ref="H2362">_xlfn.IFS(G2362&gt;=20,"20-25", G2362&gt;=15,"15-20", G2362&gt;=10,"10-15", G2362&gt;=5,"5-10", G2362&gt;=1,"1-5", G2362&lt;1,"Less than 1")</f>
        <v>15-20</v>
      </c>
      <c r="I2362">
        <v>8</v>
      </c>
      <c r="J2362">
        <v>2</v>
      </c>
      <c r="K2362" s="6">
        <v>4</v>
      </c>
      <c r="L2362" s="2">
        <v>6.99</v>
      </c>
      <c r="M2362" s="6">
        <v>18</v>
      </c>
      <c r="N2362" t="str" cm="1">
        <f t="array" ref="N2362">_xlfn.IFS(M2362&gt;=50,"50-60 Days", M2362&gt;=40,"40-50 Days", M2362&gt;=30, "30-40 Days", M2362&gt;=20, "20-30 Days", M2362&gt;=10, "10-20 Days", M2362&gt;=0, "0-10 Days")</f>
        <v>10-20 Days</v>
      </c>
    </row>
    <row r="2363" spans="1:14">
      <c r="A2363">
        <v>2362</v>
      </c>
      <c r="B2363" t="s">
        <v>29</v>
      </c>
      <c r="C2363" s="5">
        <v>45385</v>
      </c>
      <c r="D2363" s="8">
        <v>45385</v>
      </c>
      <c r="E2363" s="8" t="str">
        <f>IF(B2363="Inactive", EDATE(D2363,K2363), "")</f>
        <v/>
      </c>
      <c r="F2363" t="s">
        <v>12</v>
      </c>
      <c r="G2363">
        <v>7.9</v>
      </c>
      <c r="H2363" t="str" cm="1">
        <f t="array" ref="H2363">_xlfn.IFS(G2363&gt;=20,"20-25", G2363&gt;=15,"15-20", G2363&gt;=10,"10-15", G2363&gt;=5,"5-10", G2363&gt;=1,"1-5", G2363&lt;1,"Less than 1")</f>
        <v>5-10</v>
      </c>
      <c r="I2363">
        <v>8</v>
      </c>
      <c r="J2363">
        <v>0</v>
      </c>
      <c r="K2363" s="6">
        <v>6</v>
      </c>
      <c r="L2363" s="2">
        <v>1.99</v>
      </c>
      <c r="M2363" s="6">
        <v>50</v>
      </c>
      <c r="N2363" t="str" cm="1">
        <f t="array" ref="N2363">_xlfn.IFS(M2363&gt;=50,"50-60 Days", M2363&gt;=40,"40-50 Days", M2363&gt;=30, "30-40 Days", M2363&gt;=20, "20-30 Days", M2363&gt;=10, "10-20 Days", M2363&gt;=0, "0-10 Days")</f>
        <v>50-60 Days</v>
      </c>
    </row>
    <row r="2364" spans="1:14">
      <c r="A2364">
        <v>2363</v>
      </c>
      <c r="B2364" t="s">
        <v>28</v>
      </c>
      <c r="C2364" s="5">
        <v>45468</v>
      </c>
      <c r="D2364" s="8">
        <v>45468</v>
      </c>
      <c r="E2364" s="8">
        <f>IF(B2364="Inactive", EDATE(D2364,K2364), "")</f>
        <v>45713</v>
      </c>
      <c r="F2364" t="s">
        <v>12</v>
      </c>
      <c r="G2364">
        <v>7.8</v>
      </c>
      <c r="H2364" t="str" cm="1">
        <f t="array" ref="H2364">_xlfn.IFS(G2364&gt;=20,"20-25", G2364&gt;=15,"15-20", G2364&gt;=10,"10-15", G2364&gt;=5,"5-10", G2364&gt;=1,"1-5", G2364&lt;1,"Less than 1")</f>
        <v>5-10</v>
      </c>
      <c r="I2364">
        <v>7</v>
      </c>
      <c r="J2364">
        <v>5</v>
      </c>
      <c r="K2364" s="6">
        <v>8</v>
      </c>
      <c r="L2364" s="2">
        <v>1.99</v>
      </c>
      <c r="M2364" s="6">
        <v>58</v>
      </c>
      <c r="N2364" t="str" cm="1">
        <f t="array" ref="N2364">_xlfn.IFS(M2364&gt;=50,"50-60 Days", M2364&gt;=40,"40-50 Days", M2364&gt;=30, "30-40 Days", M2364&gt;=20, "20-30 Days", M2364&gt;=10, "10-20 Days", M2364&gt;=0, "0-10 Days")</f>
        <v>50-60 Days</v>
      </c>
    </row>
    <row r="2365" spans="1:14">
      <c r="A2365">
        <v>2364</v>
      </c>
      <c r="B2365" t="s">
        <v>28</v>
      </c>
      <c r="C2365" s="5">
        <v>45054</v>
      </c>
      <c r="D2365" s="8">
        <v>45054</v>
      </c>
      <c r="E2365" s="8">
        <f>IF(B2365="Inactive", EDATE(D2365,K2365), "")</f>
        <v>45330</v>
      </c>
      <c r="F2365" t="s">
        <v>12</v>
      </c>
      <c r="G2365">
        <v>1.6</v>
      </c>
      <c r="H2365" t="str" cm="1">
        <f t="array" ref="H2365">_xlfn.IFS(G2365&gt;=20,"20-25", G2365&gt;=15,"15-20", G2365&gt;=10,"10-15", G2365&gt;=5,"5-10", G2365&gt;=1,"1-5", G2365&lt;1,"Less than 1")</f>
        <v>1-5</v>
      </c>
      <c r="I2365">
        <v>3</v>
      </c>
      <c r="J2365">
        <v>5</v>
      </c>
      <c r="K2365" s="6">
        <v>9</v>
      </c>
      <c r="L2365" s="2">
        <v>1.99</v>
      </c>
      <c r="M2365" s="6">
        <v>23</v>
      </c>
      <c r="N2365" t="str" cm="1">
        <f t="array" ref="N2365">_xlfn.IFS(M2365&gt;=50,"50-60 Days", M2365&gt;=40,"40-50 Days", M2365&gt;=30, "30-40 Days", M2365&gt;=20, "20-30 Days", M2365&gt;=10, "10-20 Days", M2365&gt;=0, "0-10 Days")</f>
        <v>20-30 Days</v>
      </c>
    </row>
    <row r="2366" spans="1:14">
      <c r="A2366">
        <v>2365</v>
      </c>
      <c r="B2366" t="s">
        <v>28</v>
      </c>
      <c r="C2366" s="5">
        <v>44975</v>
      </c>
      <c r="D2366" s="8">
        <v>44975</v>
      </c>
      <c r="E2366" s="8">
        <f>IF(B2366="Inactive", EDATE(D2366,K2366), "")</f>
        <v>45064</v>
      </c>
      <c r="F2366" t="s">
        <v>12</v>
      </c>
      <c r="G2366">
        <v>16.8</v>
      </c>
      <c r="H2366" t="str" cm="1">
        <f t="array" ref="H2366">_xlfn.IFS(G2366&gt;=20,"20-25", G2366&gt;=15,"15-20", G2366&gt;=10,"10-15", G2366&gt;=5,"5-10", G2366&gt;=1,"1-5", G2366&lt;1,"Less than 1")</f>
        <v>15-20</v>
      </c>
      <c r="I2366">
        <v>7</v>
      </c>
      <c r="J2366">
        <v>5</v>
      </c>
      <c r="K2366" s="6">
        <v>3</v>
      </c>
      <c r="L2366" s="2">
        <v>1.99</v>
      </c>
      <c r="M2366" s="6">
        <v>44</v>
      </c>
      <c r="N2366" t="str" cm="1">
        <f t="array" ref="N2366">_xlfn.IFS(M2366&gt;=50,"50-60 Days", M2366&gt;=40,"40-50 Days", M2366&gt;=30, "30-40 Days", M2366&gt;=20, "20-30 Days", M2366&gt;=10, "10-20 Days", M2366&gt;=0, "0-10 Days")</f>
        <v>40-50 Days</v>
      </c>
    </row>
    <row r="2367" spans="1:14">
      <c r="A2367">
        <v>2366</v>
      </c>
      <c r="B2367" t="s">
        <v>29</v>
      </c>
      <c r="C2367" s="5">
        <v>44943</v>
      </c>
      <c r="D2367" s="8">
        <v>44943</v>
      </c>
      <c r="E2367" s="8" t="str">
        <f>IF(B2367="Inactive", EDATE(D2367,K2367), "")</f>
        <v/>
      </c>
      <c r="F2367" t="s">
        <v>10</v>
      </c>
      <c r="G2367">
        <v>24.8</v>
      </c>
      <c r="H2367" t="str" cm="1">
        <f t="array" ref="H2367">_xlfn.IFS(G2367&gt;=20,"20-25", G2367&gt;=15,"15-20", G2367&gt;=10,"10-15", G2367&gt;=5,"5-10", G2367&gt;=1,"1-5", G2367&lt;1,"Less than 1")</f>
        <v>20-25</v>
      </c>
      <c r="I2367">
        <v>1</v>
      </c>
      <c r="J2367">
        <v>2</v>
      </c>
      <c r="K2367" s="6">
        <v>8</v>
      </c>
      <c r="L2367" s="2">
        <v>6.99</v>
      </c>
      <c r="M2367" s="6">
        <v>18</v>
      </c>
      <c r="N2367" t="str" cm="1">
        <f t="array" ref="N2367">_xlfn.IFS(M2367&gt;=50,"50-60 Days", M2367&gt;=40,"40-50 Days", M2367&gt;=30, "30-40 Days", M2367&gt;=20, "20-30 Days", M2367&gt;=10, "10-20 Days", M2367&gt;=0, "0-10 Days")</f>
        <v>10-20 Days</v>
      </c>
    </row>
    <row r="2368" spans="1:14">
      <c r="A2368">
        <v>2367</v>
      </c>
      <c r="B2368" t="s">
        <v>28</v>
      </c>
      <c r="C2368" s="5">
        <v>45513</v>
      </c>
      <c r="D2368" s="8">
        <v>45513</v>
      </c>
      <c r="E2368" s="8">
        <f>IF(B2368="Inactive", EDATE(D2368,K2368), "")</f>
        <v>45817</v>
      </c>
      <c r="F2368" t="s">
        <v>10</v>
      </c>
      <c r="G2368">
        <v>24.8</v>
      </c>
      <c r="H2368" t="str" cm="1">
        <f t="array" ref="H2368">_xlfn.IFS(G2368&gt;=20,"20-25", G2368&gt;=15,"15-20", G2368&gt;=10,"10-15", G2368&gt;=5,"5-10", G2368&gt;=1,"1-5", G2368&lt;1,"Less than 1")</f>
        <v>20-25</v>
      </c>
      <c r="I2368">
        <v>2</v>
      </c>
      <c r="J2368">
        <v>3</v>
      </c>
      <c r="K2368" s="6">
        <v>10</v>
      </c>
      <c r="L2368" s="2">
        <v>6.99</v>
      </c>
      <c r="M2368" s="6">
        <v>48</v>
      </c>
      <c r="N2368" t="str" cm="1">
        <f t="array" ref="N2368">_xlfn.IFS(M2368&gt;=50,"50-60 Days", M2368&gt;=40,"40-50 Days", M2368&gt;=30, "30-40 Days", M2368&gt;=20, "20-30 Days", M2368&gt;=10, "10-20 Days", M2368&gt;=0, "0-10 Days")</f>
        <v>40-50 Days</v>
      </c>
    </row>
    <row r="2369" spans="1:14">
      <c r="A2369">
        <v>2368</v>
      </c>
      <c r="B2369" t="s">
        <v>29</v>
      </c>
      <c r="C2369" s="5">
        <v>45584</v>
      </c>
      <c r="D2369" s="8">
        <v>45584</v>
      </c>
      <c r="E2369" s="8" t="str">
        <f>IF(B2369="Inactive", EDATE(D2369,K2369), "")</f>
        <v/>
      </c>
      <c r="F2369" t="s">
        <v>10</v>
      </c>
      <c r="G2369">
        <v>19.3</v>
      </c>
      <c r="H2369" t="str" cm="1">
        <f t="array" ref="H2369">_xlfn.IFS(G2369&gt;=20,"20-25", G2369&gt;=15,"15-20", G2369&gt;=10,"10-15", G2369&gt;=5,"5-10", G2369&gt;=1,"1-5", G2369&lt;1,"Less than 1")</f>
        <v>15-20</v>
      </c>
      <c r="I2369">
        <v>6</v>
      </c>
      <c r="J2369">
        <v>5</v>
      </c>
      <c r="K2369" s="6">
        <v>9</v>
      </c>
      <c r="L2369" s="2">
        <v>6.99</v>
      </c>
      <c r="M2369" s="6">
        <v>18</v>
      </c>
      <c r="N2369" t="str" cm="1">
        <f t="array" ref="N2369">_xlfn.IFS(M2369&gt;=50,"50-60 Days", M2369&gt;=40,"40-50 Days", M2369&gt;=30, "30-40 Days", M2369&gt;=20, "20-30 Days", M2369&gt;=10, "10-20 Days", M2369&gt;=0, "0-10 Days")</f>
        <v>10-20 Days</v>
      </c>
    </row>
    <row r="2370" spans="1:14">
      <c r="A2370">
        <v>2369</v>
      </c>
      <c r="B2370" t="s">
        <v>28</v>
      </c>
      <c r="C2370" s="5">
        <v>45301</v>
      </c>
      <c r="D2370" s="8">
        <v>45301</v>
      </c>
      <c r="E2370" s="8">
        <f>IF(B2370="Inactive", EDATE(D2370,K2370), "")</f>
        <v>45606</v>
      </c>
      <c r="F2370" t="s">
        <v>10</v>
      </c>
      <c r="G2370">
        <v>2.7</v>
      </c>
      <c r="H2370" t="str" cm="1">
        <f t="array" ref="H2370">_xlfn.IFS(G2370&gt;=20,"20-25", G2370&gt;=15,"15-20", G2370&gt;=10,"10-15", G2370&gt;=5,"5-10", G2370&gt;=1,"1-5", G2370&lt;1,"Less than 1")</f>
        <v>1-5</v>
      </c>
      <c r="I2370">
        <v>8</v>
      </c>
      <c r="J2370">
        <v>2</v>
      </c>
      <c r="K2370" s="6">
        <v>10</v>
      </c>
      <c r="L2370" s="2">
        <v>6.99</v>
      </c>
      <c r="M2370" s="6">
        <v>9</v>
      </c>
      <c r="N2370" t="str" cm="1">
        <f t="array" ref="N2370">_xlfn.IFS(M2370&gt;=50,"50-60 Days", M2370&gt;=40,"40-50 Days", M2370&gt;=30, "30-40 Days", M2370&gt;=20, "20-30 Days", M2370&gt;=10, "10-20 Days", M2370&gt;=0, "0-10 Days")</f>
        <v>0-10 Days</v>
      </c>
    </row>
    <row r="2371" spans="1:14">
      <c r="A2371">
        <v>2370</v>
      </c>
      <c r="B2371" t="s">
        <v>29</v>
      </c>
      <c r="C2371" s="5">
        <v>45228</v>
      </c>
      <c r="D2371" s="8">
        <v>45228</v>
      </c>
      <c r="E2371" s="8" t="str">
        <f>IF(B2371="Inactive", EDATE(D2371,K2371), "")</f>
        <v/>
      </c>
      <c r="F2371" t="s">
        <v>10</v>
      </c>
      <c r="G2371">
        <v>16.100000000000001</v>
      </c>
      <c r="H2371" t="str" cm="1">
        <f t="array" ref="H2371">_xlfn.IFS(G2371&gt;=20,"20-25", G2371&gt;=15,"15-20", G2371&gt;=10,"10-15", G2371&gt;=5,"5-10", G2371&gt;=1,"1-5", G2371&lt;1,"Less than 1")</f>
        <v>15-20</v>
      </c>
      <c r="I2371">
        <v>3</v>
      </c>
      <c r="J2371">
        <v>1</v>
      </c>
      <c r="K2371" s="6">
        <v>9</v>
      </c>
      <c r="L2371" s="2">
        <v>6.99</v>
      </c>
      <c r="M2371" s="6">
        <v>21</v>
      </c>
      <c r="N2371" t="str" cm="1">
        <f t="array" ref="N2371">_xlfn.IFS(M2371&gt;=50,"50-60 Days", M2371&gt;=40,"40-50 Days", M2371&gt;=30, "30-40 Days", M2371&gt;=20, "20-30 Days", M2371&gt;=10, "10-20 Days", M2371&gt;=0, "0-10 Days")</f>
        <v>20-30 Days</v>
      </c>
    </row>
    <row r="2372" spans="1:14">
      <c r="A2372">
        <v>2371</v>
      </c>
      <c r="B2372" t="s">
        <v>28</v>
      </c>
      <c r="C2372" s="5">
        <v>45116</v>
      </c>
      <c r="D2372" s="8">
        <v>45116</v>
      </c>
      <c r="E2372" s="8">
        <f>IF(B2372="Inactive", EDATE(D2372,K2372), "")</f>
        <v>45452</v>
      </c>
      <c r="F2372" t="s">
        <v>12</v>
      </c>
      <c r="G2372">
        <v>22.2</v>
      </c>
      <c r="H2372" t="str" cm="1">
        <f t="array" ref="H2372">_xlfn.IFS(G2372&gt;=20,"20-25", G2372&gt;=15,"15-20", G2372&gt;=10,"10-15", G2372&gt;=5,"5-10", G2372&gt;=1,"1-5", G2372&lt;1,"Less than 1")</f>
        <v>20-25</v>
      </c>
      <c r="I2372">
        <v>3</v>
      </c>
      <c r="J2372">
        <v>1</v>
      </c>
      <c r="K2372" s="6">
        <v>11</v>
      </c>
      <c r="L2372" s="2">
        <v>1.99</v>
      </c>
      <c r="M2372" s="6">
        <v>56</v>
      </c>
      <c r="N2372" t="str" cm="1">
        <f t="array" ref="N2372">_xlfn.IFS(M2372&gt;=50,"50-60 Days", M2372&gt;=40,"40-50 Days", M2372&gt;=30, "30-40 Days", M2372&gt;=20, "20-30 Days", M2372&gt;=10, "10-20 Days", M2372&gt;=0, "0-10 Days")</f>
        <v>50-60 Days</v>
      </c>
    </row>
    <row r="2373" spans="1:14">
      <c r="A2373">
        <v>2372</v>
      </c>
      <c r="B2373" t="s">
        <v>28</v>
      </c>
      <c r="C2373" s="5">
        <v>44983</v>
      </c>
      <c r="D2373" s="8">
        <v>44983</v>
      </c>
      <c r="E2373" s="8">
        <f>IF(B2373="Inactive", EDATE(D2373,K2373), "")</f>
        <v>45195</v>
      </c>
      <c r="F2373" t="s">
        <v>12</v>
      </c>
      <c r="G2373">
        <v>19.600000000000001</v>
      </c>
      <c r="H2373" t="str" cm="1">
        <f t="array" ref="H2373">_xlfn.IFS(G2373&gt;=20,"20-25", G2373&gt;=15,"15-20", G2373&gt;=10,"10-15", G2373&gt;=5,"5-10", G2373&gt;=1,"1-5", G2373&lt;1,"Less than 1")</f>
        <v>15-20</v>
      </c>
      <c r="I2373">
        <v>6</v>
      </c>
      <c r="J2373">
        <v>3</v>
      </c>
      <c r="K2373" s="6">
        <v>7</v>
      </c>
      <c r="L2373" s="2">
        <v>1.99</v>
      </c>
      <c r="M2373" s="6">
        <v>36</v>
      </c>
      <c r="N2373" t="str" cm="1">
        <f t="array" ref="N2373">_xlfn.IFS(M2373&gt;=50,"50-60 Days", M2373&gt;=40,"40-50 Days", M2373&gt;=30, "30-40 Days", M2373&gt;=20, "20-30 Days", M2373&gt;=10, "10-20 Days", M2373&gt;=0, "0-10 Days")</f>
        <v>30-40 Days</v>
      </c>
    </row>
    <row r="2374" spans="1:14">
      <c r="A2374">
        <v>2373</v>
      </c>
      <c r="B2374" t="s">
        <v>29</v>
      </c>
      <c r="C2374" s="5">
        <v>45395</v>
      </c>
      <c r="D2374" s="8">
        <v>45395</v>
      </c>
      <c r="E2374" s="8" t="str">
        <f>IF(B2374="Inactive", EDATE(D2374,K2374), "")</f>
        <v/>
      </c>
      <c r="F2374" t="s">
        <v>14</v>
      </c>
      <c r="G2374">
        <v>24.8</v>
      </c>
      <c r="H2374" t="str" cm="1">
        <f t="array" ref="H2374">_xlfn.IFS(G2374&gt;=20,"20-25", G2374&gt;=15,"15-20", G2374&gt;=10,"10-15", G2374&gt;=5,"5-10", G2374&gt;=1,"1-5", G2374&lt;1,"Less than 1")</f>
        <v>20-25</v>
      </c>
      <c r="I2374">
        <v>7</v>
      </c>
      <c r="J2374">
        <v>1</v>
      </c>
      <c r="K2374" s="6">
        <v>1</v>
      </c>
      <c r="L2374" s="2">
        <v>3.99</v>
      </c>
      <c r="M2374" s="6">
        <v>25</v>
      </c>
      <c r="N2374" t="str" cm="1">
        <f t="array" ref="N2374">_xlfn.IFS(M2374&gt;=50,"50-60 Days", M2374&gt;=40,"40-50 Days", M2374&gt;=30, "30-40 Days", M2374&gt;=20, "20-30 Days", M2374&gt;=10, "10-20 Days", M2374&gt;=0, "0-10 Days")</f>
        <v>20-30 Days</v>
      </c>
    </row>
    <row r="2375" spans="1:14">
      <c r="A2375">
        <v>2374</v>
      </c>
      <c r="B2375" t="s">
        <v>28</v>
      </c>
      <c r="C2375" s="5">
        <v>45160</v>
      </c>
      <c r="D2375" s="8">
        <v>45160</v>
      </c>
      <c r="E2375" s="8">
        <f>IF(B2375="Inactive", EDATE(D2375,K2375), "")</f>
        <v>45191</v>
      </c>
      <c r="F2375" t="s">
        <v>14</v>
      </c>
      <c r="G2375">
        <v>16.2</v>
      </c>
      <c r="H2375" t="str" cm="1">
        <f t="array" ref="H2375">_xlfn.IFS(G2375&gt;=20,"20-25", G2375&gt;=15,"15-20", G2375&gt;=10,"10-15", G2375&gt;=5,"5-10", G2375&gt;=1,"1-5", G2375&lt;1,"Less than 1")</f>
        <v>15-20</v>
      </c>
      <c r="I2375">
        <v>2</v>
      </c>
      <c r="J2375">
        <v>5</v>
      </c>
      <c r="K2375" s="6">
        <v>1</v>
      </c>
      <c r="L2375" s="2">
        <v>3.99</v>
      </c>
      <c r="M2375" s="6">
        <v>13</v>
      </c>
      <c r="N2375" t="str" cm="1">
        <f t="array" ref="N2375">_xlfn.IFS(M2375&gt;=50,"50-60 Days", M2375&gt;=40,"40-50 Days", M2375&gt;=30, "30-40 Days", M2375&gt;=20, "20-30 Days", M2375&gt;=10, "10-20 Days", M2375&gt;=0, "0-10 Days")</f>
        <v>10-20 Days</v>
      </c>
    </row>
    <row r="2376" spans="1:14">
      <c r="A2376">
        <v>2375</v>
      </c>
      <c r="B2376" t="s">
        <v>29</v>
      </c>
      <c r="C2376" s="5">
        <v>45459</v>
      </c>
      <c r="D2376" s="8">
        <v>45459</v>
      </c>
      <c r="E2376" s="8" t="str">
        <f>IF(B2376="Inactive", EDATE(D2376,K2376), "")</f>
        <v/>
      </c>
      <c r="F2376" t="s">
        <v>10</v>
      </c>
      <c r="G2376">
        <v>8.5</v>
      </c>
      <c r="H2376" t="str" cm="1">
        <f t="array" ref="H2376">_xlfn.IFS(G2376&gt;=20,"20-25", G2376&gt;=15,"15-20", G2376&gt;=10,"10-15", G2376&gt;=5,"5-10", G2376&gt;=1,"1-5", G2376&lt;1,"Less than 1")</f>
        <v>5-10</v>
      </c>
      <c r="I2376">
        <v>5</v>
      </c>
      <c r="J2376">
        <v>5</v>
      </c>
      <c r="K2376" s="6">
        <v>5</v>
      </c>
      <c r="L2376" s="2">
        <v>6.99</v>
      </c>
      <c r="M2376" s="6">
        <v>15</v>
      </c>
      <c r="N2376" t="str" cm="1">
        <f t="array" ref="N2376">_xlfn.IFS(M2376&gt;=50,"50-60 Days", M2376&gt;=40,"40-50 Days", M2376&gt;=30, "30-40 Days", M2376&gt;=20, "20-30 Days", M2376&gt;=10, "10-20 Days", M2376&gt;=0, "0-10 Days")</f>
        <v>10-20 Days</v>
      </c>
    </row>
    <row r="2377" spans="1:14">
      <c r="A2377">
        <v>2376</v>
      </c>
      <c r="B2377" t="s">
        <v>28</v>
      </c>
      <c r="C2377" s="5">
        <v>45344</v>
      </c>
      <c r="D2377" s="8">
        <v>45344</v>
      </c>
      <c r="E2377" s="8">
        <f>IF(B2377="Inactive", EDATE(D2377,K2377), "")</f>
        <v>45710</v>
      </c>
      <c r="F2377" t="s">
        <v>12</v>
      </c>
      <c r="G2377">
        <v>19</v>
      </c>
      <c r="H2377" t="str" cm="1">
        <f t="array" ref="H2377">_xlfn.IFS(G2377&gt;=20,"20-25", G2377&gt;=15,"15-20", G2377&gt;=10,"10-15", G2377&gt;=5,"5-10", G2377&gt;=1,"1-5", G2377&lt;1,"Less than 1")</f>
        <v>15-20</v>
      </c>
      <c r="I2377">
        <v>4</v>
      </c>
      <c r="J2377">
        <v>0</v>
      </c>
      <c r="K2377" s="6">
        <v>12</v>
      </c>
      <c r="L2377" s="2">
        <v>1.99</v>
      </c>
      <c r="M2377" s="6">
        <v>57</v>
      </c>
      <c r="N2377" t="str" cm="1">
        <f t="array" ref="N2377">_xlfn.IFS(M2377&gt;=50,"50-60 Days", M2377&gt;=40,"40-50 Days", M2377&gt;=30, "30-40 Days", M2377&gt;=20, "20-30 Days", M2377&gt;=10, "10-20 Days", M2377&gt;=0, "0-10 Days")</f>
        <v>50-60 Days</v>
      </c>
    </row>
    <row r="2378" spans="1:14">
      <c r="A2378">
        <v>2377</v>
      </c>
      <c r="B2378" t="s">
        <v>29</v>
      </c>
      <c r="C2378" s="5">
        <v>45077</v>
      </c>
      <c r="D2378" s="8">
        <v>45077</v>
      </c>
      <c r="E2378" s="8" t="str">
        <f>IF(B2378="Inactive", EDATE(D2378,K2378), "")</f>
        <v/>
      </c>
      <c r="F2378" t="s">
        <v>10</v>
      </c>
      <c r="G2378">
        <v>24.5</v>
      </c>
      <c r="H2378" t="str" cm="1">
        <f t="array" ref="H2378">_xlfn.IFS(G2378&gt;=20,"20-25", G2378&gt;=15,"15-20", G2378&gt;=10,"10-15", G2378&gt;=5,"5-10", G2378&gt;=1,"1-5", G2378&lt;1,"Less than 1")</f>
        <v>20-25</v>
      </c>
      <c r="I2378">
        <v>6</v>
      </c>
      <c r="J2378">
        <v>2</v>
      </c>
      <c r="K2378" s="6">
        <v>3</v>
      </c>
      <c r="L2378" s="2">
        <v>6.99</v>
      </c>
      <c r="M2378" s="6">
        <v>1</v>
      </c>
      <c r="N2378" t="str" cm="1">
        <f t="array" ref="N2378">_xlfn.IFS(M2378&gt;=50,"50-60 Days", M2378&gt;=40,"40-50 Days", M2378&gt;=30, "30-40 Days", M2378&gt;=20, "20-30 Days", M2378&gt;=10, "10-20 Days", M2378&gt;=0, "0-10 Days")</f>
        <v>0-10 Days</v>
      </c>
    </row>
    <row r="2379" spans="1:14">
      <c r="A2379">
        <v>2378</v>
      </c>
      <c r="B2379" t="s">
        <v>28</v>
      </c>
      <c r="C2379" s="5">
        <v>45490</v>
      </c>
      <c r="D2379" s="8">
        <v>45490</v>
      </c>
      <c r="E2379" s="8">
        <f>IF(B2379="Inactive", EDATE(D2379,K2379), "")</f>
        <v>45733</v>
      </c>
      <c r="F2379" t="s">
        <v>14</v>
      </c>
      <c r="G2379">
        <v>13.8</v>
      </c>
      <c r="H2379" t="str" cm="1">
        <f t="array" ref="H2379">_xlfn.IFS(G2379&gt;=20,"20-25", G2379&gt;=15,"15-20", G2379&gt;=10,"10-15", G2379&gt;=5,"5-10", G2379&gt;=1,"1-5", G2379&lt;1,"Less than 1")</f>
        <v>10-15</v>
      </c>
      <c r="I2379">
        <v>2</v>
      </c>
      <c r="J2379">
        <v>3</v>
      </c>
      <c r="K2379" s="6">
        <v>8</v>
      </c>
      <c r="L2379" s="2">
        <v>3.99</v>
      </c>
      <c r="M2379" s="6">
        <v>42</v>
      </c>
      <c r="N2379" t="str" cm="1">
        <f t="array" ref="N2379">_xlfn.IFS(M2379&gt;=50,"50-60 Days", M2379&gt;=40,"40-50 Days", M2379&gt;=30, "30-40 Days", M2379&gt;=20, "20-30 Days", M2379&gt;=10, "10-20 Days", M2379&gt;=0, "0-10 Days")</f>
        <v>40-50 Days</v>
      </c>
    </row>
    <row r="2380" spans="1:14">
      <c r="A2380">
        <v>2379</v>
      </c>
      <c r="B2380" t="s">
        <v>29</v>
      </c>
      <c r="C2380" s="5">
        <v>45363</v>
      </c>
      <c r="D2380" s="8">
        <v>45363</v>
      </c>
      <c r="E2380" s="8" t="str">
        <f>IF(B2380="Inactive", EDATE(D2380,K2380), "")</f>
        <v/>
      </c>
      <c r="F2380" t="s">
        <v>14</v>
      </c>
      <c r="G2380">
        <v>8.9</v>
      </c>
      <c r="H2380" t="str" cm="1">
        <f t="array" ref="H2380">_xlfn.IFS(G2380&gt;=20,"20-25", G2380&gt;=15,"15-20", G2380&gt;=10,"10-15", G2380&gt;=5,"5-10", G2380&gt;=1,"1-5", G2380&lt;1,"Less than 1")</f>
        <v>5-10</v>
      </c>
      <c r="I2380">
        <v>1</v>
      </c>
      <c r="J2380">
        <v>1</v>
      </c>
      <c r="K2380" s="6">
        <v>9</v>
      </c>
      <c r="L2380" s="2">
        <v>3.99</v>
      </c>
      <c r="M2380" s="6">
        <v>0</v>
      </c>
      <c r="N2380" t="str" cm="1">
        <f t="array" ref="N2380">_xlfn.IFS(M2380&gt;=50,"50-60 Days", M2380&gt;=40,"40-50 Days", M2380&gt;=30, "30-40 Days", M2380&gt;=20, "20-30 Days", M2380&gt;=10, "10-20 Days", M2380&gt;=0, "0-10 Days")</f>
        <v>0-10 Days</v>
      </c>
    </row>
    <row r="2381" spans="1:14">
      <c r="A2381">
        <v>2380</v>
      </c>
      <c r="B2381" t="s">
        <v>28</v>
      </c>
      <c r="C2381" s="5">
        <v>45050</v>
      </c>
      <c r="D2381" s="8">
        <v>45050</v>
      </c>
      <c r="E2381" s="8">
        <f>IF(B2381="Inactive", EDATE(D2381,K2381), "")</f>
        <v>45173</v>
      </c>
      <c r="F2381" t="s">
        <v>12</v>
      </c>
      <c r="G2381">
        <v>19.3</v>
      </c>
      <c r="H2381" t="str" cm="1">
        <f t="array" ref="H2381">_xlfn.IFS(G2381&gt;=20,"20-25", G2381&gt;=15,"15-20", G2381&gt;=10,"10-15", G2381&gt;=5,"5-10", G2381&gt;=1,"1-5", G2381&lt;1,"Less than 1")</f>
        <v>15-20</v>
      </c>
      <c r="I2381">
        <v>8</v>
      </c>
      <c r="J2381">
        <v>2</v>
      </c>
      <c r="K2381" s="6">
        <v>4</v>
      </c>
      <c r="L2381" s="2">
        <v>1.99</v>
      </c>
      <c r="M2381" s="6">
        <v>36</v>
      </c>
      <c r="N2381" t="str" cm="1">
        <f t="array" ref="N2381">_xlfn.IFS(M2381&gt;=50,"50-60 Days", M2381&gt;=40,"40-50 Days", M2381&gt;=30, "30-40 Days", M2381&gt;=20, "20-30 Days", M2381&gt;=10, "10-20 Days", M2381&gt;=0, "0-10 Days")</f>
        <v>30-40 Days</v>
      </c>
    </row>
    <row r="2382" spans="1:14">
      <c r="A2382">
        <v>2381</v>
      </c>
      <c r="B2382" t="s">
        <v>28</v>
      </c>
      <c r="C2382" s="5">
        <v>45245</v>
      </c>
      <c r="D2382" s="8">
        <v>45245</v>
      </c>
      <c r="E2382" s="8">
        <f>IF(B2382="Inactive", EDATE(D2382,K2382), "")</f>
        <v>45397</v>
      </c>
      <c r="F2382" t="s">
        <v>14</v>
      </c>
      <c r="G2382">
        <v>19.5</v>
      </c>
      <c r="H2382" t="str" cm="1">
        <f t="array" ref="H2382">_xlfn.IFS(G2382&gt;=20,"20-25", G2382&gt;=15,"15-20", G2382&gt;=10,"10-15", G2382&gt;=5,"5-10", G2382&gt;=1,"1-5", G2382&lt;1,"Less than 1")</f>
        <v>15-20</v>
      </c>
      <c r="I2382">
        <v>6</v>
      </c>
      <c r="J2382">
        <v>4</v>
      </c>
      <c r="K2382" s="6">
        <v>5</v>
      </c>
      <c r="L2382" s="2">
        <v>3.99</v>
      </c>
      <c r="M2382" s="6">
        <v>9</v>
      </c>
      <c r="N2382" t="str" cm="1">
        <f t="array" ref="N2382">_xlfn.IFS(M2382&gt;=50,"50-60 Days", M2382&gt;=40,"40-50 Days", M2382&gt;=30, "30-40 Days", M2382&gt;=20, "20-30 Days", M2382&gt;=10, "10-20 Days", M2382&gt;=0, "0-10 Days")</f>
        <v>0-10 Days</v>
      </c>
    </row>
    <row r="2383" spans="1:14">
      <c r="A2383">
        <v>2382</v>
      </c>
      <c r="B2383" t="s">
        <v>29</v>
      </c>
      <c r="C2383" s="5">
        <v>45416</v>
      </c>
      <c r="D2383" s="8">
        <v>45416</v>
      </c>
      <c r="E2383" s="8" t="str">
        <f>IF(B2383="Inactive", EDATE(D2383,K2383), "")</f>
        <v/>
      </c>
      <c r="F2383" t="s">
        <v>10</v>
      </c>
      <c r="G2383">
        <v>15.8</v>
      </c>
      <c r="H2383" t="str" cm="1">
        <f t="array" ref="H2383">_xlfn.IFS(G2383&gt;=20,"20-25", G2383&gt;=15,"15-20", G2383&gt;=10,"10-15", G2383&gt;=5,"5-10", G2383&gt;=1,"1-5", G2383&lt;1,"Less than 1")</f>
        <v>15-20</v>
      </c>
      <c r="I2383">
        <v>0</v>
      </c>
      <c r="J2383">
        <v>0</v>
      </c>
      <c r="K2383" s="6">
        <v>6</v>
      </c>
      <c r="L2383" s="2">
        <v>6.99</v>
      </c>
      <c r="M2383" s="6">
        <v>53</v>
      </c>
      <c r="N2383" t="str" cm="1">
        <f t="array" ref="N2383">_xlfn.IFS(M2383&gt;=50,"50-60 Days", M2383&gt;=40,"40-50 Days", M2383&gt;=30, "30-40 Days", M2383&gt;=20, "20-30 Days", M2383&gt;=10, "10-20 Days", M2383&gt;=0, "0-10 Days")</f>
        <v>50-60 Days</v>
      </c>
    </row>
    <row r="2384" spans="1:14">
      <c r="A2384">
        <v>2383</v>
      </c>
      <c r="B2384" t="s">
        <v>28</v>
      </c>
      <c r="C2384" s="5">
        <v>45325</v>
      </c>
      <c r="D2384" s="8">
        <v>45325</v>
      </c>
      <c r="E2384" s="8">
        <f>IF(B2384="Inactive", EDATE(D2384,K2384), "")</f>
        <v>45354</v>
      </c>
      <c r="F2384" t="s">
        <v>12</v>
      </c>
      <c r="G2384">
        <v>0.7</v>
      </c>
      <c r="H2384" t="str" cm="1">
        <f t="array" ref="H2384">_xlfn.IFS(G2384&gt;=20,"20-25", G2384&gt;=15,"15-20", G2384&gt;=10,"10-15", G2384&gt;=5,"5-10", G2384&gt;=1,"1-5", G2384&lt;1,"Less than 1")</f>
        <v>Less than 1</v>
      </c>
      <c r="I2384">
        <v>8</v>
      </c>
      <c r="J2384">
        <v>3</v>
      </c>
      <c r="K2384" s="6">
        <v>1</v>
      </c>
      <c r="L2384" s="2">
        <v>1.99</v>
      </c>
      <c r="M2384" s="6">
        <v>38</v>
      </c>
      <c r="N2384" t="str" cm="1">
        <f t="array" ref="N2384">_xlfn.IFS(M2384&gt;=50,"50-60 Days", M2384&gt;=40,"40-50 Days", M2384&gt;=30, "30-40 Days", M2384&gt;=20, "20-30 Days", M2384&gt;=10, "10-20 Days", M2384&gt;=0, "0-10 Days")</f>
        <v>30-40 Days</v>
      </c>
    </row>
    <row r="2385" spans="1:14">
      <c r="A2385">
        <v>2384</v>
      </c>
      <c r="B2385" t="s">
        <v>28</v>
      </c>
      <c r="C2385" s="5">
        <v>45611</v>
      </c>
      <c r="D2385" s="8">
        <v>45611</v>
      </c>
      <c r="E2385" s="8">
        <f>IF(B2385="Inactive", EDATE(D2385,K2385), "")</f>
        <v>45672</v>
      </c>
      <c r="F2385" t="s">
        <v>12</v>
      </c>
      <c r="G2385">
        <v>3.4</v>
      </c>
      <c r="H2385" t="str" cm="1">
        <f t="array" ref="H2385">_xlfn.IFS(G2385&gt;=20,"20-25", G2385&gt;=15,"15-20", G2385&gt;=10,"10-15", G2385&gt;=5,"5-10", G2385&gt;=1,"1-5", G2385&lt;1,"Less than 1")</f>
        <v>1-5</v>
      </c>
      <c r="I2385">
        <v>6</v>
      </c>
      <c r="J2385">
        <v>4</v>
      </c>
      <c r="K2385" s="6">
        <v>2</v>
      </c>
      <c r="L2385" s="2">
        <v>1.99</v>
      </c>
      <c r="M2385" s="6">
        <v>12</v>
      </c>
      <c r="N2385" t="str" cm="1">
        <f t="array" ref="N2385">_xlfn.IFS(M2385&gt;=50,"50-60 Days", M2385&gt;=40,"40-50 Days", M2385&gt;=30, "30-40 Days", M2385&gt;=20, "20-30 Days", M2385&gt;=10, "10-20 Days", M2385&gt;=0, "0-10 Days")</f>
        <v>10-20 Days</v>
      </c>
    </row>
    <row r="2386" spans="1:14">
      <c r="A2386">
        <v>2385</v>
      </c>
      <c r="B2386" t="s">
        <v>28</v>
      </c>
      <c r="C2386" s="5">
        <v>45467</v>
      </c>
      <c r="D2386" s="8">
        <v>45467</v>
      </c>
      <c r="E2386" s="8">
        <f>IF(B2386="Inactive", EDATE(D2386,K2386), "")</f>
        <v>45712</v>
      </c>
      <c r="F2386" t="s">
        <v>12</v>
      </c>
      <c r="G2386">
        <v>20.7</v>
      </c>
      <c r="H2386" t="str" cm="1">
        <f t="array" ref="H2386">_xlfn.IFS(G2386&gt;=20,"20-25", G2386&gt;=15,"15-20", G2386&gt;=10,"10-15", G2386&gt;=5,"5-10", G2386&gt;=1,"1-5", G2386&lt;1,"Less than 1")</f>
        <v>20-25</v>
      </c>
      <c r="I2386">
        <v>0</v>
      </c>
      <c r="J2386">
        <v>0</v>
      </c>
      <c r="K2386" s="6">
        <v>8</v>
      </c>
      <c r="L2386" s="2">
        <v>1.99</v>
      </c>
      <c r="M2386" s="6">
        <v>60</v>
      </c>
      <c r="N2386" t="str" cm="1">
        <f t="array" ref="N2386">_xlfn.IFS(M2386&gt;=50,"50-60 Days", M2386&gt;=40,"40-50 Days", M2386&gt;=30, "30-40 Days", M2386&gt;=20, "20-30 Days", M2386&gt;=10, "10-20 Days", M2386&gt;=0, "0-10 Days")</f>
        <v>50-60 Days</v>
      </c>
    </row>
    <row r="2387" spans="1:14">
      <c r="A2387">
        <v>2386</v>
      </c>
      <c r="B2387" t="s">
        <v>28</v>
      </c>
      <c r="C2387" s="5">
        <v>45344</v>
      </c>
      <c r="D2387" s="8">
        <v>45344</v>
      </c>
      <c r="E2387" s="8">
        <f>IF(B2387="Inactive", EDATE(D2387,K2387), "")</f>
        <v>45526</v>
      </c>
      <c r="F2387" t="s">
        <v>12</v>
      </c>
      <c r="G2387">
        <v>2.5</v>
      </c>
      <c r="H2387" t="str" cm="1">
        <f t="array" ref="H2387">_xlfn.IFS(G2387&gt;=20,"20-25", G2387&gt;=15,"15-20", G2387&gt;=10,"10-15", G2387&gt;=5,"5-10", G2387&gt;=1,"1-5", G2387&lt;1,"Less than 1")</f>
        <v>1-5</v>
      </c>
      <c r="I2387">
        <v>1</v>
      </c>
      <c r="J2387">
        <v>5</v>
      </c>
      <c r="K2387" s="6">
        <v>6</v>
      </c>
      <c r="L2387" s="2">
        <v>1.99</v>
      </c>
      <c r="M2387" s="6">
        <v>20</v>
      </c>
      <c r="N2387" t="str" cm="1">
        <f t="array" ref="N2387">_xlfn.IFS(M2387&gt;=50,"50-60 Days", M2387&gt;=40,"40-50 Days", M2387&gt;=30, "30-40 Days", M2387&gt;=20, "20-30 Days", M2387&gt;=10, "10-20 Days", M2387&gt;=0, "0-10 Days")</f>
        <v>20-30 Days</v>
      </c>
    </row>
    <row r="2388" spans="1:14">
      <c r="A2388">
        <v>2387</v>
      </c>
      <c r="B2388" t="s">
        <v>28</v>
      </c>
      <c r="C2388" s="5">
        <v>44978</v>
      </c>
      <c r="D2388" s="8">
        <v>44978</v>
      </c>
      <c r="E2388" s="8">
        <f>IF(B2388="Inactive", EDATE(D2388,K2388), "")</f>
        <v>45343</v>
      </c>
      <c r="F2388" t="s">
        <v>12</v>
      </c>
      <c r="G2388">
        <v>5.3</v>
      </c>
      <c r="H2388" t="str" cm="1">
        <f t="array" ref="H2388">_xlfn.IFS(G2388&gt;=20,"20-25", G2388&gt;=15,"15-20", G2388&gt;=10,"10-15", G2388&gt;=5,"5-10", G2388&gt;=1,"1-5", G2388&lt;1,"Less than 1")</f>
        <v>5-10</v>
      </c>
      <c r="I2388">
        <v>7</v>
      </c>
      <c r="J2388">
        <v>5</v>
      </c>
      <c r="K2388" s="6">
        <v>12</v>
      </c>
      <c r="L2388" s="2">
        <v>1.99</v>
      </c>
      <c r="M2388" s="6">
        <v>26</v>
      </c>
      <c r="N2388" t="str" cm="1">
        <f t="array" ref="N2388">_xlfn.IFS(M2388&gt;=50,"50-60 Days", M2388&gt;=40,"40-50 Days", M2388&gt;=30, "30-40 Days", M2388&gt;=20, "20-30 Days", M2388&gt;=10, "10-20 Days", M2388&gt;=0, "0-10 Days")</f>
        <v>20-30 Days</v>
      </c>
    </row>
    <row r="2389" spans="1:14">
      <c r="A2389">
        <v>2388</v>
      </c>
      <c r="B2389" t="s">
        <v>29</v>
      </c>
      <c r="C2389" s="5">
        <v>45378</v>
      </c>
      <c r="D2389" s="8">
        <v>45378</v>
      </c>
      <c r="E2389" s="8" t="str">
        <f>IF(B2389="Inactive", EDATE(D2389,K2389), "")</f>
        <v/>
      </c>
      <c r="F2389" t="s">
        <v>10</v>
      </c>
      <c r="G2389">
        <v>5.9</v>
      </c>
      <c r="H2389" t="str" cm="1">
        <f t="array" ref="H2389">_xlfn.IFS(G2389&gt;=20,"20-25", G2389&gt;=15,"15-20", G2389&gt;=10,"10-15", G2389&gt;=5,"5-10", G2389&gt;=1,"1-5", G2389&lt;1,"Less than 1")</f>
        <v>5-10</v>
      </c>
      <c r="I2389">
        <v>4</v>
      </c>
      <c r="J2389">
        <v>2</v>
      </c>
      <c r="K2389" s="6">
        <v>8</v>
      </c>
      <c r="L2389" s="2">
        <v>6.99</v>
      </c>
      <c r="M2389" s="6">
        <v>1</v>
      </c>
      <c r="N2389" t="str" cm="1">
        <f t="array" ref="N2389">_xlfn.IFS(M2389&gt;=50,"50-60 Days", M2389&gt;=40,"40-50 Days", M2389&gt;=30, "30-40 Days", M2389&gt;=20, "20-30 Days", M2389&gt;=10, "10-20 Days", M2389&gt;=0, "0-10 Days")</f>
        <v>0-10 Days</v>
      </c>
    </row>
    <row r="2390" spans="1:14">
      <c r="A2390">
        <v>2389</v>
      </c>
      <c r="B2390" t="s">
        <v>28</v>
      </c>
      <c r="C2390" s="5">
        <v>45070</v>
      </c>
      <c r="D2390" s="8">
        <v>45070</v>
      </c>
      <c r="E2390" s="8">
        <f>IF(B2390="Inactive", EDATE(D2390,K2390), "")</f>
        <v>45284</v>
      </c>
      <c r="F2390" t="s">
        <v>14</v>
      </c>
      <c r="G2390">
        <v>10.1</v>
      </c>
      <c r="H2390" t="str" cm="1">
        <f t="array" ref="H2390">_xlfn.IFS(G2390&gt;=20,"20-25", G2390&gt;=15,"15-20", G2390&gt;=10,"10-15", G2390&gt;=5,"5-10", G2390&gt;=1,"1-5", G2390&lt;1,"Less than 1")</f>
        <v>10-15</v>
      </c>
      <c r="I2390">
        <v>0</v>
      </c>
      <c r="J2390">
        <v>5</v>
      </c>
      <c r="K2390" s="6">
        <v>7</v>
      </c>
      <c r="L2390" s="2">
        <v>3.99</v>
      </c>
      <c r="M2390" s="6">
        <v>60</v>
      </c>
      <c r="N2390" t="str" cm="1">
        <f t="array" ref="N2390">_xlfn.IFS(M2390&gt;=50,"50-60 Days", M2390&gt;=40,"40-50 Days", M2390&gt;=30, "30-40 Days", M2390&gt;=20, "20-30 Days", M2390&gt;=10, "10-20 Days", M2390&gt;=0, "0-10 Days")</f>
        <v>50-60 Days</v>
      </c>
    </row>
    <row r="2391" spans="1:14">
      <c r="A2391">
        <v>2390</v>
      </c>
      <c r="B2391" t="s">
        <v>29</v>
      </c>
      <c r="C2391" s="5">
        <v>45279</v>
      </c>
      <c r="D2391" s="8">
        <v>45279</v>
      </c>
      <c r="E2391" s="8" t="str">
        <f>IF(B2391="Inactive", EDATE(D2391,K2391), "")</f>
        <v/>
      </c>
      <c r="F2391" t="s">
        <v>10</v>
      </c>
      <c r="G2391">
        <v>19.2</v>
      </c>
      <c r="H2391" t="str" cm="1">
        <f t="array" ref="H2391">_xlfn.IFS(G2391&gt;=20,"20-25", G2391&gt;=15,"15-20", G2391&gt;=10,"10-15", G2391&gt;=5,"5-10", G2391&gt;=1,"1-5", G2391&lt;1,"Less than 1")</f>
        <v>15-20</v>
      </c>
      <c r="I2391">
        <v>6</v>
      </c>
      <c r="J2391">
        <v>5</v>
      </c>
      <c r="K2391" s="6">
        <v>9</v>
      </c>
      <c r="L2391" s="2">
        <v>6.99</v>
      </c>
      <c r="M2391" s="6">
        <v>8</v>
      </c>
      <c r="N2391" t="str" cm="1">
        <f t="array" ref="N2391">_xlfn.IFS(M2391&gt;=50,"50-60 Days", M2391&gt;=40,"40-50 Days", M2391&gt;=30, "30-40 Days", M2391&gt;=20, "20-30 Days", M2391&gt;=10, "10-20 Days", M2391&gt;=0, "0-10 Days")</f>
        <v>0-10 Days</v>
      </c>
    </row>
    <row r="2392" spans="1:14">
      <c r="A2392">
        <v>2391</v>
      </c>
      <c r="B2392" t="s">
        <v>29</v>
      </c>
      <c r="C2392" s="5">
        <v>45320</v>
      </c>
      <c r="D2392" s="8">
        <v>45320</v>
      </c>
      <c r="E2392" s="8" t="str">
        <f>IF(B2392="Inactive", EDATE(D2392,K2392), "")</f>
        <v/>
      </c>
      <c r="F2392" t="s">
        <v>12</v>
      </c>
      <c r="G2392">
        <v>20.100000000000001</v>
      </c>
      <c r="H2392" t="str" cm="1">
        <f t="array" ref="H2392">_xlfn.IFS(G2392&gt;=20,"20-25", G2392&gt;=15,"15-20", G2392&gt;=10,"10-15", G2392&gt;=5,"5-10", G2392&gt;=1,"1-5", G2392&lt;1,"Less than 1")</f>
        <v>20-25</v>
      </c>
      <c r="I2392">
        <v>7</v>
      </c>
      <c r="J2392">
        <v>5</v>
      </c>
      <c r="K2392" s="6">
        <v>12</v>
      </c>
      <c r="L2392" s="2">
        <v>1.99</v>
      </c>
      <c r="M2392" s="6">
        <v>40</v>
      </c>
      <c r="N2392" t="str" cm="1">
        <f t="array" ref="N2392">_xlfn.IFS(M2392&gt;=50,"50-60 Days", M2392&gt;=40,"40-50 Days", M2392&gt;=30, "30-40 Days", M2392&gt;=20, "20-30 Days", M2392&gt;=10, "10-20 Days", M2392&gt;=0, "0-10 Days")</f>
        <v>40-50 Days</v>
      </c>
    </row>
    <row r="2393" spans="1:14">
      <c r="A2393">
        <v>2392</v>
      </c>
      <c r="B2393" t="s">
        <v>29</v>
      </c>
      <c r="C2393" s="5">
        <v>45463</v>
      </c>
      <c r="D2393" s="8">
        <v>45463</v>
      </c>
      <c r="E2393" s="8" t="str">
        <f>IF(B2393="Inactive", EDATE(D2393,K2393), "")</f>
        <v/>
      </c>
      <c r="F2393" t="s">
        <v>12</v>
      </c>
      <c r="G2393">
        <v>14.4</v>
      </c>
      <c r="H2393" t="str" cm="1">
        <f t="array" ref="H2393">_xlfn.IFS(G2393&gt;=20,"20-25", G2393&gt;=15,"15-20", G2393&gt;=10,"10-15", G2393&gt;=5,"5-10", G2393&gt;=1,"1-5", G2393&lt;1,"Less than 1")</f>
        <v>10-15</v>
      </c>
      <c r="I2393">
        <v>1</v>
      </c>
      <c r="J2393">
        <v>2</v>
      </c>
      <c r="K2393" s="6">
        <v>4</v>
      </c>
      <c r="L2393" s="2">
        <v>1.99</v>
      </c>
      <c r="M2393" s="6">
        <v>1</v>
      </c>
      <c r="N2393" t="str" cm="1">
        <f t="array" ref="N2393">_xlfn.IFS(M2393&gt;=50,"50-60 Days", M2393&gt;=40,"40-50 Days", M2393&gt;=30, "30-40 Days", M2393&gt;=20, "20-30 Days", M2393&gt;=10, "10-20 Days", M2393&gt;=0, "0-10 Days")</f>
        <v>0-10 Days</v>
      </c>
    </row>
    <row r="2394" spans="1:14">
      <c r="A2394">
        <v>2393</v>
      </c>
      <c r="B2394" t="s">
        <v>29</v>
      </c>
      <c r="C2394" s="5">
        <v>45018</v>
      </c>
      <c r="D2394" s="8">
        <v>45018</v>
      </c>
      <c r="E2394" s="8" t="str">
        <f>IF(B2394="Inactive", EDATE(D2394,K2394), "")</f>
        <v/>
      </c>
      <c r="F2394" t="s">
        <v>10</v>
      </c>
      <c r="G2394">
        <v>6.9</v>
      </c>
      <c r="H2394" t="str" cm="1">
        <f t="array" ref="H2394">_xlfn.IFS(G2394&gt;=20,"20-25", G2394&gt;=15,"15-20", G2394&gt;=10,"10-15", G2394&gt;=5,"5-10", G2394&gt;=1,"1-5", G2394&lt;1,"Less than 1")</f>
        <v>5-10</v>
      </c>
      <c r="I2394">
        <v>3</v>
      </c>
      <c r="J2394">
        <v>1</v>
      </c>
      <c r="K2394" s="6">
        <v>12</v>
      </c>
      <c r="L2394" s="2">
        <v>6.99</v>
      </c>
      <c r="M2394" s="6">
        <v>12</v>
      </c>
      <c r="N2394" t="str" cm="1">
        <f t="array" ref="N2394">_xlfn.IFS(M2394&gt;=50,"50-60 Days", M2394&gt;=40,"40-50 Days", M2394&gt;=30, "30-40 Days", M2394&gt;=20, "20-30 Days", M2394&gt;=10, "10-20 Days", M2394&gt;=0, "0-10 Days")</f>
        <v>10-20 Days</v>
      </c>
    </row>
    <row r="2395" spans="1:14">
      <c r="A2395">
        <v>2394</v>
      </c>
      <c r="B2395" t="s">
        <v>29</v>
      </c>
      <c r="C2395" s="5">
        <v>45337</v>
      </c>
      <c r="D2395" s="8">
        <v>45337</v>
      </c>
      <c r="E2395" s="8" t="str">
        <f>IF(B2395="Inactive", EDATE(D2395,K2395), "")</f>
        <v/>
      </c>
      <c r="F2395" t="s">
        <v>12</v>
      </c>
      <c r="G2395">
        <v>9.3000000000000007</v>
      </c>
      <c r="H2395" t="str" cm="1">
        <f t="array" ref="H2395">_xlfn.IFS(G2395&gt;=20,"20-25", G2395&gt;=15,"15-20", G2395&gt;=10,"10-15", G2395&gt;=5,"5-10", G2395&gt;=1,"1-5", G2395&lt;1,"Less than 1")</f>
        <v>5-10</v>
      </c>
      <c r="I2395">
        <v>2</v>
      </c>
      <c r="J2395">
        <v>1</v>
      </c>
      <c r="K2395" s="6">
        <v>7</v>
      </c>
      <c r="L2395" s="2">
        <v>1.99</v>
      </c>
      <c r="M2395" s="6">
        <v>22</v>
      </c>
      <c r="N2395" t="str" cm="1">
        <f t="array" ref="N2395">_xlfn.IFS(M2395&gt;=50,"50-60 Days", M2395&gt;=40,"40-50 Days", M2395&gt;=30, "30-40 Days", M2395&gt;=20, "20-30 Days", M2395&gt;=10, "10-20 Days", M2395&gt;=0, "0-10 Days")</f>
        <v>20-30 Days</v>
      </c>
    </row>
    <row r="2396" spans="1:14">
      <c r="A2396">
        <v>2395</v>
      </c>
      <c r="B2396" t="s">
        <v>28</v>
      </c>
      <c r="C2396" s="5">
        <v>45095</v>
      </c>
      <c r="D2396" s="8">
        <v>45095</v>
      </c>
      <c r="E2396" s="8">
        <f>IF(B2396="Inactive", EDATE(D2396,K2396), "")</f>
        <v>45400</v>
      </c>
      <c r="F2396" t="s">
        <v>12</v>
      </c>
      <c r="G2396">
        <v>13.8</v>
      </c>
      <c r="H2396" t="str" cm="1">
        <f t="array" ref="H2396">_xlfn.IFS(G2396&gt;=20,"20-25", G2396&gt;=15,"15-20", G2396&gt;=10,"10-15", G2396&gt;=5,"5-10", G2396&gt;=1,"1-5", G2396&lt;1,"Less than 1")</f>
        <v>10-15</v>
      </c>
      <c r="I2396">
        <v>1</v>
      </c>
      <c r="J2396">
        <v>3</v>
      </c>
      <c r="K2396" s="6">
        <v>10</v>
      </c>
      <c r="L2396" s="2">
        <v>1.99</v>
      </c>
      <c r="M2396" s="6">
        <v>0</v>
      </c>
      <c r="N2396" t="str" cm="1">
        <f t="array" ref="N2396">_xlfn.IFS(M2396&gt;=50,"50-60 Days", M2396&gt;=40,"40-50 Days", M2396&gt;=30, "30-40 Days", M2396&gt;=20, "20-30 Days", M2396&gt;=10, "10-20 Days", M2396&gt;=0, "0-10 Days")</f>
        <v>0-10 Days</v>
      </c>
    </row>
    <row r="2397" spans="1:14">
      <c r="A2397">
        <v>2396</v>
      </c>
      <c r="B2397" t="s">
        <v>28</v>
      </c>
      <c r="C2397" s="5">
        <v>45359</v>
      </c>
      <c r="D2397" s="8">
        <v>45359</v>
      </c>
      <c r="E2397" s="8">
        <f>IF(B2397="Inactive", EDATE(D2397,K2397), "")</f>
        <v>45451</v>
      </c>
      <c r="F2397" t="s">
        <v>10</v>
      </c>
      <c r="G2397">
        <v>2.4</v>
      </c>
      <c r="H2397" t="str" cm="1">
        <f t="array" ref="H2397">_xlfn.IFS(G2397&gt;=20,"20-25", G2397&gt;=15,"15-20", G2397&gt;=10,"10-15", G2397&gt;=5,"5-10", G2397&gt;=1,"1-5", G2397&lt;1,"Less than 1")</f>
        <v>1-5</v>
      </c>
      <c r="I2397">
        <v>2</v>
      </c>
      <c r="J2397">
        <v>0</v>
      </c>
      <c r="K2397" s="6">
        <v>3</v>
      </c>
      <c r="L2397" s="2">
        <v>6.99</v>
      </c>
      <c r="M2397" s="6">
        <v>24</v>
      </c>
      <c r="N2397" t="str" cm="1">
        <f t="array" ref="N2397">_xlfn.IFS(M2397&gt;=50,"50-60 Days", M2397&gt;=40,"40-50 Days", M2397&gt;=30, "30-40 Days", M2397&gt;=20, "20-30 Days", M2397&gt;=10, "10-20 Days", M2397&gt;=0, "0-10 Days")</f>
        <v>20-30 Days</v>
      </c>
    </row>
    <row r="2398" spans="1:14">
      <c r="A2398">
        <v>2397</v>
      </c>
      <c r="B2398" t="s">
        <v>28</v>
      </c>
      <c r="C2398" s="5">
        <v>45514</v>
      </c>
      <c r="D2398" s="8">
        <v>45514</v>
      </c>
      <c r="E2398" s="8">
        <f>IF(B2398="Inactive", EDATE(D2398,K2398), "")</f>
        <v>45848</v>
      </c>
      <c r="F2398" t="s">
        <v>12</v>
      </c>
      <c r="G2398">
        <v>24.5</v>
      </c>
      <c r="H2398" t="str" cm="1">
        <f t="array" ref="H2398">_xlfn.IFS(G2398&gt;=20,"20-25", G2398&gt;=15,"15-20", G2398&gt;=10,"10-15", G2398&gt;=5,"5-10", G2398&gt;=1,"1-5", G2398&lt;1,"Less than 1")</f>
        <v>20-25</v>
      </c>
      <c r="I2398">
        <v>5</v>
      </c>
      <c r="J2398">
        <v>1</v>
      </c>
      <c r="K2398" s="6">
        <v>11</v>
      </c>
      <c r="L2398" s="2">
        <v>1.99</v>
      </c>
      <c r="M2398" s="6">
        <v>29</v>
      </c>
      <c r="N2398" t="str" cm="1">
        <f t="array" ref="N2398">_xlfn.IFS(M2398&gt;=50,"50-60 Days", M2398&gt;=40,"40-50 Days", M2398&gt;=30, "30-40 Days", M2398&gt;=20, "20-30 Days", M2398&gt;=10, "10-20 Days", M2398&gt;=0, "0-10 Days")</f>
        <v>20-30 Days</v>
      </c>
    </row>
    <row r="2399" spans="1:14">
      <c r="A2399">
        <v>2398</v>
      </c>
      <c r="B2399" t="s">
        <v>29</v>
      </c>
      <c r="C2399" s="5">
        <v>45485</v>
      </c>
      <c r="D2399" s="8">
        <v>45485</v>
      </c>
      <c r="E2399" s="8" t="str">
        <f>IF(B2399="Inactive", EDATE(D2399,K2399), "")</f>
        <v/>
      </c>
      <c r="F2399" t="s">
        <v>14</v>
      </c>
      <c r="G2399">
        <v>3.5</v>
      </c>
      <c r="H2399" t="str" cm="1">
        <f t="array" ref="H2399">_xlfn.IFS(G2399&gt;=20,"20-25", G2399&gt;=15,"15-20", G2399&gt;=10,"10-15", G2399&gt;=5,"5-10", G2399&gt;=1,"1-5", G2399&lt;1,"Less than 1")</f>
        <v>1-5</v>
      </c>
      <c r="I2399">
        <v>3</v>
      </c>
      <c r="J2399">
        <v>3</v>
      </c>
      <c r="K2399" s="6">
        <v>9</v>
      </c>
      <c r="L2399" s="2">
        <v>3.99</v>
      </c>
      <c r="M2399" s="6">
        <v>4</v>
      </c>
      <c r="N2399" t="str" cm="1">
        <f t="array" ref="N2399">_xlfn.IFS(M2399&gt;=50,"50-60 Days", M2399&gt;=40,"40-50 Days", M2399&gt;=30, "30-40 Days", M2399&gt;=20, "20-30 Days", M2399&gt;=10, "10-20 Days", M2399&gt;=0, "0-10 Days")</f>
        <v>0-10 Days</v>
      </c>
    </row>
    <row r="2400" spans="1:14">
      <c r="A2400">
        <v>2399</v>
      </c>
      <c r="B2400" t="s">
        <v>29</v>
      </c>
      <c r="C2400" s="5">
        <v>45257</v>
      </c>
      <c r="D2400" s="8">
        <v>45257</v>
      </c>
      <c r="E2400" s="8" t="str">
        <f>IF(B2400="Inactive", EDATE(D2400,K2400), "")</f>
        <v/>
      </c>
      <c r="F2400" t="s">
        <v>14</v>
      </c>
      <c r="G2400">
        <v>7</v>
      </c>
      <c r="H2400" t="str" cm="1">
        <f t="array" ref="H2400">_xlfn.IFS(G2400&gt;=20,"20-25", G2400&gt;=15,"15-20", G2400&gt;=10,"10-15", G2400&gt;=5,"5-10", G2400&gt;=1,"1-5", G2400&lt;1,"Less than 1")</f>
        <v>5-10</v>
      </c>
      <c r="I2400">
        <v>0</v>
      </c>
      <c r="J2400">
        <v>5</v>
      </c>
      <c r="K2400" s="6">
        <v>7</v>
      </c>
      <c r="L2400" s="2">
        <v>3.99</v>
      </c>
      <c r="M2400" s="6">
        <v>10</v>
      </c>
      <c r="N2400" t="str" cm="1">
        <f t="array" ref="N2400">_xlfn.IFS(M2400&gt;=50,"50-60 Days", M2400&gt;=40,"40-50 Days", M2400&gt;=30, "30-40 Days", M2400&gt;=20, "20-30 Days", M2400&gt;=10, "10-20 Days", M2400&gt;=0, "0-10 Days")</f>
        <v>10-20 Days</v>
      </c>
    </row>
    <row r="2401" spans="1:14">
      <c r="A2401">
        <v>2400</v>
      </c>
      <c r="B2401" t="s">
        <v>29</v>
      </c>
      <c r="C2401" s="5">
        <v>45023</v>
      </c>
      <c r="D2401" s="8">
        <v>45023</v>
      </c>
      <c r="E2401" s="8" t="str">
        <f>IF(B2401="Inactive", EDATE(D2401,K2401), "")</f>
        <v/>
      </c>
      <c r="F2401" t="s">
        <v>12</v>
      </c>
      <c r="G2401">
        <v>21.7</v>
      </c>
      <c r="H2401" t="str" cm="1">
        <f t="array" ref="H2401">_xlfn.IFS(G2401&gt;=20,"20-25", G2401&gt;=15,"15-20", G2401&gt;=10,"10-15", G2401&gt;=5,"5-10", G2401&gt;=1,"1-5", G2401&lt;1,"Less than 1")</f>
        <v>20-25</v>
      </c>
      <c r="I2401">
        <v>4</v>
      </c>
      <c r="J2401">
        <v>4</v>
      </c>
      <c r="K2401" s="6">
        <v>4</v>
      </c>
      <c r="L2401" s="2">
        <v>1.99</v>
      </c>
      <c r="M2401" s="6">
        <v>2</v>
      </c>
      <c r="N2401" t="str" cm="1">
        <f t="array" ref="N2401">_xlfn.IFS(M2401&gt;=50,"50-60 Days", M2401&gt;=40,"40-50 Days", M2401&gt;=30, "30-40 Days", M2401&gt;=20, "20-30 Days", M2401&gt;=10, "10-20 Days", M2401&gt;=0, "0-10 Days")</f>
        <v>0-10 Days</v>
      </c>
    </row>
    <row r="2402" spans="1:14">
      <c r="A2402">
        <v>2401</v>
      </c>
      <c r="B2402" t="s">
        <v>28</v>
      </c>
      <c r="C2402" s="5">
        <v>45183</v>
      </c>
      <c r="D2402" s="8">
        <v>45183</v>
      </c>
      <c r="E2402" s="8">
        <f>IF(B2402="Inactive", EDATE(D2402,K2402), "")</f>
        <v>45365</v>
      </c>
      <c r="F2402" t="s">
        <v>14</v>
      </c>
      <c r="G2402">
        <v>7.5</v>
      </c>
      <c r="H2402" t="str" cm="1">
        <f t="array" ref="H2402">_xlfn.IFS(G2402&gt;=20,"20-25", G2402&gt;=15,"15-20", G2402&gt;=10,"10-15", G2402&gt;=5,"5-10", G2402&gt;=1,"1-5", G2402&lt;1,"Less than 1")</f>
        <v>5-10</v>
      </c>
      <c r="I2402">
        <v>0</v>
      </c>
      <c r="J2402">
        <v>1</v>
      </c>
      <c r="K2402" s="6">
        <v>6</v>
      </c>
      <c r="L2402" s="2">
        <v>3.99</v>
      </c>
      <c r="M2402" s="6">
        <v>28</v>
      </c>
      <c r="N2402" t="str" cm="1">
        <f t="array" ref="N2402">_xlfn.IFS(M2402&gt;=50,"50-60 Days", M2402&gt;=40,"40-50 Days", M2402&gt;=30, "30-40 Days", M2402&gt;=20, "20-30 Days", M2402&gt;=10, "10-20 Days", M2402&gt;=0, "0-10 Days")</f>
        <v>20-30 Days</v>
      </c>
    </row>
    <row r="2403" spans="1:14">
      <c r="A2403">
        <v>2402</v>
      </c>
      <c r="B2403" t="s">
        <v>29</v>
      </c>
      <c r="C2403" s="5">
        <v>45438</v>
      </c>
      <c r="D2403" s="8">
        <v>45438</v>
      </c>
      <c r="E2403" s="8" t="str">
        <f>IF(B2403="Inactive", EDATE(D2403,K2403), "")</f>
        <v/>
      </c>
      <c r="F2403" t="s">
        <v>12</v>
      </c>
      <c r="G2403">
        <v>12</v>
      </c>
      <c r="H2403" t="str" cm="1">
        <f t="array" ref="H2403">_xlfn.IFS(G2403&gt;=20,"20-25", G2403&gt;=15,"15-20", G2403&gt;=10,"10-15", G2403&gt;=5,"5-10", G2403&gt;=1,"1-5", G2403&lt;1,"Less than 1")</f>
        <v>10-15</v>
      </c>
      <c r="I2403">
        <v>1</v>
      </c>
      <c r="J2403">
        <v>1</v>
      </c>
      <c r="K2403" s="6">
        <v>9</v>
      </c>
      <c r="L2403" s="2">
        <v>1.99</v>
      </c>
      <c r="M2403" s="6">
        <v>57</v>
      </c>
      <c r="N2403" t="str" cm="1">
        <f t="array" ref="N2403">_xlfn.IFS(M2403&gt;=50,"50-60 Days", M2403&gt;=40,"40-50 Days", M2403&gt;=30, "30-40 Days", M2403&gt;=20, "20-30 Days", M2403&gt;=10, "10-20 Days", M2403&gt;=0, "0-10 Days")</f>
        <v>50-60 Days</v>
      </c>
    </row>
    <row r="2404" spans="1:14">
      <c r="A2404">
        <v>2403</v>
      </c>
      <c r="B2404" t="s">
        <v>29</v>
      </c>
      <c r="C2404" s="5">
        <v>45581</v>
      </c>
      <c r="D2404" s="8">
        <v>45581</v>
      </c>
      <c r="E2404" s="8" t="str">
        <f>IF(B2404="Inactive", EDATE(D2404,K2404), "")</f>
        <v/>
      </c>
      <c r="F2404" t="s">
        <v>10</v>
      </c>
      <c r="G2404">
        <v>4.7</v>
      </c>
      <c r="H2404" t="str" cm="1">
        <f t="array" ref="H2404">_xlfn.IFS(G2404&gt;=20,"20-25", G2404&gt;=15,"15-20", G2404&gt;=10,"10-15", G2404&gt;=5,"5-10", G2404&gt;=1,"1-5", G2404&lt;1,"Less than 1")</f>
        <v>1-5</v>
      </c>
      <c r="I2404">
        <v>2</v>
      </c>
      <c r="J2404">
        <v>0</v>
      </c>
      <c r="K2404" s="6">
        <v>11</v>
      </c>
      <c r="L2404" s="2">
        <v>6.99</v>
      </c>
      <c r="M2404" s="6">
        <v>0</v>
      </c>
      <c r="N2404" t="str" cm="1">
        <f t="array" ref="N2404">_xlfn.IFS(M2404&gt;=50,"50-60 Days", M2404&gt;=40,"40-50 Days", M2404&gt;=30, "30-40 Days", M2404&gt;=20, "20-30 Days", M2404&gt;=10, "10-20 Days", M2404&gt;=0, "0-10 Days")</f>
        <v>0-10 Days</v>
      </c>
    </row>
    <row r="2405" spans="1:14">
      <c r="A2405">
        <v>2404</v>
      </c>
      <c r="B2405" t="s">
        <v>29</v>
      </c>
      <c r="C2405" s="5">
        <v>45194</v>
      </c>
      <c r="D2405" s="8">
        <v>45194</v>
      </c>
      <c r="E2405" s="8" t="str">
        <f>IF(B2405="Inactive", EDATE(D2405,K2405), "")</f>
        <v/>
      </c>
      <c r="F2405" t="s">
        <v>12</v>
      </c>
      <c r="G2405">
        <v>22.4</v>
      </c>
      <c r="H2405" t="str" cm="1">
        <f t="array" ref="H2405">_xlfn.IFS(G2405&gt;=20,"20-25", G2405&gt;=15,"15-20", G2405&gt;=10,"10-15", G2405&gt;=5,"5-10", G2405&gt;=1,"1-5", G2405&lt;1,"Less than 1")</f>
        <v>20-25</v>
      </c>
      <c r="I2405">
        <v>8</v>
      </c>
      <c r="J2405">
        <v>1</v>
      </c>
      <c r="K2405" s="6">
        <v>11</v>
      </c>
      <c r="L2405" s="2">
        <v>1.99</v>
      </c>
      <c r="M2405" s="6">
        <v>6</v>
      </c>
      <c r="N2405" t="str" cm="1">
        <f t="array" ref="N2405">_xlfn.IFS(M2405&gt;=50,"50-60 Days", M2405&gt;=40,"40-50 Days", M2405&gt;=30, "30-40 Days", M2405&gt;=20, "20-30 Days", M2405&gt;=10, "10-20 Days", M2405&gt;=0, "0-10 Days")</f>
        <v>0-10 Days</v>
      </c>
    </row>
    <row r="2406" spans="1:14">
      <c r="A2406">
        <v>2405</v>
      </c>
      <c r="B2406" t="s">
        <v>28</v>
      </c>
      <c r="C2406" s="5">
        <v>45630</v>
      </c>
      <c r="D2406" s="8">
        <v>45630</v>
      </c>
      <c r="E2406" s="8">
        <f>IF(B2406="Inactive", EDATE(D2406,K2406), "")</f>
        <v>45904</v>
      </c>
      <c r="F2406" t="s">
        <v>10</v>
      </c>
      <c r="G2406">
        <v>4.7</v>
      </c>
      <c r="H2406" t="str" cm="1">
        <f t="array" ref="H2406">_xlfn.IFS(G2406&gt;=20,"20-25", G2406&gt;=15,"15-20", G2406&gt;=10,"10-15", G2406&gt;=5,"5-10", G2406&gt;=1,"1-5", G2406&lt;1,"Less than 1")</f>
        <v>1-5</v>
      </c>
      <c r="I2406">
        <v>8</v>
      </c>
      <c r="J2406">
        <v>2</v>
      </c>
      <c r="K2406" s="6">
        <v>9</v>
      </c>
      <c r="L2406" s="2">
        <v>6.99</v>
      </c>
      <c r="M2406" s="6">
        <v>47</v>
      </c>
      <c r="N2406" t="str" cm="1">
        <f t="array" ref="N2406">_xlfn.IFS(M2406&gt;=50,"50-60 Days", M2406&gt;=40,"40-50 Days", M2406&gt;=30, "30-40 Days", M2406&gt;=20, "20-30 Days", M2406&gt;=10, "10-20 Days", M2406&gt;=0, "0-10 Days")</f>
        <v>40-50 Days</v>
      </c>
    </row>
    <row r="2407" spans="1:14">
      <c r="A2407">
        <v>2406</v>
      </c>
      <c r="B2407" t="s">
        <v>29</v>
      </c>
      <c r="C2407" s="5">
        <v>45175</v>
      </c>
      <c r="D2407" s="8">
        <v>45175</v>
      </c>
      <c r="E2407" s="8" t="str">
        <f>IF(B2407="Inactive", EDATE(D2407,K2407), "")</f>
        <v/>
      </c>
      <c r="F2407" t="s">
        <v>10</v>
      </c>
      <c r="G2407">
        <v>6.2</v>
      </c>
      <c r="H2407" t="str" cm="1">
        <f t="array" ref="H2407">_xlfn.IFS(G2407&gt;=20,"20-25", G2407&gt;=15,"15-20", G2407&gt;=10,"10-15", G2407&gt;=5,"5-10", G2407&gt;=1,"1-5", G2407&lt;1,"Less than 1")</f>
        <v>5-10</v>
      </c>
      <c r="I2407">
        <v>6</v>
      </c>
      <c r="J2407">
        <v>1</v>
      </c>
      <c r="K2407" s="6">
        <v>10</v>
      </c>
      <c r="L2407" s="2">
        <v>6.99</v>
      </c>
      <c r="M2407" s="6">
        <v>55</v>
      </c>
      <c r="N2407" t="str" cm="1">
        <f t="array" ref="N2407">_xlfn.IFS(M2407&gt;=50,"50-60 Days", M2407&gt;=40,"40-50 Days", M2407&gt;=30, "30-40 Days", M2407&gt;=20, "20-30 Days", M2407&gt;=10, "10-20 Days", M2407&gt;=0, "0-10 Days")</f>
        <v>50-60 Days</v>
      </c>
    </row>
    <row r="2408" spans="1:14">
      <c r="A2408">
        <v>2407</v>
      </c>
      <c r="B2408" t="s">
        <v>28</v>
      </c>
      <c r="C2408" s="5">
        <v>45513</v>
      </c>
      <c r="D2408" s="8">
        <v>45513</v>
      </c>
      <c r="E2408" s="8">
        <f>IF(B2408="Inactive", EDATE(D2408,K2408), "")</f>
        <v>45847</v>
      </c>
      <c r="F2408" t="s">
        <v>12</v>
      </c>
      <c r="G2408">
        <v>4.8</v>
      </c>
      <c r="H2408" t="str" cm="1">
        <f t="array" ref="H2408">_xlfn.IFS(G2408&gt;=20,"20-25", G2408&gt;=15,"15-20", G2408&gt;=10,"10-15", G2408&gt;=5,"5-10", G2408&gt;=1,"1-5", G2408&lt;1,"Less than 1")</f>
        <v>1-5</v>
      </c>
      <c r="I2408">
        <v>5</v>
      </c>
      <c r="J2408">
        <v>3</v>
      </c>
      <c r="K2408" s="6">
        <v>11</v>
      </c>
      <c r="L2408" s="2">
        <v>1.99</v>
      </c>
      <c r="M2408" s="6">
        <v>1</v>
      </c>
      <c r="N2408" t="str" cm="1">
        <f t="array" ref="N2408">_xlfn.IFS(M2408&gt;=50,"50-60 Days", M2408&gt;=40,"40-50 Days", M2408&gt;=30, "30-40 Days", M2408&gt;=20, "20-30 Days", M2408&gt;=10, "10-20 Days", M2408&gt;=0, "0-10 Days")</f>
        <v>0-10 Days</v>
      </c>
    </row>
    <row r="2409" spans="1:14">
      <c r="A2409">
        <v>2408</v>
      </c>
      <c r="B2409" t="s">
        <v>28</v>
      </c>
      <c r="C2409" s="5">
        <v>45624</v>
      </c>
      <c r="D2409" s="8">
        <v>45624</v>
      </c>
      <c r="E2409" s="8">
        <f>IF(B2409="Inactive", EDATE(D2409,K2409), "")</f>
        <v>45654</v>
      </c>
      <c r="F2409" t="s">
        <v>14</v>
      </c>
      <c r="G2409">
        <v>12.6</v>
      </c>
      <c r="H2409" t="str" cm="1">
        <f t="array" ref="H2409">_xlfn.IFS(G2409&gt;=20,"20-25", G2409&gt;=15,"15-20", G2409&gt;=10,"10-15", G2409&gt;=5,"5-10", G2409&gt;=1,"1-5", G2409&lt;1,"Less than 1")</f>
        <v>10-15</v>
      </c>
      <c r="I2409">
        <v>8</v>
      </c>
      <c r="J2409">
        <v>5</v>
      </c>
      <c r="K2409" s="6">
        <v>1</v>
      </c>
      <c r="L2409" s="2">
        <v>3.99</v>
      </c>
      <c r="M2409" s="6">
        <v>40</v>
      </c>
      <c r="N2409" t="str" cm="1">
        <f t="array" ref="N2409">_xlfn.IFS(M2409&gt;=50,"50-60 Days", M2409&gt;=40,"40-50 Days", M2409&gt;=30, "30-40 Days", M2409&gt;=20, "20-30 Days", M2409&gt;=10, "10-20 Days", M2409&gt;=0, "0-10 Days")</f>
        <v>40-50 Days</v>
      </c>
    </row>
    <row r="2410" spans="1:14">
      <c r="A2410">
        <v>2409</v>
      </c>
      <c r="B2410" t="s">
        <v>29</v>
      </c>
      <c r="C2410" s="5">
        <v>45168</v>
      </c>
      <c r="D2410" s="8">
        <v>45168</v>
      </c>
      <c r="E2410" s="8" t="str">
        <f>IF(B2410="Inactive", EDATE(D2410,K2410), "")</f>
        <v/>
      </c>
      <c r="F2410" t="s">
        <v>12</v>
      </c>
      <c r="G2410">
        <v>12.2</v>
      </c>
      <c r="H2410" t="str" cm="1">
        <f t="array" ref="H2410">_xlfn.IFS(G2410&gt;=20,"20-25", G2410&gt;=15,"15-20", G2410&gt;=10,"10-15", G2410&gt;=5,"5-10", G2410&gt;=1,"1-5", G2410&lt;1,"Less than 1")</f>
        <v>10-15</v>
      </c>
      <c r="I2410">
        <v>0</v>
      </c>
      <c r="J2410">
        <v>3</v>
      </c>
      <c r="K2410" s="6">
        <v>10</v>
      </c>
      <c r="L2410" s="2">
        <v>1.99</v>
      </c>
      <c r="M2410" s="6">
        <v>55</v>
      </c>
      <c r="N2410" t="str" cm="1">
        <f t="array" ref="N2410">_xlfn.IFS(M2410&gt;=50,"50-60 Days", M2410&gt;=40,"40-50 Days", M2410&gt;=30, "30-40 Days", M2410&gt;=20, "20-30 Days", M2410&gt;=10, "10-20 Days", M2410&gt;=0, "0-10 Days")</f>
        <v>50-60 Days</v>
      </c>
    </row>
    <row r="2411" spans="1:14">
      <c r="A2411">
        <v>2410</v>
      </c>
      <c r="B2411" t="s">
        <v>29</v>
      </c>
      <c r="C2411" s="5">
        <v>45312</v>
      </c>
      <c r="D2411" s="8">
        <v>45312</v>
      </c>
      <c r="E2411" s="8" t="str">
        <f>IF(B2411="Inactive", EDATE(D2411,K2411), "")</f>
        <v/>
      </c>
      <c r="F2411" t="s">
        <v>14</v>
      </c>
      <c r="G2411">
        <v>19.600000000000001</v>
      </c>
      <c r="H2411" t="str" cm="1">
        <f t="array" ref="H2411">_xlfn.IFS(G2411&gt;=20,"20-25", G2411&gt;=15,"15-20", G2411&gt;=10,"10-15", G2411&gt;=5,"5-10", G2411&gt;=1,"1-5", G2411&lt;1,"Less than 1")</f>
        <v>15-20</v>
      </c>
      <c r="I2411">
        <v>2</v>
      </c>
      <c r="J2411">
        <v>0</v>
      </c>
      <c r="K2411" s="6">
        <v>12</v>
      </c>
      <c r="L2411" s="2">
        <v>3.99</v>
      </c>
      <c r="M2411" s="6">
        <v>23</v>
      </c>
      <c r="N2411" t="str" cm="1">
        <f t="array" ref="N2411">_xlfn.IFS(M2411&gt;=50,"50-60 Days", M2411&gt;=40,"40-50 Days", M2411&gt;=30, "30-40 Days", M2411&gt;=20, "20-30 Days", M2411&gt;=10, "10-20 Days", M2411&gt;=0, "0-10 Days")</f>
        <v>20-30 Days</v>
      </c>
    </row>
    <row r="2412" spans="1:14">
      <c r="A2412">
        <v>2411</v>
      </c>
      <c r="B2412" t="s">
        <v>29</v>
      </c>
      <c r="C2412" s="5">
        <v>45262</v>
      </c>
      <c r="D2412" s="8">
        <v>45262</v>
      </c>
      <c r="E2412" s="8" t="str">
        <f>IF(B2412="Inactive", EDATE(D2412,K2412), "")</f>
        <v/>
      </c>
      <c r="F2412" t="s">
        <v>10</v>
      </c>
      <c r="G2412">
        <v>2.6</v>
      </c>
      <c r="H2412" t="str" cm="1">
        <f t="array" ref="H2412">_xlfn.IFS(G2412&gt;=20,"20-25", G2412&gt;=15,"15-20", G2412&gt;=10,"10-15", G2412&gt;=5,"5-10", G2412&gt;=1,"1-5", G2412&lt;1,"Less than 1")</f>
        <v>1-5</v>
      </c>
      <c r="I2412">
        <v>2</v>
      </c>
      <c r="J2412">
        <v>1</v>
      </c>
      <c r="K2412" s="6">
        <v>4</v>
      </c>
      <c r="L2412" s="2">
        <v>6.99</v>
      </c>
      <c r="M2412" s="6">
        <v>14</v>
      </c>
      <c r="N2412" t="str" cm="1">
        <f t="array" ref="N2412">_xlfn.IFS(M2412&gt;=50,"50-60 Days", M2412&gt;=40,"40-50 Days", M2412&gt;=30, "30-40 Days", M2412&gt;=20, "20-30 Days", M2412&gt;=10, "10-20 Days", M2412&gt;=0, "0-10 Days")</f>
        <v>10-20 Days</v>
      </c>
    </row>
    <row r="2413" spans="1:14">
      <c r="A2413">
        <v>2412</v>
      </c>
      <c r="B2413" t="s">
        <v>28</v>
      </c>
      <c r="C2413" s="5">
        <v>44942</v>
      </c>
      <c r="D2413" s="8">
        <v>44942</v>
      </c>
      <c r="E2413" s="8">
        <f>IF(B2413="Inactive", EDATE(D2413,K2413), "")</f>
        <v>45062</v>
      </c>
      <c r="F2413" t="s">
        <v>10</v>
      </c>
      <c r="G2413">
        <v>2.6</v>
      </c>
      <c r="H2413" t="str" cm="1">
        <f t="array" ref="H2413">_xlfn.IFS(G2413&gt;=20,"20-25", G2413&gt;=15,"15-20", G2413&gt;=10,"10-15", G2413&gt;=5,"5-10", G2413&gt;=1,"1-5", G2413&lt;1,"Less than 1")</f>
        <v>1-5</v>
      </c>
      <c r="I2413">
        <v>6</v>
      </c>
      <c r="J2413">
        <v>5</v>
      </c>
      <c r="K2413" s="6">
        <v>4</v>
      </c>
      <c r="L2413" s="2">
        <v>6.99</v>
      </c>
      <c r="M2413" s="6">
        <v>55</v>
      </c>
      <c r="N2413" t="str" cm="1">
        <f t="array" ref="N2413">_xlfn.IFS(M2413&gt;=50,"50-60 Days", M2413&gt;=40,"40-50 Days", M2413&gt;=30, "30-40 Days", M2413&gt;=20, "20-30 Days", M2413&gt;=10, "10-20 Days", M2413&gt;=0, "0-10 Days")</f>
        <v>50-60 Days</v>
      </c>
    </row>
    <row r="2414" spans="1:14">
      <c r="A2414">
        <v>2413</v>
      </c>
      <c r="B2414" t="s">
        <v>29</v>
      </c>
      <c r="C2414" s="5">
        <v>45080</v>
      </c>
      <c r="D2414" s="8">
        <v>45080</v>
      </c>
      <c r="E2414" s="8" t="str">
        <f>IF(B2414="Inactive", EDATE(D2414,K2414), "")</f>
        <v/>
      </c>
      <c r="F2414" t="s">
        <v>14</v>
      </c>
      <c r="G2414">
        <v>24.7</v>
      </c>
      <c r="H2414" t="str" cm="1">
        <f t="array" ref="H2414">_xlfn.IFS(G2414&gt;=20,"20-25", G2414&gt;=15,"15-20", G2414&gt;=10,"10-15", G2414&gt;=5,"5-10", G2414&gt;=1,"1-5", G2414&lt;1,"Less than 1")</f>
        <v>20-25</v>
      </c>
      <c r="I2414">
        <v>1</v>
      </c>
      <c r="J2414">
        <v>5</v>
      </c>
      <c r="K2414" s="6">
        <v>12</v>
      </c>
      <c r="L2414" s="2">
        <v>3.99</v>
      </c>
      <c r="M2414" s="6">
        <v>16</v>
      </c>
      <c r="N2414" t="str" cm="1">
        <f t="array" ref="N2414">_xlfn.IFS(M2414&gt;=50,"50-60 Days", M2414&gt;=40,"40-50 Days", M2414&gt;=30, "30-40 Days", M2414&gt;=20, "20-30 Days", M2414&gt;=10, "10-20 Days", M2414&gt;=0, "0-10 Days")</f>
        <v>10-20 Days</v>
      </c>
    </row>
    <row r="2415" spans="1:14">
      <c r="A2415">
        <v>2414</v>
      </c>
      <c r="B2415" t="s">
        <v>28</v>
      </c>
      <c r="C2415" s="5">
        <v>45508</v>
      </c>
      <c r="D2415" s="8">
        <v>45508</v>
      </c>
      <c r="E2415" s="8">
        <f>IF(B2415="Inactive", EDATE(D2415,K2415), "")</f>
        <v>45569</v>
      </c>
      <c r="F2415" t="s">
        <v>10</v>
      </c>
      <c r="G2415">
        <v>13.3</v>
      </c>
      <c r="H2415" t="str" cm="1">
        <f t="array" ref="H2415">_xlfn.IFS(G2415&gt;=20,"20-25", G2415&gt;=15,"15-20", G2415&gt;=10,"10-15", G2415&gt;=5,"5-10", G2415&gt;=1,"1-5", G2415&lt;1,"Less than 1")</f>
        <v>10-15</v>
      </c>
      <c r="I2415">
        <v>2</v>
      </c>
      <c r="J2415">
        <v>0</v>
      </c>
      <c r="K2415" s="6">
        <v>2</v>
      </c>
      <c r="L2415" s="2">
        <v>6.99</v>
      </c>
      <c r="M2415" s="6">
        <v>36</v>
      </c>
      <c r="N2415" t="str" cm="1">
        <f t="array" ref="N2415">_xlfn.IFS(M2415&gt;=50,"50-60 Days", M2415&gt;=40,"40-50 Days", M2415&gt;=30, "30-40 Days", M2415&gt;=20, "20-30 Days", M2415&gt;=10, "10-20 Days", M2415&gt;=0, "0-10 Days")</f>
        <v>30-40 Days</v>
      </c>
    </row>
    <row r="2416" spans="1:14">
      <c r="A2416">
        <v>2415</v>
      </c>
      <c r="B2416" t="s">
        <v>28</v>
      </c>
      <c r="C2416" s="5">
        <v>45625</v>
      </c>
      <c r="D2416" s="8">
        <v>45625</v>
      </c>
      <c r="E2416" s="8">
        <f>IF(B2416="Inactive", EDATE(D2416,K2416), "")</f>
        <v>45929</v>
      </c>
      <c r="F2416" t="s">
        <v>14</v>
      </c>
      <c r="G2416">
        <v>19</v>
      </c>
      <c r="H2416" t="str" cm="1">
        <f t="array" ref="H2416">_xlfn.IFS(G2416&gt;=20,"20-25", G2416&gt;=15,"15-20", G2416&gt;=10,"10-15", G2416&gt;=5,"5-10", G2416&gt;=1,"1-5", G2416&lt;1,"Less than 1")</f>
        <v>15-20</v>
      </c>
      <c r="I2416">
        <v>0</v>
      </c>
      <c r="J2416">
        <v>4</v>
      </c>
      <c r="K2416" s="6">
        <v>10</v>
      </c>
      <c r="L2416" s="2">
        <v>3.99</v>
      </c>
      <c r="M2416" s="6">
        <v>37</v>
      </c>
      <c r="N2416" t="str" cm="1">
        <f t="array" ref="N2416">_xlfn.IFS(M2416&gt;=50,"50-60 Days", M2416&gt;=40,"40-50 Days", M2416&gt;=30, "30-40 Days", M2416&gt;=20, "20-30 Days", M2416&gt;=10, "10-20 Days", M2416&gt;=0, "0-10 Days")</f>
        <v>30-40 Days</v>
      </c>
    </row>
    <row r="2417" spans="1:14">
      <c r="A2417">
        <v>2416</v>
      </c>
      <c r="B2417" t="s">
        <v>28</v>
      </c>
      <c r="C2417" s="5">
        <v>44943</v>
      </c>
      <c r="D2417" s="8">
        <v>44943</v>
      </c>
      <c r="E2417" s="8">
        <f>IF(B2417="Inactive", EDATE(D2417,K2417), "")</f>
        <v>45124</v>
      </c>
      <c r="F2417" t="s">
        <v>14</v>
      </c>
      <c r="G2417">
        <v>11</v>
      </c>
      <c r="H2417" t="str" cm="1">
        <f t="array" ref="H2417">_xlfn.IFS(G2417&gt;=20,"20-25", G2417&gt;=15,"15-20", G2417&gt;=10,"10-15", G2417&gt;=5,"5-10", G2417&gt;=1,"1-5", G2417&lt;1,"Less than 1")</f>
        <v>10-15</v>
      </c>
      <c r="I2417">
        <v>8</v>
      </c>
      <c r="J2417">
        <v>2</v>
      </c>
      <c r="K2417" s="6">
        <v>6</v>
      </c>
      <c r="L2417" s="2">
        <v>3.99</v>
      </c>
      <c r="M2417" s="6">
        <v>50</v>
      </c>
      <c r="N2417" t="str" cm="1">
        <f t="array" ref="N2417">_xlfn.IFS(M2417&gt;=50,"50-60 Days", M2417&gt;=40,"40-50 Days", M2417&gt;=30, "30-40 Days", M2417&gt;=20, "20-30 Days", M2417&gt;=10, "10-20 Days", M2417&gt;=0, "0-10 Days")</f>
        <v>50-60 Days</v>
      </c>
    </row>
    <row r="2418" spans="1:14">
      <c r="A2418">
        <v>2417</v>
      </c>
      <c r="B2418" t="s">
        <v>28</v>
      </c>
      <c r="C2418" s="5">
        <v>45546</v>
      </c>
      <c r="D2418" s="8">
        <v>45546</v>
      </c>
      <c r="E2418" s="8">
        <f>IF(B2418="Inactive", EDATE(D2418,K2418), "")</f>
        <v>45637</v>
      </c>
      <c r="F2418" t="s">
        <v>12</v>
      </c>
      <c r="G2418">
        <v>22.4</v>
      </c>
      <c r="H2418" t="str" cm="1">
        <f t="array" ref="H2418">_xlfn.IFS(G2418&gt;=20,"20-25", G2418&gt;=15,"15-20", G2418&gt;=10,"10-15", G2418&gt;=5,"5-10", G2418&gt;=1,"1-5", G2418&lt;1,"Less than 1")</f>
        <v>20-25</v>
      </c>
      <c r="I2418">
        <v>0</v>
      </c>
      <c r="J2418">
        <v>2</v>
      </c>
      <c r="K2418" s="6">
        <v>3</v>
      </c>
      <c r="L2418" s="2">
        <v>1.99</v>
      </c>
      <c r="M2418" s="6">
        <v>51</v>
      </c>
      <c r="N2418" t="str" cm="1">
        <f t="array" ref="N2418">_xlfn.IFS(M2418&gt;=50,"50-60 Days", M2418&gt;=40,"40-50 Days", M2418&gt;=30, "30-40 Days", M2418&gt;=20, "20-30 Days", M2418&gt;=10, "10-20 Days", M2418&gt;=0, "0-10 Days")</f>
        <v>50-60 Days</v>
      </c>
    </row>
    <row r="2419" spans="1:14">
      <c r="A2419">
        <v>2418</v>
      </c>
      <c r="B2419" t="s">
        <v>28</v>
      </c>
      <c r="C2419" s="5">
        <v>45635</v>
      </c>
      <c r="D2419" s="8">
        <v>45635</v>
      </c>
      <c r="E2419" s="8">
        <f>IF(B2419="Inactive", EDATE(D2419,K2419), "")</f>
        <v>45786</v>
      </c>
      <c r="F2419" t="s">
        <v>10</v>
      </c>
      <c r="G2419">
        <v>16.7</v>
      </c>
      <c r="H2419" t="str" cm="1">
        <f t="array" ref="H2419">_xlfn.IFS(G2419&gt;=20,"20-25", G2419&gt;=15,"15-20", G2419&gt;=10,"10-15", G2419&gt;=5,"5-10", G2419&gt;=1,"1-5", G2419&lt;1,"Less than 1")</f>
        <v>15-20</v>
      </c>
      <c r="I2419">
        <v>8</v>
      </c>
      <c r="J2419">
        <v>3</v>
      </c>
      <c r="K2419" s="6">
        <v>5</v>
      </c>
      <c r="L2419" s="2">
        <v>6.99</v>
      </c>
      <c r="M2419" s="6">
        <v>46</v>
      </c>
      <c r="N2419" t="str" cm="1">
        <f t="array" ref="N2419">_xlfn.IFS(M2419&gt;=50,"50-60 Days", M2419&gt;=40,"40-50 Days", M2419&gt;=30, "30-40 Days", M2419&gt;=20, "20-30 Days", M2419&gt;=10, "10-20 Days", M2419&gt;=0, "0-10 Days")</f>
        <v>40-50 Days</v>
      </c>
    </row>
    <row r="2420" spans="1:14">
      <c r="A2420">
        <v>2419</v>
      </c>
      <c r="B2420" t="s">
        <v>29</v>
      </c>
      <c r="C2420" s="5">
        <v>45551</v>
      </c>
      <c r="D2420" s="8">
        <v>45551</v>
      </c>
      <c r="E2420" s="8" t="str">
        <f>IF(B2420="Inactive", EDATE(D2420,K2420), "")</f>
        <v/>
      </c>
      <c r="F2420" t="s">
        <v>14</v>
      </c>
      <c r="G2420">
        <v>24.2</v>
      </c>
      <c r="H2420" t="str" cm="1">
        <f t="array" ref="H2420">_xlfn.IFS(G2420&gt;=20,"20-25", G2420&gt;=15,"15-20", G2420&gt;=10,"10-15", G2420&gt;=5,"5-10", G2420&gt;=1,"1-5", G2420&lt;1,"Less than 1")</f>
        <v>20-25</v>
      </c>
      <c r="I2420">
        <v>2</v>
      </c>
      <c r="J2420">
        <v>2</v>
      </c>
      <c r="K2420" s="6">
        <v>11</v>
      </c>
      <c r="L2420" s="2">
        <v>3.99</v>
      </c>
      <c r="M2420" s="6">
        <v>56</v>
      </c>
      <c r="N2420" t="str" cm="1">
        <f t="array" ref="N2420">_xlfn.IFS(M2420&gt;=50,"50-60 Days", M2420&gt;=40,"40-50 Days", M2420&gt;=30, "30-40 Days", M2420&gt;=20, "20-30 Days", M2420&gt;=10, "10-20 Days", M2420&gt;=0, "0-10 Days")</f>
        <v>50-60 Days</v>
      </c>
    </row>
    <row r="2421" spans="1:14">
      <c r="A2421">
        <v>2420</v>
      </c>
      <c r="B2421" t="s">
        <v>28</v>
      </c>
      <c r="C2421" s="5">
        <v>45485</v>
      </c>
      <c r="D2421" s="8">
        <v>45485</v>
      </c>
      <c r="E2421" s="8">
        <f>IF(B2421="Inactive", EDATE(D2421,K2421), "")</f>
        <v>45850</v>
      </c>
      <c r="F2421" t="s">
        <v>10</v>
      </c>
      <c r="G2421">
        <v>15.9</v>
      </c>
      <c r="H2421" t="str" cm="1">
        <f t="array" ref="H2421">_xlfn.IFS(G2421&gt;=20,"20-25", G2421&gt;=15,"15-20", G2421&gt;=10,"10-15", G2421&gt;=5,"5-10", G2421&gt;=1,"1-5", G2421&lt;1,"Less than 1")</f>
        <v>15-20</v>
      </c>
      <c r="I2421">
        <v>1</v>
      </c>
      <c r="J2421">
        <v>2</v>
      </c>
      <c r="K2421" s="6">
        <v>12</v>
      </c>
      <c r="L2421" s="2">
        <v>6.99</v>
      </c>
      <c r="M2421" s="6">
        <v>22</v>
      </c>
      <c r="N2421" t="str" cm="1">
        <f t="array" ref="N2421">_xlfn.IFS(M2421&gt;=50,"50-60 Days", M2421&gt;=40,"40-50 Days", M2421&gt;=30, "30-40 Days", M2421&gt;=20, "20-30 Days", M2421&gt;=10, "10-20 Days", M2421&gt;=0, "0-10 Days")</f>
        <v>20-30 Days</v>
      </c>
    </row>
    <row r="2422" spans="1:14">
      <c r="A2422">
        <v>2421</v>
      </c>
      <c r="B2422" t="s">
        <v>28</v>
      </c>
      <c r="C2422" s="5">
        <v>45292</v>
      </c>
      <c r="D2422" s="8">
        <v>45292</v>
      </c>
      <c r="E2422" s="8">
        <f>IF(B2422="Inactive", EDATE(D2422,K2422), "")</f>
        <v>45597</v>
      </c>
      <c r="F2422" t="s">
        <v>10</v>
      </c>
      <c r="G2422">
        <v>24.1</v>
      </c>
      <c r="H2422" t="str" cm="1">
        <f t="array" ref="H2422">_xlfn.IFS(G2422&gt;=20,"20-25", G2422&gt;=15,"15-20", G2422&gt;=10,"10-15", G2422&gt;=5,"5-10", G2422&gt;=1,"1-5", G2422&lt;1,"Less than 1")</f>
        <v>20-25</v>
      </c>
      <c r="I2422">
        <v>0</v>
      </c>
      <c r="J2422">
        <v>5</v>
      </c>
      <c r="K2422" s="6">
        <v>10</v>
      </c>
      <c r="L2422" s="2">
        <v>6.99</v>
      </c>
      <c r="M2422" s="6">
        <v>41</v>
      </c>
      <c r="N2422" t="str" cm="1">
        <f t="array" ref="N2422">_xlfn.IFS(M2422&gt;=50,"50-60 Days", M2422&gt;=40,"40-50 Days", M2422&gt;=30, "30-40 Days", M2422&gt;=20, "20-30 Days", M2422&gt;=10, "10-20 Days", M2422&gt;=0, "0-10 Days")</f>
        <v>40-50 Days</v>
      </c>
    </row>
    <row r="2423" spans="1:14">
      <c r="A2423">
        <v>2422</v>
      </c>
      <c r="B2423" t="s">
        <v>28</v>
      </c>
      <c r="C2423" s="5">
        <v>45479</v>
      </c>
      <c r="D2423" s="8">
        <v>45479</v>
      </c>
      <c r="E2423" s="8">
        <f>IF(B2423="Inactive", EDATE(D2423,K2423), "")</f>
        <v>45663</v>
      </c>
      <c r="F2423" t="s">
        <v>12</v>
      </c>
      <c r="G2423">
        <v>22.4</v>
      </c>
      <c r="H2423" t="str" cm="1">
        <f t="array" ref="H2423">_xlfn.IFS(G2423&gt;=20,"20-25", G2423&gt;=15,"15-20", G2423&gt;=10,"10-15", G2423&gt;=5,"5-10", G2423&gt;=1,"1-5", G2423&lt;1,"Less than 1")</f>
        <v>20-25</v>
      </c>
      <c r="I2423">
        <v>6</v>
      </c>
      <c r="J2423">
        <v>3</v>
      </c>
      <c r="K2423" s="6">
        <v>6</v>
      </c>
      <c r="L2423" s="2">
        <v>1.99</v>
      </c>
      <c r="M2423" s="6">
        <v>24</v>
      </c>
      <c r="N2423" t="str" cm="1">
        <f t="array" ref="N2423">_xlfn.IFS(M2423&gt;=50,"50-60 Days", M2423&gt;=40,"40-50 Days", M2423&gt;=30, "30-40 Days", M2423&gt;=20, "20-30 Days", M2423&gt;=10, "10-20 Days", M2423&gt;=0, "0-10 Days")</f>
        <v>20-30 Days</v>
      </c>
    </row>
    <row r="2424" spans="1:14">
      <c r="A2424">
        <v>2423</v>
      </c>
      <c r="B2424" t="s">
        <v>28</v>
      </c>
      <c r="C2424" s="5">
        <v>45555</v>
      </c>
      <c r="D2424" s="8">
        <v>45555</v>
      </c>
      <c r="E2424" s="8">
        <f>IF(B2424="Inactive", EDATE(D2424,K2424), "")</f>
        <v>45677</v>
      </c>
      <c r="F2424" t="s">
        <v>10</v>
      </c>
      <c r="G2424">
        <v>1.1000000000000001</v>
      </c>
      <c r="H2424" t="str" cm="1">
        <f t="array" ref="H2424">_xlfn.IFS(G2424&gt;=20,"20-25", G2424&gt;=15,"15-20", G2424&gt;=10,"10-15", G2424&gt;=5,"5-10", G2424&gt;=1,"1-5", G2424&lt;1,"Less than 1")</f>
        <v>1-5</v>
      </c>
      <c r="I2424">
        <v>7</v>
      </c>
      <c r="J2424">
        <v>2</v>
      </c>
      <c r="K2424" s="6">
        <v>4</v>
      </c>
      <c r="L2424" s="2">
        <v>6.99</v>
      </c>
      <c r="M2424" s="6">
        <v>24</v>
      </c>
      <c r="N2424" t="str" cm="1">
        <f t="array" ref="N2424">_xlfn.IFS(M2424&gt;=50,"50-60 Days", M2424&gt;=40,"40-50 Days", M2424&gt;=30, "30-40 Days", M2424&gt;=20, "20-30 Days", M2424&gt;=10, "10-20 Days", M2424&gt;=0, "0-10 Days")</f>
        <v>20-30 Days</v>
      </c>
    </row>
    <row r="2425" spans="1:14">
      <c r="A2425">
        <v>2424</v>
      </c>
      <c r="B2425" t="s">
        <v>28</v>
      </c>
      <c r="C2425" s="5">
        <v>45565</v>
      </c>
      <c r="D2425" s="8">
        <v>45565</v>
      </c>
      <c r="E2425" s="8">
        <f>IF(B2425="Inactive", EDATE(D2425,K2425), "")</f>
        <v>45868</v>
      </c>
      <c r="F2425" t="s">
        <v>12</v>
      </c>
      <c r="G2425">
        <v>12.6</v>
      </c>
      <c r="H2425" t="str" cm="1">
        <f t="array" ref="H2425">_xlfn.IFS(G2425&gt;=20,"20-25", G2425&gt;=15,"15-20", G2425&gt;=10,"10-15", G2425&gt;=5,"5-10", G2425&gt;=1,"1-5", G2425&lt;1,"Less than 1")</f>
        <v>10-15</v>
      </c>
      <c r="I2425">
        <v>8</v>
      </c>
      <c r="J2425">
        <v>3</v>
      </c>
      <c r="K2425" s="6">
        <v>10</v>
      </c>
      <c r="L2425" s="2">
        <v>1.99</v>
      </c>
      <c r="M2425" s="6">
        <v>24</v>
      </c>
      <c r="N2425" t="str" cm="1">
        <f t="array" ref="N2425">_xlfn.IFS(M2425&gt;=50,"50-60 Days", M2425&gt;=40,"40-50 Days", M2425&gt;=30, "30-40 Days", M2425&gt;=20, "20-30 Days", M2425&gt;=10, "10-20 Days", M2425&gt;=0, "0-10 Days")</f>
        <v>20-30 Days</v>
      </c>
    </row>
    <row r="2426" spans="1:14">
      <c r="A2426">
        <v>2425</v>
      </c>
      <c r="B2426" t="s">
        <v>29</v>
      </c>
      <c r="C2426" s="5">
        <v>45127</v>
      </c>
      <c r="D2426" s="8">
        <v>45127</v>
      </c>
      <c r="E2426" s="8" t="str">
        <f>IF(B2426="Inactive", EDATE(D2426,K2426), "")</f>
        <v/>
      </c>
      <c r="F2426" t="s">
        <v>10</v>
      </c>
      <c r="G2426">
        <v>12.9</v>
      </c>
      <c r="H2426" t="str" cm="1">
        <f t="array" ref="H2426">_xlfn.IFS(G2426&gt;=20,"20-25", G2426&gt;=15,"15-20", G2426&gt;=10,"10-15", G2426&gt;=5,"5-10", G2426&gt;=1,"1-5", G2426&lt;1,"Less than 1")</f>
        <v>10-15</v>
      </c>
      <c r="I2426">
        <v>2</v>
      </c>
      <c r="J2426">
        <v>1</v>
      </c>
      <c r="K2426" s="6">
        <v>10</v>
      </c>
      <c r="L2426" s="2">
        <v>6.99</v>
      </c>
      <c r="M2426" s="6">
        <v>20</v>
      </c>
      <c r="N2426" t="str" cm="1">
        <f t="array" ref="N2426">_xlfn.IFS(M2426&gt;=50,"50-60 Days", M2426&gt;=40,"40-50 Days", M2426&gt;=30, "30-40 Days", M2426&gt;=20, "20-30 Days", M2426&gt;=10, "10-20 Days", M2426&gt;=0, "0-10 Days")</f>
        <v>20-30 Days</v>
      </c>
    </row>
    <row r="2427" spans="1:14">
      <c r="A2427">
        <v>2426</v>
      </c>
      <c r="B2427" t="s">
        <v>28</v>
      </c>
      <c r="C2427" s="5">
        <v>45335</v>
      </c>
      <c r="D2427" s="8">
        <v>45335</v>
      </c>
      <c r="E2427" s="8">
        <f>IF(B2427="Inactive", EDATE(D2427,K2427), "")</f>
        <v>45364</v>
      </c>
      <c r="F2427" t="s">
        <v>14</v>
      </c>
      <c r="G2427">
        <v>19.899999999999999</v>
      </c>
      <c r="H2427" t="str" cm="1">
        <f t="array" ref="H2427">_xlfn.IFS(G2427&gt;=20,"20-25", G2427&gt;=15,"15-20", G2427&gt;=10,"10-15", G2427&gt;=5,"5-10", G2427&gt;=1,"1-5", G2427&lt;1,"Less than 1")</f>
        <v>15-20</v>
      </c>
      <c r="I2427">
        <v>8</v>
      </c>
      <c r="J2427">
        <v>2</v>
      </c>
      <c r="K2427" s="6">
        <v>1</v>
      </c>
      <c r="L2427" s="2">
        <v>3.99</v>
      </c>
      <c r="M2427" s="6">
        <v>43</v>
      </c>
      <c r="N2427" t="str" cm="1">
        <f t="array" ref="N2427">_xlfn.IFS(M2427&gt;=50,"50-60 Days", M2427&gt;=40,"40-50 Days", M2427&gt;=30, "30-40 Days", M2427&gt;=20, "20-30 Days", M2427&gt;=10, "10-20 Days", M2427&gt;=0, "0-10 Days")</f>
        <v>40-50 Days</v>
      </c>
    </row>
    <row r="2428" spans="1:14">
      <c r="A2428">
        <v>2427</v>
      </c>
      <c r="B2428" t="s">
        <v>29</v>
      </c>
      <c r="C2428" s="5">
        <v>44957</v>
      </c>
      <c r="D2428" s="8">
        <v>44957</v>
      </c>
      <c r="E2428" s="8" t="str">
        <f>IF(B2428="Inactive", EDATE(D2428,K2428), "")</f>
        <v/>
      </c>
      <c r="F2428" t="s">
        <v>10</v>
      </c>
      <c r="G2428">
        <v>17.2</v>
      </c>
      <c r="H2428" t="str" cm="1">
        <f t="array" ref="H2428">_xlfn.IFS(G2428&gt;=20,"20-25", G2428&gt;=15,"15-20", G2428&gt;=10,"10-15", G2428&gt;=5,"5-10", G2428&gt;=1,"1-5", G2428&lt;1,"Less than 1")</f>
        <v>15-20</v>
      </c>
      <c r="I2428">
        <v>3</v>
      </c>
      <c r="J2428">
        <v>2</v>
      </c>
      <c r="K2428" s="6">
        <v>4</v>
      </c>
      <c r="L2428" s="2">
        <v>6.99</v>
      </c>
      <c r="M2428" s="6">
        <v>3</v>
      </c>
      <c r="N2428" t="str" cm="1">
        <f t="array" ref="N2428">_xlfn.IFS(M2428&gt;=50,"50-60 Days", M2428&gt;=40,"40-50 Days", M2428&gt;=30, "30-40 Days", M2428&gt;=20, "20-30 Days", M2428&gt;=10, "10-20 Days", M2428&gt;=0, "0-10 Days")</f>
        <v>0-10 Days</v>
      </c>
    </row>
    <row r="2429" spans="1:14">
      <c r="A2429">
        <v>2428</v>
      </c>
      <c r="B2429" t="s">
        <v>28</v>
      </c>
      <c r="C2429" s="5">
        <v>45629</v>
      </c>
      <c r="D2429" s="8">
        <v>45629</v>
      </c>
      <c r="E2429" s="8">
        <f>IF(B2429="Inactive", EDATE(D2429,K2429), "")</f>
        <v>45872</v>
      </c>
      <c r="F2429" t="s">
        <v>10</v>
      </c>
      <c r="G2429">
        <v>19</v>
      </c>
      <c r="H2429" t="str" cm="1">
        <f t="array" ref="H2429">_xlfn.IFS(G2429&gt;=20,"20-25", G2429&gt;=15,"15-20", G2429&gt;=10,"10-15", G2429&gt;=5,"5-10", G2429&gt;=1,"1-5", G2429&lt;1,"Less than 1")</f>
        <v>15-20</v>
      </c>
      <c r="I2429">
        <v>6</v>
      </c>
      <c r="J2429">
        <v>3</v>
      </c>
      <c r="K2429" s="6">
        <v>8</v>
      </c>
      <c r="L2429" s="2">
        <v>6.99</v>
      </c>
      <c r="M2429" s="6">
        <v>46</v>
      </c>
      <c r="N2429" t="str" cm="1">
        <f t="array" ref="N2429">_xlfn.IFS(M2429&gt;=50,"50-60 Days", M2429&gt;=40,"40-50 Days", M2429&gt;=30, "30-40 Days", M2429&gt;=20, "20-30 Days", M2429&gt;=10, "10-20 Days", M2429&gt;=0, "0-10 Days")</f>
        <v>40-50 Days</v>
      </c>
    </row>
    <row r="2430" spans="1:14">
      <c r="A2430">
        <v>2429</v>
      </c>
      <c r="B2430" t="s">
        <v>29</v>
      </c>
      <c r="C2430" s="5">
        <v>45107</v>
      </c>
      <c r="D2430" s="8">
        <v>45107</v>
      </c>
      <c r="E2430" s="8" t="str">
        <f>IF(B2430="Inactive", EDATE(D2430,K2430), "")</f>
        <v/>
      </c>
      <c r="F2430" t="s">
        <v>14</v>
      </c>
      <c r="G2430">
        <v>1.3</v>
      </c>
      <c r="H2430" t="str" cm="1">
        <f t="array" ref="H2430">_xlfn.IFS(G2430&gt;=20,"20-25", G2430&gt;=15,"15-20", G2430&gt;=10,"10-15", G2430&gt;=5,"5-10", G2430&gt;=1,"1-5", G2430&lt;1,"Less than 1")</f>
        <v>1-5</v>
      </c>
      <c r="I2430">
        <v>1</v>
      </c>
      <c r="J2430">
        <v>1</v>
      </c>
      <c r="K2430" s="6">
        <v>1</v>
      </c>
      <c r="L2430" s="2">
        <v>3.99</v>
      </c>
      <c r="M2430" s="6">
        <v>17</v>
      </c>
      <c r="N2430" t="str" cm="1">
        <f t="array" ref="N2430">_xlfn.IFS(M2430&gt;=50,"50-60 Days", M2430&gt;=40,"40-50 Days", M2430&gt;=30, "30-40 Days", M2430&gt;=20, "20-30 Days", M2430&gt;=10, "10-20 Days", M2430&gt;=0, "0-10 Days")</f>
        <v>10-20 Days</v>
      </c>
    </row>
    <row r="2431" spans="1:14">
      <c r="A2431">
        <v>2430</v>
      </c>
      <c r="B2431" t="s">
        <v>29</v>
      </c>
      <c r="C2431" s="5">
        <v>45329</v>
      </c>
      <c r="D2431" s="8">
        <v>45329</v>
      </c>
      <c r="E2431" s="8" t="str">
        <f>IF(B2431="Inactive", EDATE(D2431,K2431), "")</f>
        <v/>
      </c>
      <c r="F2431" t="s">
        <v>10</v>
      </c>
      <c r="G2431">
        <v>21.4</v>
      </c>
      <c r="H2431" t="str" cm="1">
        <f t="array" ref="H2431">_xlfn.IFS(G2431&gt;=20,"20-25", G2431&gt;=15,"15-20", G2431&gt;=10,"10-15", G2431&gt;=5,"5-10", G2431&gt;=1,"1-5", G2431&lt;1,"Less than 1")</f>
        <v>20-25</v>
      </c>
      <c r="I2431">
        <v>4</v>
      </c>
      <c r="J2431">
        <v>2</v>
      </c>
      <c r="K2431" s="6">
        <v>8</v>
      </c>
      <c r="L2431" s="2">
        <v>6.99</v>
      </c>
      <c r="M2431" s="6">
        <v>11</v>
      </c>
      <c r="N2431" t="str" cm="1">
        <f t="array" ref="N2431">_xlfn.IFS(M2431&gt;=50,"50-60 Days", M2431&gt;=40,"40-50 Days", M2431&gt;=30, "30-40 Days", M2431&gt;=20, "20-30 Days", M2431&gt;=10, "10-20 Days", M2431&gt;=0, "0-10 Days")</f>
        <v>10-20 Days</v>
      </c>
    </row>
    <row r="2432" spans="1:14">
      <c r="A2432">
        <v>2431</v>
      </c>
      <c r="B2432" t="s">
        <v>28</v>
      </c>
      <c r="C2432" s="5">
        <v>45179</v>
      </c>
      <c r="D2432" s="8">
        <v>45179</v>
      </c>
      <c r="E2432" s="8">
        <f>IF(B2432="Inactive", EDATE(D2432,K2432), "")</f>
        <v>45453</v>
      </c>
      <c r="F2432" t="s">
        <v>14</v>
      </c>
      <c r="G2432">
        <v>5.3</v>
      </c>
      <c r="H2432" t="str" cm="1">
        <f t="array" ref="H2432">_xlfn.IFS(G2432&gt;=20,"20-25", G2432&gt;=15,"15-20", G2432&gt;=10,"10-15", G2432&gt;=5,"5-10", G2432&gt;=1,"1-5", G2432&lt;1,"Less than 1")</f>
        <v>5-10</v>
      </c>
      <c r="I2432">
        <v>5</v>
      </c>
      <c r="J2432">
        <v>4</v>
      </c>
      <c r="K2432" s="6">
        <v>9</v>
      </c>
      <c r="L2432" s="2">
        <v>3.99</v>
      </c>
      <c r="M2432" s="6">
        <v>18</v>
      </c>
      <c r="N2432" t="str" cm="1">
        <f t="array" ref="N2432">_xlfn.IFS(M2432&gt;=50,"50-60 Days", M2432&gt;=40,"40-50 Days", M2432&gt;=30, "30-40 Days", M2432&gt;=20, "20-30 Days", M2432&gt;=10, "10-20 Days", M2432&gt;=0, "0-10 Days")</f>
        <v>10-20 Days</v>
      </c>
    </row>
    <row r="2433" spans="1:14">
      <c r="A2433">
        <v>2432</v>
      </c>
      <c r="B2433" t="s">
        <v>29</v>
      </c>
      <c r="C2433" s="5">
        <v>45126</v>
      </c>
      <c r="D2433" s="8">
        <v>45126</v>
      </c>
      <c r="E2433" s="8" t="str">
        <f>IF(B2433="Inactive", EDATE(D2433,K2433), "")</f>
        <v/>
      </c>
      <c r="F2433" t="s">
        <v>10</v>
      </c>
      <c r="G2433">
        <v>17.2</v>
      </c>
      <c r="H2433" t="str" cm="1">
        <f t="array" ref="H2433">_xlfn.IFS(G2433&gt;=20,"20-25", G2433&gt;=15,"15-20", G2433&gt;=10,"10-15", G2433&gt;=5,"5-10", G2433&gt;=1,"1-5", G2433&lt;1,"Less than 1")</f>
        <v>15-20</v>
      </c>
      <c r="I2433">
        <v>4</v>
      </c>
      <c r="J2433">
        <v>3</v>
      </c>
      <c r="K2433" s="6">
        <v>3</v>
      </c>
      <c r="L2433" s="2">
        <v>6.99</v>
      </c>
      <c r="M2433" s="6">
        <v>53</v>
      </c>
      <c r="N2433" t="str" cm="1">
        <f t="array" ref="N2433">_xlfn.IFS(M2433&gt;=50,"50-60 Days", M2433&gt;=40,"40-50 Days", M2433&gt;=30, "30-40 Days", M2433&gt;=20, "20-30 Days", M2433&gt;=10, "10-20 Days", M2433&gt;=0, "0-10 Days")</f>
        <v>50-60 Days</v>
      </c>
    </row>
    <row r="2434" spans="1:14">
      <c r="A2434">
        <v>2433</v>
      </c>
      <c r="B2434" t="s">
        <v>29</v>
      </c>
      <c r="C2434" s="5">
        <v>45262</v>
      </c>
      <c r="D2434" s="8">
        <v>45262</v>
      </c>
      <c r="E2434" s="8" t="str">
        <f>IF(B2434="Inactive", EDATE(D2434,K2434), "")</f>
        <v/>
      </c>
      <c r="F2434" t="s">
        <v>10</v>
      </c>
      <c r="G2434">
        <v>8.8000000000000007</v>
      </c>
      <c r="H2434" t="str" cm="1">
        <f t="array" ref="H2434">_xlfn.IFS(G2434&gt;=20,"20-25", G2434&gt;=15,"15-20", G2434&gt;=10,"10-15", G2434&gt;=5,"5-10", G2434&gt;=1,"1-5", G2434&lt;1,"Less than 1")</f>
        <v>5-10</v>
      </c>
      <c r="I2434">
        <v>2</v>
      </c>
      <c r="J2434">
        <v>2</v>
      </c>
      <c r="K2434" s="6">
        <v>3</v>
      </c>
      <c r="L2434" s="2">
        <v>6.99</v>
      </c>
      <c r="M2434" s="6">
        <v>5</v>
      </c>
      <c r="N2434" t="str" cm="1">
        <f t="array" ref="N2434">_xlfn.IFS(M2434&gt;=50,"50-60 Days", M2434&gt;=40,"40-50 Days", M2434&gt;=30, "30-40 Days", M2434&gt;=20, "20-30 Days", M2434&gt;=10, "10-20 Days", M2434&gt;=0, "0-10 Days")</f>
        <v>0-10 Days</v>
      </c>
    </row>
    <row r="2435" spans="1:14">
      <c r="A2435">
        <v>2434</v>
      </c>
      <c r="B2435" t="s">
        <v>29</v>
      </c>
      <c r="C2435" s="5">
        <v>45325</v>
      </c>
      <c r="D2435" s="8">
        <v>45325</v>
      </c>
      <c r="E2435" s="8" t="str">
        <f>IF(B2435="Inactive", EDATE(D2435,K2435), "")</f>
        <v/>
      </c>
      <c r="F2435" t="s">
        <v>12</v>
      </c>
      <c r="G2435">
        <v>19.2</v>
      </c>
      <c r="H2435" t="str" cm="1">
        <f t="array" ref="H2435">_xlfn.IFS(G2435&gt;=20,"20-25", G2435&gt;=15,"15-20", G2435&gt;=10,"10-15", G2435&gt;=5,"5-10", G2435&gt;=1,"1-5", G2435&lt;1,"Less than 1")</f>
        <v>15-20</v>
      </c>
      <c r="I2435">
        <v>7</v>
      </c>
      <c r="J2435">
        <v>1</v>
      </c>
      <c r="K2435" s="6">
        <v>12</v>
      </c>
      <c r="L2435" s="2">
        <v>1.99</v>
      </c>
      <c r="M2435" s="6">
        <v>58</v>
      </c>
      <c r="N2435" t="str" cm="1">
        <f t="array" ref="N2435">_xlfn.IFS(M2435&gt;=50,"50-60 Days", M2435&gt;=40,"40-50 Days", M2435&gt;=30, "30-40 Days", M2435&gt;=20, "20-30 Days", M2435&gt;=10, "10-20 Days", M2435&gt;=0, "0-10 Days")</f>
        <v>50-60 Days</v>
      </c>
    </row>
    <row r="2436" spans="1:14">
      <c r="A2436">
        <v>2435</v>
      </c>
      <c r="B2436" t="s">
        <v>28</v>
      </c>
      <c r="C2436" s="5">
        <v>45549</v>
      </c>
      <c r="D2436" s="8">
        <v>45549</v>
      </c>
      <c r="E2436" s="8">
        <f>IF(B2436="Inactive", EDATE(D2436,K2436), "")</f>
        <v>45671</v>
      </c>
      <c r="F2436" t="s">
        <v>12</v>
      </c>
      <c r="G2436">
        <v>10.4</v>
      </c>
      <c r="H2436" t="str" cm="1">
        <f t="array" ref="H2436">_xlfn.IFS(G2436&gt;=20,"20-25", G2436&gt;=15,"15-20", G2436&gt;=10,"10-15", G2436&gt;=5,"5-10", G2436&gt;=1,"1-5", G2436&lt;1,"Less than 1")</f>
        <v>10-15</v>
      </c>
      <c r="I2436">
        <v>3</v>
      </c>
      <c r="J2436">
        <v>5</v>
      </c>
      <c r="K2436" s="6">
        <v>4</v>
      </c>
      <c r="L2436" s="2">
        <v>1.99</v>
      </c>
      <c r="M2436" s="6">
        <v>14</v>
      </c>
      <c r="N2436" t="str" cm="1">
        <f t="array" ref="N2436">_xlfn.IFS(M2436&gt;=50,"50-60 Days", M2436&gt;=40,"40-50 Days", M2436&gt;=30, "30-40 Days", M2436&gt;=20, "20-30 Days", M2436&gt;=10, "10-20 Days", M2436&gt;=0, "0-10 Days")</f>
        <v>10-20 Days</v>
      </c>
    </row>
    <row r="2437" spans="1:14">
      <c r="A2437">
        <v>2436</v>
      </c>
      <c r="B2437" t="s">
        <v>28</v>
      </c>
      <c r="C2437" s="5">
        <v>45305</v>
      </c>
      <c r="D2437" s="8">
        <v>45305</v>
      </c>
      <c r="E2437" s="8">
        <f>IF(B2437="Inactive", EDATE(D2437,K2437), "")</f>
        <v>45549</v>
      </c>
      <c r="F2437" t="s">
        <v>10</v>
      </c>
      <c r="G2437">
        <v>3</v>
      </c>
      <c r="H2437" t="str" cm="1">
        <f t="array" ref="H2437">_xlfn.IFS(G2437&gt;=20,"20-25", G2437&gt;=15,"15-20", G2437&gt;=10,"10-15", G2437&gt;=5,"5-10", G2437&gt;=1,"1-5", G2437&lt;1,"Less than 1")</f>
        <v>1-5</v>
      </c>
      <c r="I2437">
        <v>8</v>
      </c>
      <c r="J2437">
        <v>0</v>
      </c>
      <c r="K2437" s="6">
        <v>8</v>
      </c>
      <c r="L2437" s="2">
        <v>6.99</v>
      </c>
      <c r="M2437" s="6">
        <v>35</v>
      </c>
      <c r="N2437" t="str" cm="1">
        <f t="array" ref="N2437">_xlfn.IFS(M2437&gt;=50,"50-60 Days", M2437&gt;=40,"40-50 Days", M2437&gt;=30, "30-40 Days", M2437&gt;=20, "20-30 Days", M2437&gt;=10, "10-20 Days", M2437&gt;=0, "0-10 Days")</f>
        <v>30-40 Days</v>
      </c>
    </row>
    <row r="2438" spans="1:14">
      <c r="A2438">
        <v>2437</v>
      </c>
      <c r="B2438" t="s">
        <v>29</v>
      </c>
      <c r="C2438" s="5">
        <v>45499</v>
      </c>
      <c r="D2438" s="8">
        <v>45499</v>
      </c>
      <c r="E2438" s="8" t="str">
        <f>IF(B2438="Inactive", EDATE(D2438,K2438), "")</f>
        <v/>
      </c>
      <c r="F2438" t="s">
        <v>14</v>
      </c>
      <c r="G2438">
        <v>23.8</v>
      </c>
      <c r="H2438" t="str" cm="1">
        <f t="array" ref="H2438">_xlfn.IFS(G2438&gt;=20,"20-25", G2438&gt;=15,"15-20", G2438&gt;=10,"10-15", G2438&gt;=5,"5-10", G2438&gt;=1,"1-5", G2438&lt;1,"Less than 1")</f>
        <v>20-25</v>
      </c>
      <c r="I2438">
        <v>7</v>
      </c>
      <c r="J2438">
        <v>4</v>
      </c>
      <c r="K2438" s="6">
        <v>1</v>
      </c>
      <c r="L2438" s="2">
        <v>3.99</v>
      </c>
      <c r="M2438" s="6">
        <v>16</v>
      </c>
      <c r="N2438" t="str" cm="1">
        <f t="array" ref="N2438">_xlfn.IFS(M2438&gt;=50,"50-60 Days", M2438&gt;=40,"40-50 Days", M2438&gt;=30, "30-40 Days", M2438&gt;=20, "20-30 Days", M2438&gt;=10, "10-20 Days", M2438&gt;=0, "0-10 Days")</f>
        <v>10-20 Days</v>
      </c>
    </row>
    <row r="2439" spans="1:14">
      <c r="A2439">
        <v>2438</v>
      </c>
      <c r="B2439" t="s">
        <v>29</v>
      </c>
      <c r="C2439" s="5">
        <v>45156</v>
      </c>
      <c r="D2439" s="8">
        <v>45156</v>
      </c>
      <c r="E2439" s="8" t="str">
        <f>IF(B2439="Inactive", EDATE(D2439,K2439), "")</f>
        <v/>
      </c>
      <c r="F2439" t="s">
        <v>14</v>
      </c>
      <c r="G2439">
        <v>15.4</v>
      </c>
      <c r="H2439" t="str" cm="1">
        <f t="array" ref="H2439">_xlfn.IFS(G2439&gt;=20,"20-25", G2439&gt;=15,"15-20", G2439&gt;=10,"10-15", G2439&gt;=5,"5-10", G2439&gt;=1,"1-5", G2439&lt;1,"Less than 1")</f>
        <v>15-20</v>
      </c>
      <c r="I2439">
        <v>7</v>
      </c>
      <c r="J2439">
        <v>5</v>
      </c>
      <c r="K2439" s="6">
        <v>1</v>
      </c>
      <c r="L2439" s="2">
        <v>3.99</v>
      </c>
      <c r="M2439" s="6">
        <v>18</v>
      </c>
      <c r="N2439" t="str" cm="1">
        <f t="array" ref="N2439">_xlfn.IFS(M2439&gt;=50,"50-60 Days", M2439&gt;=40,"40-50 Days", M2439&gt;=30, "30-40 Days", M2439&gt;=20, "20-30 Days", M2439&gt;=10, "10-20 Days", M2439&gt;=0, "0-10 Days")</f>
        <v>10-20 Days</v>
      </c>
    </row>
    <row r="2440" spans="1:14">
      <c r="A2440">
        <v>2439</v>
      </c>
      <c r="B2440" t="s">
        <v>28</v>
      </c>
      <c r="C2440" s="5">
        <v>45517</v>
      </c>
      <c r="D2440" s="8">
        <v>45517</v>
      </c>
      <c r="E2440" s="8">
        <f>IF(B2440="Inactive", EDATE(D2440,K2440), "")</f>
        <v>45670</v>
      </c>
      <c r="F2440" t="s">
        <v>12</v>
      </c>
      <c r="G2440">
        <v>8</v>
      </c>
      <c r="H2440" t="str" cm="1">
        <f t="array" ref="H2440">_xlfn.IFS(G2440&gt;=20,"20-25", G2440&gt;=15,"15-20", G2440&gt;=10,"10-15", G2440&gt;=5,"5-10", G2440&gt;=1,"1-5", G2440&lt;1,"Less than 1")</f>
        <v>5-10</v>
      </c>
      <c r="I2440">
        <v>1</v>
      </c>
      <c r="J2440">
        <v>5</v>
      </c>
      <c r="K2440" s="6">
        <v>5</v>
      </c>
      <c r="L2440" s="2">
        <v>1.99</v>
      </c>
      <c r="M2440" s="6">
        <v>57</v>
      </c>
      <c r="N2440" t="str" cm="1">
        <f t="array" ref="N2440">_xlfn.IFS(M2440&gt;=50,"50-60 Days", M2440&gt;=40,"40-50 Days", M2440&gt;=30, "30-40 Days", M2440&gt;=20, "20-30 Days", M2440&gt;=10, "10-20 Days", M2440&gt;=0, "0-10 Days")</f>
        <v>50-60 Days</v>
      </c>
    </row>
    <row r="2441" spans="1:14">
      <c r="A2441">
        <v>2440</v>
      </c>
      <c r="B2441" t="s">
        <v>28</v>
      </c>
      <c r="C2441" s="5">
        <v>45648</v>
      </c>
      <c r="D2441" s="8">
        <v>45648</v>
      </c>
      <c r="E2441" s="8">
        <f>IF(B2441="Inactive", EDATE(D2441,K2441), "")</f>
        <v>45738</v>
      </c>
      <c r="F2441" t="s">
        <v>12</v>
      </c>
      <c r="G2441">
        <v>22.9</v>
      </c>
      <c r="H2441" t="str" cm="1">
        <f t="array" ref="H2441">_xlfn.IFS(G2441&gt;=20,"20-25", G2441&gt;=15,"15-20", G2441&gt;=10,"10-15", G2441&gt;=5,"5-10", G2441&gt;=1,"1-5", G2441&lt;1,"Less than 1")</f>
        <v>20-25</v>
      </c>
      <c r="I2441">
        <v>7</v>
      </c>
      <c r="J2441">
        <v>1</v>
      </c>
      <c r="K2441" s="6">
        <v>3</v>
      </c>
      <c r="L2441" s="2">
        <v>1.99</v>
      </c>
      <c r="M2441" s="6">
        <v>3</v>
      </c>
      <c r="N2441" t="str" cm="1">
        <f t="array" ref="N2441">_xlfn.IFS(M2441&gt;=50,"50-60 Days", M2441&gt;=40,"40-50 Days", M2441&gt;=30, "30-40 Days", M2441&gt;=20, "20-30 Days", M2441&gt;=10, "10-20 Days", M2441&gt;=0, "0-10 Days")</f>
        <v>0-10 Days</v>
      </c>
    </row>
    <row r="2442" spans="1:14">
      <c r="A2442">
        <v>2441</v>
      </c>
      <c r="B2442" t="s">
        <v>29</v>
      </c>
      <c r="C2442" s="5">
        <v>45330</v>
      </c>
      <c r="D2442" s="8">
        <v>45330</v>
      </c>
      <c r="E2442" s="8" t="str">
        <f>IF(B2442="Inactive", EDATE(D2442,K2442), "")</f>
        <v/>
      </c>
      <c r="F2442" t="s">
        <v>14</v>
      </c>
      <c r="G2442">
        <v>7.1</v>
      </c>
      <c r="H2442" t="str" cm="1">
        <f t="array" ref="H2442">_xlfn.IFS(G2442&gt;=20,"20-25", G2442&gt;=15,"15-20", G2442&gt;=10,"10-15", G2442&gt;=5,"5-10", G2442&gt;=1,"1-5", G2442&lt;1,"Less than 1")</f>
        <v>5-10</v>
      </c>
      <c r="I2442">
        <v>0</v>
      </c>
      <c r="J2442">
        <v>0</v>
      </c>
      <c r="K2442" s="6">
        <v>6</v>
      </c>
      <c r="L2442" s="2">
        <v>3.99</v>
      </c>
      <c r="M2442" s="6">
        <v>53</v>
      </c>
      <c r="N2442" t="str" cm="1">
        <f t="array" ref="N2442">_xlfn.IFS(M2442&gt;=50,"50-60 Days", M2442&gt;=40,"40-50 Days", M2442&gt;=30, "30-40 Days", M2442&gt;=20, "20-30 Days", M2442&gt;=10, "10-20 Days", M2442&gt;=0, "0-10 Days")</f>
        <v>50-60 Days</v>
      </c>
    </row>
    <row r="2443" spans="1:14">
      <c r="A2443">
        <v>2442</v>
      </c>
      <c r="B2443" t="s">
        <v>29</v>
      </c>
      <c r="C2443" s="5">
        <v>45134</v>
      </c>
      <c r="D2443" s="8">
        <v>45134</v>
      </c>
      <c r="E2443" s="8" t="str">
        <f>IF(B2443="Inactive", EDATE(D2443,K2443), "")</f>
        <v/>
      </c>
      <c r="F2443" t="s">
        <v>14</v>
      </c>
      <c r="G2443">
        <v>8.5</v>
      </c>
      <c r="H2443" t="str" cm="1">
        <f t="array" ref="H2443">_xlfn.IFS(G2443&gt;=20,"20-25", G2443&gt;=15,"15-20", G2443&gt;=10,"10-15", G2443&gt;=5,"5-10", G2443&gt;=1,"1-5", G2443&lt;1,"Less than 1")</f>
        <v>5-10</v>
      </c>
      <c r="I2443">
        <v>7</v>
      </c>
      <c r="J2443">
        <v>0</v>
      </c>
      <c r="K2443" s="6">
        <v>2</v>
      </c>
      <c r="L2443" s="2">
        <v>3.99</v>
      </c>
      <c r="M2443" s="6">
        <v>20</v>
      </c>
      <c r="N2443" t="str" cm="1">
        <f t="array" ref="N2443">_xlfn.IFS(M2443&gt;=50,"50-60 Days", M2443&gt;=40,"40-50 Days", M2443&gt;=30, "30-40 Days", M2443&gt;=20, "20-30 Days", M2443&gt;=10, "10-20 Days", M2443&gt;=0, "0-10 Days")</f>
        <v>20-30 Days</v>
      </c>
    </row>
    <row r="2444" spans="1:14">
      <c r="A2444">
        <v>2443</v>
      </c>
      <c r="B2444" t="s">
        <v>28</v>
      </c>
      <c r="C2444" s="5">
        <v>45356</v>
      </c>
      <c r="D2444" s="8">
        <v>45356</v>
      </c>
      <c r="E2444" s="8">
        <f>IF(B2444="Inactive", EDATE(D2444,K2444), "")</f>
        <v>45509</v>
      </c>
      <c r="F2444" t="s">
        <v>12</v>
      </c>
      <c r="G2444">
        <v>18.399999999999999</v>
      </c>
      <c r="H2444" t="str" cm="1">
        <f t="array" ref="H2444">_xlfn.IFS(G2444&gt;=20,"20-25", G2444&gt;=15,"15-20", G2444&gt;=10,"10-15", G2444&gt;=5,"5-10", G2444&gt;=1,"1-5", G2444&lt;1,"Less than 1")</f>
        <v>15-20</v>
      </c>
      <c r="I2444">
        <v>5</v>
      </c>
      <c r="J2444">
        <v>4</v>
      </c>
      <c r="K2444" s="6">
        <v>5</v>
      </c>
      <c r="L2444" s="2">
        <v>1.99</v>
      </c>
      <c r="M2444" s="6">
        <v>56</v>
      </c>
      <c r="N2444" t="str" cm="1">
        <f t="array" ref="N2444">_xlfn.IFS(M2444&gt;=50,"50-60 Days", M2444&gt;=40,"40-50 Days", M2444&gt;=30, "30-40 Days", M2444&gt;=20, "20-30 Days", M2444&gt;=10, "10-20 Days", M2444&gt;=0, "0-10 Days")</f>
        <v>50-60 Days</v>
      </c>
    </row>
    <row r="2445" spans="1:14">
      <c r="A2445">
        <v>2444</v>
      </c>
      <c r="B2445" t="s">
        <v>28</v>
      </c>
      <c r="C2445" s="5">
        <v>44943</v>
      </c>
      <c r="D2445" s="8">
        <v>44943</v>
      </c>
      <c r="E2445" s="8">
        <f>IF(B2445="Inactive", EDATE(D2445,K2445), "")</f>
        <v>45308</v>
      </c>
      <c r="F2445" t="s">
        <v>14</v>
      </c>
      <c r="G2445">
        <v>2.9</v>
      </c>
      <c r="H2445" t="str" cm="1">
        <f t="array" ref="H2445">_xlfn.IFS(G2445&gt;=20,"20-25", G2445&gt;=15,"15-20", G2445&gt;=10,"10-15", G2445&gt;=5,"5-10", G2445&gt;=1,"1-5", G2445&lt;1,"Less than 1")</f>
        <v>1-5</v>
      </c>
      <c r="I2445">
        <v>6</v>
      </c>
      <c r="J2445">
        <v>3</v>
      </c>
      <c r="K2445" s="6">
        <v>12</v>
      </c>
      <c r="L2445" s="2">
        <v>3.99</v>
      </c>
      <c r="M2445" s="6">
        <v>54</v>
      </c>
      <c r="N2445" t="str" cm="1">
        <f t="array" ref="N2445">_xlfn.IFS(M2445&gt;=50,"50-60 Days", M2445&gt;=40,"40-50 Days", M2445&gt;=30, "30-40 Days", M2445&gt;=20, "20-30 Days", M2445&gt;=10, "10-20 Days", M2445&gt;=0, "0-10 Days")</f>
        <v>50-60 Days</v>
      </c>
    </row>
    <row r="2446" spans="1:14">
      <c r="A2446">
        <v>2445</v>
      </c>
      <c r="B2446" t="s">
        <v>29</v>
      </c>
      <c r="C2446" s="5">
        <v>45038</v>
      </c>
      <c r="D2446" s="8">
        <v>45038</v>
      </c>
      <c r="E2446" s="8" t="str">
        <f>IF(B2446="Inactive", EDATE(D2446,K2446), "")</f>
        <v/>
      </c>
      <c r="F2446" t="s">
        <v>10</v>
      </c>
      <c r="G2446">
        <v>23.8</v>
      </c>
      <c r="H2446" t="str" cm="1">
        <f t="array" ref="H2446">_xlfn.IFS(G2446&gt;=20,"20-25", G2446&gt;=15,"15-20", G2446&gt;=10,"10-15", G2446&gt;=5,"5-10", G2446&gt;=1,"1-5", G2446&lt;1,"Less than 1")</f>
        <v>20-25</v>
      </c>
      <c r="I2446">
        <v>2</v>
      </c>
      <c r="J2446">
        <v>5</v>
      </c>
      <c r="K2446" s="6">
        <v>6</v>
      </c>
      <c r="L2446" s="2">
        <v>6.99</v>
      </c>
      <c r="M2446" s="6">
        <v>55</v>
      </c>
      <c r="N2446" t="str" cm="1">
        <f t="array" ref="N2446">_xlfn.IFS(M2446&gt;=50,"50-60 Days", M2446&gt;=40,"40-50 Days", M2446&gt;=30, "30-40 Days", M2446&gt;=20, "20-30 Days", M2446&gt;=10, "10-20 Days", M2446&gt;=0, "0-10 Days")</f>
        <v>50-60 Days</v>
      </c>
    </row>
    <row r="2447" spans="1:14">
      <c r="A2447">
        <v>2446</v>
      </c>
      <c r="B2447" t="s">
        <v>28</v>
      </c>
      <c r="C2447" s="5">
        <v>45468</v>
      </c>
      <c r="D2447" s="8">
        <v>45468</v>
      </c>
      <c r="E2447" s="8">
        <f>IF(B2447="Inactive", EDATE(D2447,K2447), "")</f>
        <v>45529</v>
      </c>
      <c r="F2447" t="s">
        <v>14</v>
      </c>
      <c r="G2447">
        <v>1.4</v>
      </c>
      <c r="H2447" t="str" cm="1">
        <f t="array" ref="H2447">_xlfn.IFS(G2447&gt;=20,"20-25", G2447&gt;=15,"15-20", G2447&gt;=10,"10-15", G2447&gt;=5,"5-10", G2447&gt;=1,"1-5", G2447&lt;1,"Less than 1")</f>
        <v>1-5</v>
      </c>
      <c r="I2447">
        <v>5</v>
      </c>
      <c r="J2447">
        <v>1</v>
      </c>
      <c r="K2447" s="6">
        <v>2</v>
      </c>
      <c r="L2447" s="2">
        <v>3.99</v>
      </c>
      <c r="M2447" s="6">
        <v>29</v>
      </c>
      <c r="N2447" t="str" cm="1">
        <f t="array" ref="N2447">_xlfn.IFS(M2447&gt;=50,"50-60 Days", M2447&gt;=40,"40-50 Days", M2447&gt;=30, "30-40 Days", M2447&gt;=20, "20-30 Days", M2447&gt;=10, "10-20 Days", M2447&gt;=0, "0-10 Days")</f>
        <v>20-30 Days</v>
      </c>
    </row>
    <row r="2448" spans="1:14">
      <c r="A2448">
        <v>2447</v>
      </c>
      <c r="B2448" t="s">
        <v>29</v>
      </c>
      <c r="C2448" s="5">
        <v>45416</v>
      </c>
      <c r="D2448" s="8">
        <v>45416</v>
      </c>
      <c r="E2448" s="8" t="str">
        <f>IF(B2448="Inactive", EDATE(D2448,K2448), "")</f>
        <v/>
      </c>
      <c r="F2448" t="s">
        <v>12</v>
      </c>
      <c r="G2448">
        <v>12.1</v>
      </c>
      <c r="H2448" t="str" cm="1">
        <f t="array" ref="H2448">_xlfn.IFS(G2448&gt;=20,"20-25", G2448&gt;=15,"15-20", G2448&gt;=10,"10-15", G2448&gt;=5,"5-10", G2448&gt;=1,"1-5", G2448&lt;1,"Less than 1")</f>
        <v>10-15</v>
      </c>
      <c r="I2448">
        <v>0</v>
      </c>
      <c r="J2448">
        <v>4</v>
      </c>
      <c r="K2448" s="6">
        <v>12</v>
      </c>
      <c r="L2448" s="2">
        <v>1.99</v>
      </c>
      <c r="M2448" s="6">
        <v>46</v>
      </c>
      <c r="N2448" t="str" cm="1">
        <f t="array" ref="N2448">_xlfn.IFS(M2448&gt;=50,"50-60 Days", M2448&gt;=40,"40-50 Days", M2448&gt;=30, "30-40 Days", M2448&gt;=20, "20-30 Days", M2448&gt;=10, "10-20 Days", M2448&gt;=0, "0-10 Days")</f>
        <v>40-50 Days</v>
      </c>
    </row>
    <row r="2449" spans="1:14">
      <c r="A2449">
        <v>2448</v>
      </c>
      <c r="B2449" t="s">
        <v>28</v>
      </c>
      <c r="C2449" s="5">
        <v>45283</v>
      </c>
      <c r="D2449" s="8">
        <v>45283</v>
      </c>
      <c r="E2449" s="8">
        <f>IF(B2449="Inactive", EDATE(D2449,K2449), "")</f>
        <v>45466</v>
      </c>
      <c r="F2449" t="s">
        <v>12</v>
      </c>
      <c r="G2449">
        <v>9.3000000000000007</v>
      </c>
      <c r="H2449" t="str" cm="1">
        <f t="array" ref="H2449">_xlfn.IFS(G2449&gt;=20,"20-25", G2449&gt;=15,"15-20", G2449&gt;=10,"10-15", G2449&gt;=5,"5-10", G2449&gt;=1,"1-5", G2449&lt;1,"Less than 1")</f>
        <v>5-10</v>
      </c>
      <c r="I2449">
        <v>3</v>
      </c>
      <c r="J2449">
        <v>4</v>
      </c>
      <c r="K2449" s="6">
        <v>6</v>
      </c>
      <c r="L2449" s="2">
        <v>1.99</v>
      </c>
      <c r="M2449" s="6">
        <v>33</v>
      </c>
      <c r="N2449" t="str" cm="1">
        <f t="array" ref="N2449">_xlfn.IFS(M2449&gt;=50,"50-60 Days", M2449&gt;=40,"40-50 Days", M2449&gt;=30, "30-40 Days", M2449&gt;=20, "20-30 Days", M2449&gt;=10, "10-20 Days", M2449&gt;=0, "0-10 Days")</f>
        <v>30-40 Days</v>
      </c>
    </row>
    <row r="2450" spans="1:14">
      <c r="A2450">
        <v>2449</v>
      </c>
      <c r="B2450" t="s">
        <v>29</v>
      </c>
      <c r="C2450" s="5">
        <v>45365</v>
      </c>
      <c r="D2450" s="8">
        <v>45365</v>
      </c>
      <c r="E2450" s="8" t="str">
        <f>IF(B2450="Inactive", EDATE(D2450,K2450), "")</f>
        <v/>
      </c>
      <c r="F2450" t="s">
        <v>14</v>
      </c>
      <c r="G2450">
        <v>22.3</v>
      </c>
      <c r="H2450" t="str" cm="1">
        <f t="array" ref="H2450">_xlfn.IFS(G2450&gt;=20,"20-25", G2450&gt;=15,"15-20", G2450&gt;=10,"10-15", G2450&gt;=5,"5-10", G2450&gt;=1,"1-5", G2450&lt;1,"Less than 1")</f>
        <v>20-25</v>
      </c>
      <c r="I2450">
        <v>5</v>
      </c>
      <c r="J2450">
        <v>4</v>
      </c>
      <c r="K2450" s="6">
        <v>4</v>
      </c>
      <c r="L2450" s="2">
        <v>3.99</v>
      </c>
      <c r="M2450" s="6">
        <v>51</v>
      </c>
      <c r="N2450" t="str" cm="1">
        <f t="array" ref="N2450">_xlfn.IFS(M2450&gt;=50,"50-60 Days", M2450&gt;=40,"40-50 Days", M2450&gt;=30, "30-40 Days", M2450&gt;=20, "20-30 Days", M2450&gt;=10, "10-20 Days", M2450&gt;=0, "0-10 Days")</f>
        <v>50-60 Days</v>
      </c>
    </row>
    <row r="2451" spans="1:14">
      <c r="A2451">
        <v>2450</v>
      </c>
      <c r="B2451" t="s">
        <v>29</v>
      </c>
      <c r="C2451" s="5">
        <v>45478</v>
      </c>
      <c r="D2451" s="8">
        <v>45478</v>
      </c>
      <c r="E2451" s="8" t="str">
        <f>IF(B2451="Inactive", EDATE(D2451,K2451), "")</f>
        <v/>
      </c>
      <c r="F2451" t="s">
        <v>14</v>
      </c>
      <c r="G2451">
        <v>23.9</v>
      </c>
      <c r="H2451" t="str" cm="1">
        <f t="array" ref="H2451">_xlfn.IFS(G2451&gt;=20,"20-25", G2451&gt;=15,"15-20", G2451&gt;=10,"10-15", G2451&gt;=5,"5-10", G2451&gt;=1,"1-5", G2451&lt;1,"Less than 1")</f>
        <v>20-25</v>
      </c>
      <c r="I2451">
        <v>8</v>
      </c>
      <c r="J2451">
        <v>3</v>
      </c>
      <c r="K2451" s="6">
        <v>2</v>
      </c>
      <c r="L2451" s="2">
        <v>3.99</v>
      </c>
      <c r="M2451" s="6">
        <v>50</v>
      </c>
      <c r="N2451" t="str" cm="1">
        <f t="array" ref="N2451">_xlfn.IFS(M2451&gt;=50,"50-60 Days", M2451&gt;=40,"40-50 Days", M2451&gt;=30, "30-40 Days", M2451&gt;=20, "20-30 Days", M2451&gt;=10, "10-20 Days", M2451&gt;=0, "0-10 Days")</f>
        <v>50-60 Days</v>
      </c>
    </row>
    <row r="2452" spans="1:14">
      <c r="A2452">
        <v>2451</v>
      </c>
      <c r="B2452" t="s">
        <v>29</v>
      </c>
      <c r="C2452" s="5">
        <v>45449</v>
      </c>
      <c r="D2452" s="8">
        <v>45449</v>
      </c>
      <c r="E2452" s="8" t="str">
        <f>IF(B2452="Inactive", EDATE(D2452,K2452), "")</f>
        <v/>
      </c>
      <c r="F2452" t="s">
        <v>14</v>
      </c>
      <c r="G2452">
        <v>7.8</v>
      </c>
      <c r="H2452" t="str" cm="1">
        <f t="array" ref="H2452">_xlfn.IFS(G2452&gt;=20,"20-25", G2452&gt;=15,"15-20", G2452&gt;=10,"10-15", G2452&gt;=5,"5-10", G2452&gt;=1,"1-5", G2452&lt;1,"Less than 1")</f>
        <v>5-10</v>
      </c>
      <c r="I2452">
        <v>2</v>
      </c>
      <c r="J2452">
        <v>1</v>
      </c>
      <c r="K2452" s="6">
        <v>6</v>
      </c>
      <c r="L2452" s="2">
        <v>3.99</v>
      </c>
      <c r="M2452" s="6">
        <v>31</v>
      </c>
      <c r="N2452" t="str" cm="1">
        <f t="array" ref="N2452">_xlfn.IFS(M2452&gt;=50,"50-60 Days", M2452&gt;=40,"40-50 Days", M2452&gt;=30, "30-40 Days", M2452&gt;=20, "20-30 Days", M2452&gt;=10, "10-20 Days", M2452&gt;=0, "0-10 Days")</f>
        <v>30-40 Days</v>
      </c>
    </row>
    <row r="2453" spans="1:14">
      <c r="A2453">
        <v>2452</v>
      </c>
      <c r="B2453" t="s">
        <v>28</v>
      </c>
      <c r="C2453" s="5">
        <v>45299</v>
      </c>
      <c r="D2453" s="8">
        <v>45299</v>
      </c>
      <c r="E2453" s="8">
        <f>IF(B2453="Inactive", EDATE(D2453,K2453), "")</f>
        <v>45481</v>
      </c>
      <c r="F2453" t="s">
        <v>14</v>
      </c>
      <c r="G2453">
        <v>13.8</v>
      </c>
      <c r="H2453" t="str" cm="1">
        <f t="array" ref="H2453">_xlfn.IFS(G2453&gt;=20,"20-25", G2453&gt;=15,"15-20", G2453&gt;=10,"10-15", G2453&gt;=5,"5-10", G2453&gt;=1,"1-5", G2453&lt;1,"Less than 1")</f>
        <v>10-15</v>
      </c>
      <c r="I2453">
        <v>5</v>
      </c>
      <c r="J2453">
        <v>5</v>
      </c>
      <c r="K2453" s="6">
        <v>6</v>
      </c>
      <c r="L2453" s="2">
        <v>3.99</v>
      </c>
      <c r="M2453" s="6">
        <v>37</v>
      </c>
      <c r="N2453" t="str" cm="1">
        <f t="array" ref="N2453">_xlfn.IFS(M2453&gt;=50,"50-60 Days", M2453&gt;=40,"40-50 Days", M2453&gt;=30, "30-40 Days", M2453&gt;=20, "20-30 Days", M2453&gt;=10, "10-20 Days", M2453&gt;=0, "0-10 Days")</f>
        <v>30-40 Days</v>
      </c>
    </row>
    <row r="2454" spans="1:14">
      <c r="A2454">
        <v>2453</v>
      </c>
      <c r="B2454" t="s">
        <v>29</v>
      </c>
      <c r="C2454" s="5">
        <v>45011</v>
      </c>
      <c r="D2454" s="8">
        <v>45011</v>
      </c>
      <c r="E2454" s="8" t="str">
        <f>IF(B2454="Inactive", EDATE(D2454,K2454), "")</f>
        <v/>
      </c>
      <c r="F2454" t="s">
        <v>14</v>
      </c>
      <c r="G2454">
        <v>4.9000000000000004</v>
      </c>
      <c r="H2454" t="str" cm="1">
        <f t="array" ref="H2454">_xlfn.IFS(G2454&gt;=20,"20-25", G2454&gt;=15,"15-20", G2454&gt;=10,"10-15", G2454&gt;=5,"5-10", G2454&gt;=1,"1-5", G2454&lt;1,"Less than 1")</f>
        <v>1-5</v>
      </c>
      <c r="I2454">
        <v>2</v>
      </c>
      <c r="J2454">
        <v>2</v>
      </c>
      <c r="K2454" s="6">
        <v>7</v>
      </c>
      <c r="L2454" s="2">
        <v>3.99</v>
      </c>
      <c r="M2454" s="6">
        <v>39</v>
      </c>
      <c r="N2454" t="str" cm="1">
        <f t="array" ref="N2454">_xlfn.IFS(M2454&gt;=50,"50-60 Days", M2454&gt;=40,"40-50 Days", M2454&gt;=30, "30-40 Days", M2454&gt;=20, "20-30 Days", M2454&gt;=10, "10-20 Days", M2454&gt;=0, "0-10 Days")</f>
        <v>30-40 Days</v>
      </c>
    </row>
    <row r="2455" spans="1:14">
      <c r="A2455">
        <v>2454</v>
      </c>
      <c r="B2455" t="s">
        <v>29</v>
      </c>
      <c r="C2455" s="5">
        <v>44967</v>
      </c>
      <c r="D2455" s="8">
        <v>44967</v>
      </c>
      <c r="E2455" s="8" t="str">
        <f>IF(B2455="Inactive", EDATE(D2455,K2455), "")</f>
        <v/>
      </c>
      <c r="F2455" t="s">
        <v>10</v>
      </c>
      <c r="G2455">
        <v>24.6</v>
      </c>
      <c r="H2455" t="str" cm="1">
        <f t="array" ref="H2455">_xlfn.IFS(G2455&gt;=20,"20-25", G2455&gt;=15,"15-20", G2455&gt;=10,"10-15", G2455&gt;=5,"5-10", G2455&gt;=1,"1-5", G2455&lt;1,"Less than 1")</f>
        <v>20-25</v>
      </c>
      <c r="I2455">
        <v>0</v>
      </c>
      <c r="J2455">
        <v>1</v>
      </c>
      <c r="K2455" s="6">
        <v>10</v>
      </c>
      <c r="L2455" s="2">
        <v>6.99</v>
      </c>
      <c r="M2455" s="6">
        <v>59</v>
      </c>
      <c r="N2455" t="str" cm="1">
        <f t="array" ref="N2455">_xlfn.IFS(M2455&gt;=50,"50-60 Days", M2455&gt;=40,"40-50 Days", M2455&gt;=30, "30-40 Days", M2455&gt;=20, "20-30 Days", M2455&gt;=10, "10-20 Days", M2455&gt;=0, "0-10 Days")</f>
        <v>50-60 Days</v>
      </c>
    </row>
    <row r="2456" spans="1:14">
      <c r="A2456">
        <v>2455</v>
      </c>
      <c r="B2456" t="s">
        <v>29</v>
      </c>
      <c r="C2456" s="5">
        <v>45164</v>
      </c>
      <c r="D2456" s="8">
        <v>45164</v>
      </c>
      <c r="E2456" s="8" t="str">
        <f>IF(B2456="Inactive", EDATE(D2456,K2456), "")</f>
        <v/>
      </c>
      <c r="F2456" t="s">
        <v>12</v>
      </c>
      <c r="G2456">
        <v>20.100000000000001</v>
      </c>
      <c r="H2456" t="str" cm="1">
        <f t="array" ref="H2456">_xlfn.IFS(G2456&gt;=20,"20-25", G2456&gt;=15,"15-20", G2456&gt;=10,"10-15", G2456&gt;=5,"5-10", G2456&gt;=1,"1-5", G2456&lt;1,"Less than 1")</f>
        <v>20-25</v>
      </c>
      <c r="I2456">
        <v>5</v>
      </c>
      <c r="J2456">
        <v>5</v>
      </c>
      <c r="K2456" s="6">
        <v>4</v>
      </c>
      <c r="L2456" s="2">
        <v>1.99</v>
      </c>
      <c r="M2456" s="6">
        <v>14</v>
      </c>
      <c r="N2456" t="str" cm="1">
        <f t="array" ref="N2456">_xlfn.IFS(M2456&gt;=50,"50-60 Days", M2456&gt;=40,"40-50 Days", M2456&gt;=30, "30-40 Days", M2456&gt;=20, "20-30 Days", M2456&gt;=10, "10-20 Days", M2456&gt;=0, "0-10 Days")</f>
        <v>10-20 Days</v>
      </c>
    </row>
    <row r="2457" spans="1:14">
      <c r="A2457">
        <v>2456</v>
      </c>
      <c r="B2457" t="s">
        <v>28</v>
      </c>
      <c r="C2457" s="5">
        <v>45140</v>
      </c>
      <c r="D2457" s="8">
        <v>45140</v>
      </c>
      <c r="E2457" s="8">
        <f>IF(B2457="Inactive", EDATE(D2457,K2457), "")</f>
        <v>45324</v>
      </c>
      <c r="F2457" t="s">
        <v>12</v>
      </c>
      <c r="G2457">
        <v>3.7</v>
      </c>
      <c r="H2457" t="str" cm="1">
        <f t="array" ref="H2457">_xlfn.IFS(G2457&gt;=20,"20-25", G2457&gt;=15,"15-20", G2457&gt;=10,"10-15", G2457&gt;=5,"5-10", G2457&gt;=1,"1-5", G2457&lt;1,"Less than 1")</f>
        <v>1-5</v>
      </c>
      <c r="I2457">
        <v>1</v>
      </c>
      <c r="J2457">
        <v>2</v>
      </c>
      <c r="K2457" s="6">
        <v>6</v>
      </c>
      <c r="L2457" s="2">
        <v>1.99</v>
      </c>
      <c r="M2457" s="6">
        <v>55</v>
      </c>
      <c r="N2457" t="str" cm="1">
        <f t="array" ref="N2457">_xlfn.IFS(M2457&gt;=50,"50-60 Days", M2457&gt;=40,"40-50 Days", M2457&gt;=30, "30-40 Days", M2457&gt;=20, "20-30 Days", M2457&gt;=10, "10-20 Days", M2457&gt;=0, "0-10 Days")</f>
        <v>50-60 Days</v>
      </c>
    </row>
    <row r="2458" spans="1:14">
      <c r="A2458">
        <v>2457</v>
      </c>
      <c r="B2458" t="s">
        <v>29</v>
      </c>
      <c r="C2458" s="5">
        <v>45362</v>
      </c>
      <c r="D2458" s="8">
        <v>45362</v>
      </c>
      <c r="E2458" s="8" t="str">
        <f>IF(B2458="Inactive", EDATE(D2458,K2458), "")</f>
        <v/>
      </c>
      <c r="F2458" t="s">
        <v>12</v>
      </c>
      <c r="G2458">
        <v>8.8000000000000007</v>
      </c>
      <c r="H2458" t="str" cm="1">
        <f t="array" ref="H2458">_xlfn.IFS(G2458&gt;=20,"20-25", G2458&gt;=15,"15-20", G2458&gt;=10,"10-15", G2458&gt;=5,"5-10", G2458&gt;=1,"1-5", G2458&lt;1,"Less than 1")</f>
        <v>5-10</v>
      </c>
      <c r="I2458">
        <v>0</v>
      </c>
      <c r="J2458">
        <v>4</v>
      </c>
      <c r="K2458" s="6">
        <v>7</v>
      </c>
      <c r="L2458" s="2">
        <v>1.99</v>
      </c>
      <c r="M2458" s="6">
        <v>13</v>
      </c>
      <c r="N2458" t="str" cm="1">
        <f t="array" ref="N2458">_xlfn.IFS(M2458&gt;=50,"50-60 Days", M2458&gt;=40,"40-50 Days", M2458&gt;=30, "30-40 Days", M2458&gt;=20, "20-30 Days", M2458&gt;=10, "10-20 Days", M2458&gt;=0, "0-10 Days")</f>
        <v>10-20 Days</v>
      </c>
    </row>
    <row r="2459" spans="1:14">
      <c r="A2459">
        <v>2458</v>
      </c>
      <c r="B2459" t="s">
        <v>29</v>
      </c>
      <c r="C2459" s="5">
        <v>45464</v>
      </c>
      <c r="D2459" s="8">
        <v>45464</v>
      </c>
      <c r="E2459" s="8" t="str">
        <f>IF(B2459="Inactive", EDATE(D2459,K2459), "")</f>
        <v/>
      </c>
      <c r="F2459" t="s">
        <v>10</v>
      </c>
      <c r="G2459">
        <v>17.2</v>
      </c>
      <c r="H2459" t="str" cm="1">
        <f t="array" ref="H2459">_xlfn.IFS(G2459&gt;=20,"20-25", G2459&gt;=15,"15-20", G2459&gt;=10,"10-15", G2459&gt;=5,"5-10", G2459&gt;=1,"1-5", G2459&lt;1,"Less than 1")</f>
        <v>15-20</v>
      </c>
      <c r="I2459">
        <v>4</v>
      </c>
      <c r="J2459">
        <v>2</v>
      </c>
      <c r="K2459" s="6">
        <v>4</v>
      </c>
      <c r="L2459" s="2">
        <v>6.99</v>
      </c>
      <c r="M2459" s="6">
        <v>18</v>
      </c>
      <c r="N2459" t="str" cm="1">
        <f t="array" ref="N2459">_xlfn.IFS(M2459&gt;=50,"50-60 Days", M2459&gt;=40,"40-50 Days", M2459&gt;=30, "30-40 Days", M2459&gt;=20, "20-30 Days", M2459&gt;=10, "10-20 Days", M2459&gt;=0, "0-10 Days")</f>
        <v>10-20 Days</v>
      </c>
    </row>
    <row r="2460" spans="1:14">
      <c r="A2460">
        <v>2459</v>
      </c>
      <c r="B2460" t="s">
        <v>29</v>
      </c>
      <c r="C2460" s="5">
        <v>45633</v>
      </c>
      <c r="D2460" s="8">
        <v>45633</v>
      </c>
      <c r="E2460" s="8" t="str">
        <f>IF(B2460="Inactive", EDATE(D2460,K2460), "")</f>
        <v/>
      </c>
      <c r="F2460" t="s">
        <v>10</v>
      </c>
      <c r="G2460">
        <v>10</v>
      </c>
      <c r="H2460" t="str" cm="1">
        <f t="array" ref="H2460">_xlfn.IFS(G2460&gt;=20,"20-25", G2460&gt;=15,"15-20", G2460&gt;=10,"10-15", G2460&gt;=5,"5-10", G2460&gt;=1,"1-5", G2460&lt;1,"Less than 1")</f>
        <v>10-15</v>
      </c>
      <c r="I2460">
        <v>7</v>
      </c>
      <c r="J2460">
        <v>1</v>
      </c>
      <c r="K2460" s="6">
        <v>9</v>
      </c>
      <c r="L2460" s="2">
        <v>6.99</v>
      </c>
      <c r="M2460" s="6">
        <v>31</v>
      </c>
      <c r="N2460" t="str" cm="1">
        <f t="array" ref="N2460">_xlfn.IFS(M2460&gt;=50,"50-60 Days", M2460&gt;=40,"40-50 Days", M2460&gt;=30, "30-40 Days", M2460&gt;=20, "20-30 Days", M2460&gt;=10, "10-20 Days", M2460&gt;=0, "0-10 Days")</f>
        <v>30-40 Days</v>
      </c>
    </row>
    <row r="2461" spans="1:14">
      <c r="A2461">
        <v>2460</v>
      </c>
      <c r="B2461" t="s">
        <v>28</v>
      </c>
      <c r="C2461" s="5">
        <v>45350</v>
      </c>
      <c r="D2461" s="8">
        <v>45350</v>
      </c>
      <c r="E2461" s="8">
        <f>IF(B2461="Inactive", EDATE(D2461,K2461), "")</f>
        <v>45654</v>
      </c>
      <c r="F2461" t="s">
        <v>12</v>
      </c>
      <c r="G2461">
        <v>11.5</v>
      </c>
      <c r="H2461" t="str" cm="1">
        <f t="array" ref="H2461">_xlfn.IFS(G2461&gt;=20,"20-25", G2461&gt;=15,"15-20", G2461&gt;=10,"10-15", G2461&gt;=5,"5-10", G2461&gt;=1,"1-5", G2461&lt;1,"Less than 1")</f>
        <v>10-15</v>
      </c>
      <c r="I2461">
        <v>7</v>
      </c>
      <c r="J2461">
        <v>5</v>
      </c>
      <c r="K2461" s="6">
        <v>10</v>
      </c>
      <c r="L2461" s="2">
        <v>1.99</v>
      </c>
      <c r="M2461" s="6">
        <v>60</v>
      </c>
      <c r="N2461" t="str" cm="1">
        <f t="array" ref="N2461">_xlfn.IFS(M2461&gt;=50,"50-60 Days", M2461&gt;=40,"40-50 Days", M2461&gt;=30, "30-40 Days", M2461&gt;=20, "20-30 Days", M2461&gt;=10, "10-20 Days", M2461&gt;=0, "0-10 Days")</f>
        <v>50-60 Days</v>
      </c>
    </row>
    <row r="2462" spans="1:14">
      <c r="A2462">
        <v>2461</v>
      </c>
      <c r="B2462" t="s">
        <v>28</v>
      </c>
      <c r="C2462" s="5">
        <v>45304</v>
      </c>
      <c r="D2462" s="8">
        <v>45304</v>
      </c>
      <c r="E2462" s="8">
        <f>IF(B2462="Inactive", EDATE(D2462,K2462), "")</f>
        <v>45335</v>
      </c>
      <c r="F2462" t="s">
        <v>12</v>
      </c>
      <c r="G2462">
        <v>3.7</v>
      </c>
      <c r="H2462" t="str" cm="1">
        <f t="array" ref="H2462">_xlfn.IFS(G2462&gt;=20,"20-25", G2462&gt;=15,"15-20", G2462&gt;=10,"10-15", G2462&gt;=5,"5-10", G2462&gt;=1,"1-5", G2462&lt;1,"Less than 1")</f>
        <v>1-5</v>
      </c>
      <c r="I2462">
        <v>8</v>
      </c>
      <c r="J2462">
        <v>5</v>
      </c>
      <c r="K2462" s="6">
        <v>1</v>
      </c>
      <c r="L2462" s="2">
        <v>1.99</v>
      </c>
      <c r="M2462" s="6">
        <v>45</v>
      </c>
      <c r="N2462" t="str" cm="1">
        <f t="array" ref="N2462">_xlfn.IFS(M2462&gt;=50,"50-60 Days", M2462&gt;=40,"40-50 Days", M2462&gt;=30, "30-40 Days", M2462&gt;=20, "20-30 Days", M2462&gt;=10, "10-20 Days", M2462&gt;=0, "0-10 Days")</f>
        <v>40-50 Days</v>
      </c>
    </row>
    <row r="2463" spans="1:14">
      <c r="A2463">
        <v>2462</v>
      </c>
      <c r="B2463" t="s">
        <v>29</v>
      </c>
      <c r="C2463" s="5">
        <v>45104</v>
      </c>
      <c r="D2463" s="8">
        <v>45104</v>
      </c>
      <c r="E2463" s="8" t="str">
        <f>IF(B2463="Inactive", EDATE(D2463,K2463), "")</f>
        <v/>
      </c>
      <c r="F2463" t="s">
        <v>14</v>
      </c>
      <c r="G2463">
        <v>23.8</v>
      </c>
      <c r="H2463" t="str" cm="1">
        <f t="array" ref="H2463">_xlfn.IFS(G2463&gt;=20,"20-25", G2463&gt;=15,"15-20", G2463&gt;=10,"10-15", G2463&gt;=5,"5-10", G2463&gt;=1,"1-5", G2463&lt;1,"Less than 1")</f>
        <v>20-25</v>
      </c>
      <c r="I2463">
        <v>1</v>
      </c>
      <c r="J2463">
        <v>4</v>
      </c>
      <c r="K2463" s="6">
        <v>5</v>
      </c>
      <c r="L2463" s="2">
        <v>3.99</v>
      </c>
      <c r="M2463" s="6">
        <v>13</v>
      </c>
      <c r="N2463" t="str" cm="1">
        <f t="array" ref="N2463">_xlfn.IFS(M2463&gt;=50,"50-60 Days", M2463&gt;=40,"40-50 Days", M2463&gt;=30, "30-40 Days", M2463&gt;=20, "20-30 Days", M2463&gt;=10, "10-20 Days", M2463&gt;=0, "0-10 Days")</f>
        <v>10-20 Days</v>
      </c>
    </row>
    <row r="2464" spans="1:14">
      <c r="A2464">
        <v>2463</v>
      </c>
      <c r="B2464" t="s">
        <v>28</v>
      </c>
      <c r="C2464" s="5">
        <v>44991</v>
      </c>
      <c r="D2464" s="8">
        <v>44991</v>
      </c>
      <c r="E2464" s="8">
        <f>IF(B2464="Inactive", EDATE(D2464,K2464), "")</f>
        <v>45357</v>
      </c>
      <c r="F2464" t="s">
        <v>10</v>
      </c>
      <c r="G2464">
        <v>20.3</v>
      </c>
      <c r="H2464" t="str" cm="1">
        <f t="array" ref="H2464">_xlfn.IFS(G2464&gt;=20,"20-25", G2464&gt;=15,"15-20", G2464&gt;=10,"10-15", G2464&gt;=5,"5-10", G2464&gt;=1,"1-5", G2464&lt;1,"Less than 1")</f>
        <v>20-25</v>
      </c>
      <c r="I2464">
        <v>1</v>
      </c>
      <c r="J2464">
        <v>5</v>
      </c>
      <c r="K2464" s="6">
        <v>12</v>
      </c>
      <c r="L2464" s="2">
        <v>6.99</v>
      </c>
      <c r="M2464" s="6">
        <v>8</v>
      </c>
      <c r="N2464" t="str" cm="1">
        <f t="array" ref="N2464">_xlfn.IFS(M2464&gt;=50,"50-60 Days", M2464&gt;=40,"40-50 Days", M2464&gt;=30, "30-40 Days", M2464&gt;=20, "20-30 Days", M2464&gt;=10, "10-20 Days", M2464&gt;=0, "0-10 Days")</f>
        <v>0-10 Days</v>
      </c>
    </row>
    <row r="2465" spans="1:14">
      <c r="A2465">
        <v>2464</v>
      </c>
      <c r="B2465" t="s">
        <v>29</v>
      </c>
      <c r="C2465" s="5">
        <v>44987</v>
      </c>
      <c r="D2465" s="8">
        <v>44987</v>
      </c>
      <c r="E2465" s="8" t="str">
        <f>IF(B2465="Inactive", EDATE(D2465,K2465), "")</f>
        <v/>
      </c>
      <c r="F2465" t="s">
        <v>12</v>
      </c>
      <c r="G2465">
        <v>15.4</v>
      </c>
      <c r="H2465" t="str" cm="1">
        <f t="array" ref="H2465">_xlfn.IFS(G2465&gt;=20,"20-25", G2465&gt;=15,"15-20", G2465&gt;=10,"10-15", G2465&gt;=5,"5-10", G2465&gt;=1,"1-5", G2465&lt;1,"Less than 1")</f>
        <v>15-20</v>
      </c>
      <c r="I2465">
        <v>0</v>
      </c>
      <c r="J2465">
        <v>5</v>
      </c>
      <c r="K2465" s="6">
        <v>5</v>
      </c>
      <c r="L2465" s="2">
        <v>1.99</v>
      </c>
      <c r="M2465" s="6">
        <v>19</v>
      </c>
      <c r="N2465" t="str" cm="1">
        <f t="array" ref="N2465">_xlfn.IFS(M2465&gt;=50,"50-60 Days", M2465&gt;=40,"40-50 Days", M2465&gt;=30, "30-40 Days", M2465&gt;=20, "20-30 Days", M2465&gt;=10, "10-20 Days", M2465&gt;=0, "0-10 Days")</f>
        <v>10-20 Days</v>
      </c>
    </row>
    <row r="2466" spans="1:14">
      <c r="A2466">
        <v>2465</v>
      </c>
      <c r="B2466" t="s">
        <v>28</v>
      </c>
      <c r="C2466" s="5">
        <v>45090</v>
      </c>
      <c r="D2466" s="8">
        <v>45090</v>
      </c>
      <c r="E2466" s="8">
        <f>IF(B2466="Inactive", EDATE(D2466,K2466), "")</f>
        <v>45120</v>
      </c>
      <c r="F2466" t="s">
        <v>14</v>
      </c>
      <c r="G2466">
        <v>22.2</v>
      </c>
      <c r="H2466" t="str" cm="1">
        <f t="array" ref="H2466">_xlfn.IFS(G2466&gt;=20,"20-25", G2466&gt;=15,"15-20", G2466&gt;=10,"10-15", G2466&gt;=5,"5-10", G2466&gt;=1,"1-5", G2466&lt;1,"Less than 1")</f>
        <v>20-25</v>
      </c>
      <c r="I2466">
        <v>8</v>
      </c>
      <c r="J2466">
        <v>1</v>
      </c>
      <c r="K2466" s="6">
        <v>1</v>
      </c>
      <c r="L2466" s="2">
        <v>3.99</v>
      </c>
      <c r="M2466" s="6">
        <v>26</v>
      </c>
      <c r="N2466" t="str" cm="1">
        <f t="array" ref="N2466">_xlfn.IFS(M2466&gt;=50,"50-60 Days", M2466&gt;=40,"40-50 Days", M2466&gt;=30, "30-40 Days", M2466&gt;=20, "20-30 Days", M2466&gt;=10, "10-20 Days", M2466&gt;=0, "0-10 Days")</f>
        <v>20-30 Days</v>
      </c>
    </row>
    <row r="2467" spans="1:14">
      <c r="A2467">
        <v>2466</v>
      </c>
      <c r="B2467" t="s">
        <v>29</v>
      </c>
      <c r="C2467" s="5">
        <v>45340</v>
      </c>
      <c r="D2467" s="8">
        <v>45340</v>
      </c>
      <c r="E2467" s="8" t="str">
        <f>IF(B2467="Inactive", EDATE(D2467,K2467), "")</f>
        <v/>
      </c>
      <c r="F2467" t="s">
        <v>12</v>
      </c>
      <c r="G2467">
        <v>11.8</v>
      </c>
      <c r="H2467" t="str" cm="1">
        <f t="array" ref="H2467">_xlfn.IFS(G2467&gt;=20,"20-25", G2467&gt;=15,"15-20", G2467&gt;=10,"10-15", G2467&gt;=5,"5-10", G2467&gt;=1,"1-5", G2467&lt;1,"Less than 1")</f>
        <v>10-15</v>
      </c>
      <c r="I2467">
        <v>0</v>
      </c>
      <c r="J2467">
        <v>4</v>
      </c>
      <c r="K2467" s="6">
        <v>12</v>
      </c>
      <c r="L2467" s="2">
        <v>1.99</v>
      </c>
      <c r="M2467" s="6">
        <v>10</v>
      </c>
      <c r="N2467" t="str" cm="1">
        <f t="array" ref="N2467">_xlfn.IFS(M2467&gt;=50,"50-60 Days", M2467&gt;=40,"40-50 Days", M2467&gt;=30, "30-40 Days", M2467&gt;=20, "20-30 Days", M2467&gt;=10, "10-20 Days", M2467&gt;=0, "0-10 Days")</f>
        <v>10-20 Days</v>
      </c>
    </row>
    <row r="2468" spans="1:14">
      <c r="A2468">
        <v>2467</v>
      </c>
      <c r="B2468" t="s">
        <v>29</v>
      </c>
      <c r="C2468" s="5">
        <v>45402</v>
      </c>
      <c r="D2468" s="8">
        <v>45402</v>
      </c>
      <c r="E2468" s="8" t="str">
        <f>IF(B2468="Inactive", EDATE(D2468,K2468), "")</f>
        <v/>
      </c>
      <c r="F2468" t="s">
        <v>10</v>
      </c>
      <c r="G2468">
        <v>16.8</v>
      </c>
      <c r="H2468" t="str" cm="1">
        <f t="array" ref="H2468">_xlfn.IFS(G2468&gt;=20,"20-25", G2468&gt;=15,"15-20", G2468&gt;=10,"10-15", G2468&gt;=5,"5-10", G2468&gt;=1,"1-5", G2468&lt;1,"Less than 1")</f>
        <v>15-20</v>
      </c>
      <c r="I2468">
        <v>2</v>
      </c>
      <c r="J2468">
        <v>1</v>
      </c>
      <c r="K2468" s="6">
        <v>2</v>
      </c>
      <c r="L2468" s="2">
        <v>6.99</v>
      </c>
      <c r="M2468" s="6">
        <v>57</v>
      </c>
      <c r="N2468" t="str" cm="1">
        <f t="array" ref="N2468">_xlfn.IFS(M2468&gt;=50,"50-60 Days", M2468&gt;=40,"40-50 Days", M2468&gt;=30, "30-40 Days", M2468&gt;=20, "20-30 Days", M2468&gt;=10, "10-20 Days", M2468&gt;=0, "0-10 Days")</f>
        <v>50-60 Days</v>
      </c>
    </row>
    <row r="2469" spans="1:14">
      <c r="A2469">
        <v>2468</v>
      </c>
      <c r="B2469" t="s">
        <v>28</v>
      </c>
      <c r="C2469" s="5">
        <v>45065</v>
      </c>
      <c r="D2469" s="8">
        <v>45065</v>
      </c>
      <c r="E2469" s="8">
        <f>IF(B2469="Inactive", EDATE(D2469,K2469), "")</f>
        <v>45249</v>
      </c>
      <c r="F2469" t="s">
        <v>14</v>
      </c>
      <c r="G2469">
        <v>18.8</v>
      </c>
      <c r="H2469" t="str" cm="1">
        <f t="array" ref="H2469">_xlfn.IFS(G2469&gt;=20,"20-25", G2469&gt;=15,"15-20", G2469&gt;=10,"10-15", G2469&gt;=5,"5-10", G2469&gt;=1,"1-5", G2469&lt;1,"Less than 1")</f>
        <v>15-20</v>
      </c>
      <c r="I2469">
        <v>5</v>
      </c>
      <c r="J2469">
        <v>4</v>
      </c>
      <c r="K2469" s="6">
        <v>6</v>
      </c>
      <c r="L2469" s="2">
        <v>3.99</v>
      </c>
      <c r="M2469" s="6">
        <v>40</v>
      </c>
      <c r="N2469" t="str" cm="1">
        <f t="array" ref="N2469">_xlfn.IFS(M2469&gt;=50,"50-60 Days", M2469&gt;=40,"40-50 Days", M2469&gt;=30, "30-40 Days", M2469&gt;=20, "20-30 Days", M2469&gt;=10, "10-20 Days", M2469&gt;=0, "0-10 Days")</f>
        <v>40-50 Days</v>
      </c>
    </row>
    <row r="2470" spans="1:14">
      <c r="A2470">
        <v>2469</v>
      </c>
      <c r="B2470" t="s">
        <v>29</v>
      </c>
      <c r="C2470" s="5">
        <v>45450</v>
      </c>
      <c r="D2470" s="8">
        <v>45450</v>
      </c>
      <c r="E2470" s="8" t="str">
        <f>IF(B2470="Inactive", EDATE(D2470,K2470), "")</f>
        <v/>
      </c>
      <c r="F2470" t="s">
        <v>14</v>
      </c>
      <c r="G2470">
        <v>21.6</v>
      </c>
      <c r="H2470" t="str" cm="1">
        <f t="array" ref="H2470">_xlfn.IFS(G2470&gt;=20,"20-25", G2470&gt;=15,"15-20", G2470&gt;=10,"10-15", G2470&gt;=5,"5-10", G2470&gt;=1,"1-5", G2470&lt;1,"Less than 1")</f>
        <v>20-25</v>
      </c>
      <c r="I2470">
        <v>0</v>
      </c>
      <c r="J2470">
        <v>2</v>
      </c>
      <c r="K2470" s="6">
        <v>4</v>
      </c>
      <c r="L2470" s="2">
        <v>3.99</v>
      </c>
      <c r="M2470" s="6">
        <v>9</v>
      </c>
      <c r="N2470" t="str" cm="1">
        <f t="array" ref="N2470">_xlfn.IFS(M2470&gt;=50,"50-60 Days", M2470&gt;=40,"40-50 Days", M2470&gt;=30, "30-40 Days", M2470&gt;=20, "20-30 Days", M2470&gt;=10, "10-20 Days", M2470&gt;=0, "0-10 Days")</f>
        <v>0-10 Days</v>
      </c>
    </row>
    <row r="2471" spans="1:14">
      <c r="A2471">
        <v>2470</v>
      </c>
      <c r="B2471" t="s">
        <v>28</v>
      </c>
      <c r="C2471" s="5">
        <v>44981</v>
      </c>
      <c r="D2471" s="8">
        <v>44981</v>
      </c>
      <c r="E2471" s="8">
        <f>IF(B2471="Inactive", EDATE(D2471,K2471), "")</f>
        <v>45284</v>
      </c>
      <c r="F2471" t="s">
        <v>10</v>
      </c>
      <c r="G2471">
        <v>9.9</v>
      </c>
      <c r="H2471" t="str" cm="1">
        <f t="array" ref="H2471">_xlfn.IFS(G2471&gt;=20,"20-25", G2471&gt;=15,"15-20", G2471&gt;=10,"10-15", G2471&gt;=5,"5-10", G2471&gt;=1,"1-5", G2471&lt;1,"Less than 1")</f>
        <v>5-10</v>
      </c>
      <c r="I2471">
        <v>8</v>
      </c>
      <c r="J2471">
        <v>1</v>
      </c>
      <c r="K2471" s="6">
        <v>10</v>
      </c>
      <c r="L2471" s="2">
        <v>6.99</v>
      </c>
      <c r="M2471" s="6">
        <v>46</v>
      </c>
      <c r="N2471" t="str" cm="1">
        <f t="array" ref="N2471">_xlfn.IFS(M2471&gt;=50,"50-60 Days", M2471&gt;=40,"40-50 Days", M2471&gt;=30, "30-40 Days", M2471&gt;=20, "20-30 Days", M2471&gt;=10, "10-20 Days", M2471&gt;=0, "0-10 Days")</f>
        <v>40-50 Days</v>
      </c>
    </row>
    <row r="2472" spans="1:14">
      <c r="A2472">
        <v>2471</v>
      </c>
      <c r="B2472" t="s">
        <v>28</v>
      </c>
      <c r="C2472" s="5">
        <v>45395</v>
      </c>
      <c r="D2472" s="8">
        <v>45395</v>
      </c>
      <c r="E2472" s="8">
        <f>IF(B2472="Inactive", EDATE(D2472,K2472), "")</f>
        <v>45517</v>
      </c>
      <c r="F2472" t="s">
        <v>10</v>
      </c>
      <c r="G2472">
        <v>18.100000000000001</v>
      </c>
      <c r="H2472" t="str" cm="1">
        <f t="array" ref="H2472">_xlfn.IFS(G2472&gt;=20,"20-25", G2472&gt;=15,"15-20", G2472&gt;=10,"10-15", G2472&gt;=5,"5-10", G2472&gt;=1,"1-5", G2472&lt;1,"Less than 1")</f>
        <v>15-20</v>
      </c>
      <c r="I2472">
        <v>1</v>
      </c>
      <c r="J2472">
        <v>5</v>
      </c>
      <c r="K2472" s="6">
        <v>4</v>
      </c>
      <c r="L2472" s="2">
        <v>6.99</v>
      </c>
      <c r="M2472" s="6">
        <v>30</v>
      </c>
      <c r="N2472" t="str" cm="1">
        <f t="array" ref="N2472">_xlfn.IFS(M2472&gt;=50,"50-60 Days", M2472&gt;=40,"40-50 Days", M2472&gt;=30, "30-40 Days", M2472&gt;=20, "20-30 Days", M2472&gt;=10, "10-20 Days", M2472&gt;=0, "0-10 Days")</f>
        <v>30-40 Days</v>
      </c>
    </row>
    <row r="2473" spans="1:14">
      <c r="A2473">
        <v>2472</v>
      </c>
      <c r="B2473" t="s">
        <v>28</v>
      </c>
      <c r="C2473" s="5">
        <v>45117</v>
      </c>
      <c r="D2473" s="8">
        <v>45117</v>
      </c>
      <c r="E2473" s="8">
        <f>IF(B2473="Inactive", EDATE(D2473,K2473), "")</f>
        <v>45270</v>
      </c>
      <c r="F2473" t="s">
        <v>10</v>
      </c>
      <c r="G2473">
        <v>5.4</v>
      </c>
      <c r="H2473" t="str" cm="1">
        <f t="array" ref="H2473">_xlfn.IFS(G2473&gt;=20,"20-25", G2473&gt;=15,"15-20", G2473&gt;=10,"10-15", G2473&gt;=5,"5-10", G2473&gt;=1,"1-5", G2473&lt;1,"Less than 1")</f>
        <v>5-10</v>
      </c>
      <c r="I2473">
        <v>3</v>
      </c>
      <c r="J2473">
        <v>4</v>
      </c>
      <c r="K2473" s="6">
        <v>5</v>
      </c>
      <c r="L2473" s="2">
        <v>6.99</v>
      </c>
      <c r="M2473" s="6">
        <v>41</v>
      </c>
      <c r="N2473" t="str" cm="1">
        <f t="array" ref="N2473">_xlfn.IFS(M2473&gt;=50,"50-60 Days", M2473&gt;=40,"40-50 Days", M2473&gt;=30, "30-40 Days", M2473&gt;=20, "20-30 Days", M2473&gt;=10, "10-20 Days", M2473&gt;=0, "0-10 Days")</f>
        <v>40-50 Days</v>
      </c>
    </row>
    <row r="2474" spans="1:14">
      <c r="A2474">
        <v>2473</v>
      </c>
      <c r="B2474" t="s">
        <v>29</v>
      </c>
      <c r="C2474" s="5">
        <v>45146</v>
      </c>
      <c r="D2474" s="8">
        <v>45146</v>
      </c>
      <c r="E2474" s="8" t="str">
        <f>IF(B2474="Inactive", EDATE(D2474,K2474), "")</f>
        <v/>
      </c>
      <c r="F2474" t="s">
        <v>12</v>
      </c>
      <c r="G2474">
        <v>5</v>
      </c>
      <c r="H2474" t="str" cm="1">
        <f t="array" ref="H2474">_xlfn.IFS(G2474&gt;=20,"20-25", G2474&gt;=15,"15-20", G2474&gt;=10,"10-15", G2474&gt;=5,"5-10", G2474&gt;=1,"1-5", G2474&lt;1,"Less than 1")</f>
        <v>5-10</v>
      </c>
      <c r="I2474">
        <v>2</v>
      </c>
      <c r="J2474">
        <v>4</v>
      </c>
      <c r="K2474" s="6">
        <v>7</v>
      </c>
      <c r="L2474" s="2">
        <v>1.99</v>
      </c>
      <c r="M2474" s="6">
        <v>36</v>
      </c>
      <c r="N2474" t="str" cm="1">
        <f t="array" ref="N2474">_xlfn.IFS(M2474&gt;=50,"50-60 Days", M2474&gt;=40,"40-50 Days", M2474&gt;=30, "30-40 Days", M2474&gt;=20, "20-30 Days", M2474&gt;=10, "10-20 Days", M2474&gt;=0, "0-10 Days")</f>
        <v>30-40 Days</v>
      </c>
    </row>
    <row r="2475" spans="1:14">
      <c r="A2475">
        <v>2474</v>
      </c>
      <c r="B2475" t="s">
        <v>29</v>
      </c>
      <c r="C2475" s="5">
        <v>45600</v>
      </c>
      <c r="D2475" s="8">
        <v>45600</v>
      </c>
      <c r="E2475" s="8" t="str">
        <f>IF(B2475="Inactive", EDATE(D2475,K2475), "")</f>
        <v/>
      </c>
      <c r="F2475" t="s">
        <v>10</v>
      </c>
      <c r="G2475">
        <v>22.1</v>
      </c>
      <c r="H2475" t="str" cm="1">
        <f t="array" ref="H2475">_xlfn.IFS(G2475&gt;=20,"20-25", G2475&gt;=15,"15-20", G2475&gt;=10,"10-15", G2475&gt;=5,"5-10", G2475&gt;=1,"1-5", G2475&lt;1,"Less than 1")</f>
        <v>20-25</v>
      </c>
      <c r="I2475">
        <v>1</v>
      </c>
      <c r="J2475">
        <v>5</v>
      </c>
      <c r="K2475" s="6">
        <v>9</v>
      </c>
      <c r="L2475" s="2">
        <v>6.99</v>
      </c>
      <c r="M2475" s="6">
        <v>27</v>
      </c>
      <c r="N2475" t="str" cm="1">
        <f t="array" ref="N2475">_xlfn.IFS(M2475&gt;=50,"50-60 Days", M2475&gt;=40,"40-50 Days", M2475&gt;=30, "30-40 Days", M2475&gt;=20, "20-30 Days", M2475&gt;=10, "10-20 Days", M2475&gt;=0, "0-10 Days")</f>
        <v>20-30 Days</v>
      </c>
    </row>
    <row r="2476" spans="1:14">
      <c r="A2476">
        <v>2475</v>
      </c>
      <c r="B2476" t="s">
        <v>28</v>
      </c>
      <c r="C2476" s="5">
        <v>45097</v>
      </c>
      <c r="D2476" s="8">
        <v>45097</v>
      </c>
      <c r="E2476" s="8">
        <f>IF(B2476="Inactive", EDATE(D2476,K2476), "")</f>
        <v>45158</v>
      </c>
      <c r="F2476" t="s">
        <v>10</v>
      </c>
      <c r="G2476">
        <v>16.2</v>
      </c>
      <c r="H2476" t="str" cm="1">
        <f t="array" ref="H2476">_xlfn.IFS(G2476&gt;=20,"20-25", G2476&gt;=15,"15-20", G2476&gt;=10,"10-15", G2476&gt;=5,"5-10", G2476&gt;=1,"1-5", G2476&lt;1,"Less than 1")</f>
        <v>15-20</v>
      </c>
      <c r="I2476">
        <v>3</v>
      </c>
      <c r="J2476">
        <v>4</v>
      </c>
      <c r="K2476" s="6">
        <v>2</v>
      </c>
      <c r="L2476" s="2">
        <v>6.99</v>
      </c>
      <c r="M2476" s="6">
        <v>35</v>
      </c>
      <c r="N2476" t="str" cm="1">
        <f t="array" ref="N2476">_xlfn.IFS(M2476&gt;=50,"50-60 Days", M2476&gt;=40,"40-50 Days", M2476&gt;=30, "30-40 Days", M2476&gt;=20, "20-30 Days", M2476&gt;=10, "10-20 Days", M2476&gt;=0, "0-10 Days")</f>
        <v>30-40 Days</v>
      </c>
    </row>
    <row r="2477" spans="1:14">
      <c r="A2477">
        <v>2476</v>
      </c>
      <c r="B2477" t="s">
        <v>29</v>
      </c>
      <c r="C2477" s="5">
        <v>45135</v>
      </c>
      <c r="D2477" s="8">
        <v>45135</v>
      </c>
      <c r="E2477" s="8" t="str">
        <f>IF(B2477="Inactive", EDATE(D2477,K2477), "")</f>
        <v/>
      </c>
      <c r="F2477" t="s">
        <v>14</v>
      </c>
      <c r="G2477">
        <v>17.7</v>
      </c>
      <c r="H2477" t="str" cm="1">
        <f t="array" ref="H2477">_xlfn.IFS(G2477&gt;=20,"20-25", G2477&gt;=15,"15-20", G2477&gt;=10,"10-15", G2477&gt;=5,"5-10", G2477&gt;=1,"1-5", G2477&lt;1,"Less than 1")</f>
        <v>15-20</v>
      </c>
      <c r="I2477">
        <v>3</v>
      </c>
      <c r="J2477">
        <v>4</v>
      </c>
      <c r="K2477" s="6">
        <v>8</v>
      </c>
      <c r="L2477" s="2">
        <v>3.99</v>
      </c>
      <c r="M2477" s="6">
        <v>54</v>
      </c>
      <c r="N2477" t="str" cm="1">
        <f t="array" ref="N2477">_xlfn.IFS(M2477&gt;=50,"50-60 Days", M2477&gt;=40,"40-50 Days", M2477&gt;=30, "30-40 Days", M2477&gt;=20, "20-30 Days", M2477&gt;=10, "10-20 Days", M2477&gt;=0, "0-10 Days")</f>
        <v>50-60 Days</v>
      </c>
    </row>
    <row r="2478" spans="1:14">
      <c r="A2478">
        <v>2477</v>
      </c>
      <c r="B2478" t="s">
        <v>28</v>
      </c>
      <c r="C2478" s="5">
        <v>45587</v>
      </c>
      <c r="D2478" s="8">
        <v>45587</v>
      </c>
      <c r="E2478" s="8">
        <f>IF(B2478="Inactive", EDATE(D2478,K2478), "")</f>
        <v>45952</v>
      </c>
      <c r="F2478" t="s">
        <v>14</v>
      </c>
      <c r="G2478">
        <v>23.5</v>
      </c>
      <c r="H2478" t="str" cm="1">
        <f t="array" ref="H2478">_xlfn.IFS(G2478&gt;=20,"20-25", G2478&gt;=15,"15-20", G2478&gt;=10,"10-15", G2478&gt;=5,"5-10", G2478&gt;=1,"1-5", G2478&lt;1,"Less than 1")</f>
        <v>20-25</v>
      </c>
      <c r="I2478">
        <v>4</v>
      </c>
      <c r="J2478">
        <v>3</v>
      </c>
      <c r="K2478" s="6">
        <v>12</v>
      </c>
      <c r="L2478" s="2">
        <v>3.99</v>
      </c>
      <c r="M2478" s="6">
        <v>7</v>
      </c>
      <c r="N2478" t="str" cm="1">
        <f t="array" ref="N2478">_xlfn.IFS(M2478&gt;=50,"50-60 Days", M2478&gt;=40,"40-50 Days", M2478&gt;=30, "30-40 Days", M2478&gt;=20, "20-30 Days", M2478&gt;=10, "10-20 Days", M2478&gt;=0, "0-10 Days")</f>
        <v>0-10 Days</v>
      </c>
    </row>
    <row r="2479" spans="1:14">
      <c r="A2479">
        <v>2478</v>
      </c>
      <c r="B2479" t="s">
        <v>29</v>
      </c>
      <c r="C2479" s="5">
        <v>45511</v>
      </c>
      <c r="D2479" s="8">
        <v>45511</v>
      </c>
      <c r="E2479" s="8" t="str">
        <f>IF(B2479="Inactive", EDATE(D2479,K2479), "")</f>
        <v/>
      </c>
      <c r="F2479" t="s">
        <v>14</v>
      </c>
      <c r="G2479">
        <v>5.9</v>
      </c>
      <c r="H2479" t="str" cm="1">
        <f t="array" ref="H2479">_xlfn.IFS(G2479&gt;=20,"20-25", G2479&gt;=15,"15-20", G2479&gt;=10,"10-15", G2479&gt;=5,"5-10", G2479&gt;=1,"1-5", G2479&lt;1,"Less than 1")</f>
        <v>5-10</v>
      </c>
      <c r="I2479">
        <v>6</v>
      </c>
      <c r="J2479">
        <v>2</v>
      </c>
      <c r="K2479" s="6">
        <v>11</v>
      </c>
      <c r="L2479" s="2">
        <v>3.99</v>
      </c>
      <c r="M2479" s="6">
        <v>15</v>
      </c>
      <c r="N2479" t="str" cm="1">
        <f t="array" ref="N2479">_xlfn.IFS(M2479&gt;=50,"50-60 Days", M2479&gt;=40,"40-50 Days", M2479&gt;=30, "30-40 Days", M2479&gt;=20, "20-30 Days", M2479&gt;=10, "10-20 Days", M2479&gt;=0, "0-10 Days")</f>
        <v>10-20 Days</v>
      </c>
    </row>
    <row r="2480" spans="1:14">
      <c r="A2480">
        <v>2479</v>
      </c>
      <c r="B2480" t="s">
        <v>28</v>
      </c>
      <c r="C2480" s="5">
        <v>45111</v>
      </c>
      <c r="D2480" s="8">
        <v>45111</v>
      </c>
      <c r="E2480" s="8">
        <f>IF(B2480="Inactive", EDATE(D2480,K2480), "")</f>
        <v>45295</v>
      </c>
      <c r="F2480" t="s">
        <v>14</v>
      </c>
      <c r="G2480">
        <v>21.7</v>
      </c>
      <c r="H2480" t="str" cm="1">
        <f t="array" ref="H2480">_xlfn.IFS(G2480&gt;=20,"20-25", G2480&gt;=15,"15-20", G2480&gt;=10,"10-15", G2480&gt;=5,"5-10", G2480&gt;=1,"1-5", G2480&lt;1,"Less than 1")</f>
        <v>20-25</v>
      </c>
      <c r="I2480">
        <v>7</v>
      </c>
      <c r="J2480">
        <v>4</v>
      </c>
      <c r="K2480" s="6">
        <v>6</v>
      </c>
      <c r="L2480" s="2">
        <v>3.99</v>
      </c>
      <c r="M2480" s="6">
        <v>45</v>
      </c>
      <c r="N2480" t="str" cm="1">
        <f t="array" ref="N2480">_xlfn.IFS(M2480&gt;=50,"50-60 Days", M2480&gt;=40,"40-50 Days", M2480&gt;=30, "30-40 Days", M2480&gt;=20, "20-30 Days", M2480&gt;=10, "10-20 Days", M2480&gt;=0, "0-10 Days")</f>
        <v>40-50 Days</v>
      </c>
    </row>
    <row r="2481" spans="1:14">
      <c r="A2481">
        <v>2480</v>
      </c>
      <c r="B2481" t="s">
        <v>28</v>
      </c>
      <c r="C2481" s="5">
        <v>45266</v>
      </c>
      <c r="D2481" s="8">
        <v>45266</v>
      </c>
      <c r="E2481" s="8">
        <f>IF(B2481="Inactive", EDATE(D2481,K2481), "")</f>
        <v>45571</v>
      </c>
      <c r="F2481" t="s">
        <v>14</v>
      </c>
      <c r="G2481">
        <v>0.6</v>
      </c>
      <c r="H2481" t="str" cm="1">
        <f t="array" ref="H2481">_xlfn.IFS(G2481&gt;=20,"20-25", G2481&gt;=15,"15-20", G2481&gt;=10,"10-15", G2481&gt;=5,"5-10", G2481&gt;=1,"1-5", G2481&lt;1,"Less than 1")</f>
        <v>Less than 1</v>
      </c>
      <c r="I2481">
        <v>2</v>
      </c>
      <c r="J2481">
        <v>3</v>
      </c>
      <c r="K2481" s="6">
        <v>10</v>
      </c>
      <c r="L2481" s="2">
        <v>3.99</v>
      </c>
      <c r="M2481" s="6">
        <v>4</v>
      </c>
      <c r="N2481" t="str" cm="1">
        <f t="array" ref="N2481">_xlfn.IFS(M2481&gt;=50,"50-60 Days", M2481&gt;=40,"40-50 Days", M2481&gt;=30, "30-40 Days", M2481&gt;=20, "20-30 Days", M2481&gt;=10, "10-20 Days", M2481&gt;=0, "0-10 Days")</f>
        <v>0-10 Days</v>
      </c>
    </row>
    <row r="2482" spans="1:14">
      <c r="A2482">
        <v>2481</v>
      </c>
      <c r="B2482" t="s">
        <v>28</v>
      </c>
      <c r="C2482" s="5">
        <v>45651</v>
      </c>
      <c r="D2482" s="8">
        <v>45651</v>
      </c>
      <c r="E2482" s="8">
        <f>IF(B2482="Inactive", EDATE(D2482,K2482), "")</f>
        <v>45955</v>
      </c>
      <c r="F2482" t="s">
        <v>12</v>
      </c>
      <c r="G2482">
        <v>19.100000000000001</v>
      </c>
      <c r="H2482" t="str" cm="1">
        <f t="array" ref="H2482">_xlfn.IFS(G2482&gt;=20,"20-25", G2482&gt;=15,"15-20", G2482&gt;=10,"10-15", G2482&gt;=5,"5-10", G2482&gt;=1,"1-5", G2482&lt;1,"Less than 1")</f>
        <v>15-20</v>
      </c>
      <c r="I2482">
        <v>7</v>
      </c>
      <c r="J2482">
        <v>5</v>
      </c>
      <c r="K2482" s="6">
        <v>10</v>
      </c>
      <c r="L2482" s="2">
        <v>1.99</v>
      </c>
      <c r="M2482" s="6">
        <v>7</v>
      </c>
      <c r="N2482" t="str" cm="1">
        <f t="array" ref="N2482">_xlfn.IFS(M2482&gt;=50,"50-60 Days", M2482&gt;=40,"40-50 Days", M2482&gt;=30, "30-40 Days", M2482&gt;=20, "20-30 Days", M2482&gt;=10, "10-20 Days", M2482&gt;=0, "0-10 Days")</f>
        <v>0-10 Days</v>
      </c>
    </row>
    <row r="2483" spans="1:14">
      <c r="A2483">
        <v>2482</v>
      </c>
      <c r="B2483" t="s">
        <v>28</v>
      </c>
      <c r="C2483" s="5">
        <v>44955</v>
      </c>
      <c r="D2483" s="8">
        <v>44955</v>
      </c>
      <c r="E2483" s="8">
        <f>IF(B2483="Inactive", EDATE(D2483,K2483), "")</f>
        <v>45045</v>
      </c>
      <c r="F2483" t="s">
        <v>14</v>
      </c>
      <c r="G2483">
        <v>14.7</v>
      </c>
      <c r="H2483" t="str" cm="1">
        <f t="array" ref="H2483">_xlfn.IFS(G2483&gt;=20,"20-25", G2483&gt;=15,"15-20", G2483&gt;=10,"10-15", G2483&gt;=5,"5-10", G2483&gt;=1,"1-5", G2483&lt;1,"Less than 1")</f>
        <v>10-15</v>
      </c>
      <c r="I2483">
        <v>8</v>
      </c>
      <c r="J2483">
        <v>4</v>
      </c>
      <c r="K2483" s="6">
        <v>3</v>
      </c>
      <c r="L2483" s="2">
        <v>3.99</v>
      </c>
      <c r="M2483" s="6">
        <v>15</v>
      </c>
      <c r="N2483" t="str" cm="1">
        <f t="array" ref="N2483">_xlfn.IFS(M2483&gt;=50,"50-60 Days", M2483&gt;=40,"40-50 Days", M2483&gt;=30, "30-40 Days", M2483&gt;=20, "20-30 Days", M2483&gt;=10, "10-20 Days", M2483&gt;=0, "0-10 Days")</f>
        <v>10-20 Days</v>
      </c>
    </row>
    <row r="2484" spans="1:14">
      <c r="A2484">
        <v>2483</v>
      </c>
      <c r="B2484" t="s">
        <v>28</v>
      </c>
      <c r="C2484" s="5">
        <v>44982</v>
      </c>
      <c r="D2484" s="8">
        <v>44982</v>
      </c>
      <c r="E2484" s="8">
        <f>IF(B2484="Inactive", EDATE(D2484,K2484), "")</f>
        <v>45071</v>
      </c>
      <c r="F2484" t="s">
        <v>10</v>
      </c>
      <c r="G2484">
        <v>3.8</v>
      </c>
      <c r="H2484" t="str" cm="1">
        <f t="array" ref="H2484">_xlfn.IFS(G2484&gt;=20,"20-25", G2484&gt;=15,"15-20", G2484&gt;=10,"10-15", G2484&gt;=5,"5-10", G2484&gt;=1,"1-5", G2484&lt;1,"Less than 1")</f>
        <v>1-5</v>
      </c>
      <c r="I2484">
        <v>5</v>
      </c>
      <c r="J2484">
        <v>3</v>
      </c>
      <c r="K2484" s="6">
        <v>3</v>
      </c>
      <c r="L2484" s="2">
        <v>6.99</v>
      </c>
      <c r="M2484" s="6">
        <v>46</v>
      </c>
      <c r="N2484" t="str" cm="1">
        <f t="array" ref="N2484">_xlfn.IFS(M2484&gt;=50,"50-60 Days", M2484&gt;=40,"40-50 Days", M2484&gt;=30, "30-40 Days", M2484&gt;=20, "20-30 Days", M2484&gt;=10, "10-20 Days", M2484&gt;=0, "0-10 Days")</f>
        <v>40-50 Days</v>
      </c>
    </row>
    <row r="2485" spans="1:14">
      <c r="A2485">
        <v>2484</v>
      </c>
      <c r="B2485" t="s">
        <v>28</v>
      </c>
      <c r="C2485" s="5">
        <v>45548</v>
      </c>
      <c r="D2485" s="8">
        <v>45548</v>
      </c>
      <c r="E2485" s="8">
        <f>IF(B2485="Inactive", EDATE(D2485,K2485), "")</f>
        <v>45701</v>
      </c>
      <c r="F2485" t="s">
        <v>10</v>
      </c>
      <c r="G2485">
        <v>4.7</v>
      </c>
      <c r="H2485" t="str" cm="1">
        <f t="array" ref="H2485">_xlfn.IFS(G2485&gt;=20,"20-25", G2485&gt;=15,"15-20", G2485&gt;=10,"10-15", G2485&gt;=5,"5-10", G2485&gt;=1,"1-5", G2485&lt;1,"Less than 1")</f>
        <v>1-5</v>
      </c>
      <c r="I2485">
        <v>0</v>
      </c>
      <c r="J2485">
        <v>2</v>
      </c>
      <c r="K2485" s="6">
        <v>5</v>
      </c>
      <c r="L2485" s="2">
        <v>6.99</v>
      </c>
      <c r="M2485" s="6">
        <v>48</v>
      </c>
      <c r="N2485" t="str" cm="1">
        <f t="array" ref="N2485">_xlfn.IFS(M2485&gt;=50,"50-60 Days", M2485&gt;=40,"40-50 Days", M2485&gt;=30, "30-40 Days", M2485&gt;=20, "20-30 Days", M2485&gt;=10, "10-20 Days", M2485&gt;=0, "0-10 Days")</f>
        <v>40-50 Days</v>
      </c>
    </row>
    <row r="2486" spans="1:14">
      <c r="A2486">
        <v>2485</v>
      </c>
      <c r="B2486" t="s">
        <v>28</v>
      </c>
      <c r="C2486" s="5">
        <v>45142</v>
      </c>
      <c r="D2486" s="8">
        <v>45142</v>
      </c>
      <c r="E2486" s="8">
        <f>IF(B2486="Inactive", EDATE(D2486,K2486), "")</f>
        <v>45447</v>
      </c>
      <c r="F2486" t="s">
        <v>10</v>
      </c>
      <c r="G2486">
        <v>13.2</v>
      </c>
      <c r="H2486" t="str" cm="1">
        <f t="array" ref="H2486">_xlfn.IFS(G2486&gt;=20,"20-25", G2486&gt;=15,"15-20", G2486&gt;=10,"10-15", G2486&gt;=5,"5-10", G2486&gt;=1,"1-5", G2486&lt;1,"Less than 1")</f>
        <v>10-15</v>
      </c>
      <c r="I2486">
        <v>8</v>
      </c>
      <c r="J2486">
        <v>4</v>
      </c>
      <c r="K2486" s="6">
        <v>10</v>
      </c>
      <c r="L2486" s="2">
        <v>6.99</v>
      </c>
      <c r="M2486" s="6">
        <v>28</v>
      </c>
      <c r="N2486" t="str" cm="1">
        <f t="array" ref="N2486">_xlfn.IFS(M2486&gt;=50,"50-60 Days", M2486&gt;=40,"40-50 Days", M2486&gt;=30, "30-40 Days", M2486&gt;=20, "20-30 Days", M2486&gt;=10, "10-20 Days", M2486&gt;=0, "0-10 Days")</f>
        <v>20-30 Days</v>
      </c>
    </row>
    <row r="2487" spans="1:14">
      <c r="A2487">
        <v>2486</v>
      </c>
      <c r="B2487" t="s">
        <v>29</v>
      </c>
      <c r="C2487" s="5">
        <v>45330</v>
      </c>
      <c r="D2487" s="8">
        <v>45330</v>
      </c>
      <c r="E2487" s="8" t="str">
        <f>IF(B2487="Inactive", EDATE(D2487,K2487), "")</f>
        <v/>
      </c>
      <c r="F2487" t="s">
        <v>10</v>
      </c>
      <c r="G2487">
        <v>16.899999999999999</v>
      </c>
      <c r="H2487" t="str" cm="1">
        <f t="array" ref="H2487">_xlfn.IFS(G2487&gt;=20,"20-25", G2487&gt;=15,"15-20", G2487&gt;=10,"10-15", G2487&gt;=5,"5-10", G2487&gt;=1,"1-5", G2487&lt;1,"Less than 1")</f>
        <v>15-20</v>
      </c>
      <c r="I2487">
        <v>5</v>
      </c>
      <c r="J2487">
        <v>1</v>
      </c>
      <c r="K2487" s="6">
        <v>8</v>
      </c>
      <c r="L2487" s="2">
        <v>6.99</v>
      </c>
      <c r="M2487" s="6">
        <v>15</v>
      </c>
      <c r="N2487" t="str" cm="1">
        <f t="array" ref="N2487">_xlfn.IFS(M2487&gt;=50,"50-60 Days", M2487&gt;=40,"40-50 Days", M2487&gt;=30, "30-40 Days", M2487&gt;=20, "20-30 Days", M2487&gt;=10, "10-20 Days", M2487&gt;=0, "0-10 Days")</f>
        <v>10-20 Days</v>
      </c>
    </row>
    <row r="2488" spans="1:14">
      <c r="A2488">
        <v>2487</v>
      </c>
      <c r="B2488" t="s">
        <v>29</v>
      </c>
      <c r="C2488" s="5">
        <v>45587</v>
      </c>
      <c r="D2488" s="8">
        <v>45587</v>
      </c>
      <c r="E2488" s="8" t="str">
        <f>IF(B2488="Inactive", EDATE(D2488,K2488), "")</f>
        <v/>
      </c>
      <c r="F2488" t="s">
        <v>12</v>
      </c>
      <c r="G2488">
        <v>5.4</v>
      </c>
      <c r="H2488" t="str" cm="1">
        <f t="array" ref="H2488">_xlfn.IFS(G2488&gt;=20,"20-25", G2488&gt;=15,"15-20", G2488&gt;=10,"10-15", G2488&gt;=5,"5-10", G2488&gt;=1,"1-5", G2488&lt;1,"Less than 1")</f>
        <v>5-10</v>
      </c>
      <c r="I2488">
        <v>4</v>
      </c>
      <c r="J2488">
        <v>2</v>
      </c>
      <c r="K2488" s="6">
        <v>1</v>
      </c>
      <c r="L2488" s="2">
        <v>1.99</v>
      </c>
      <c r="M2488" s="6">
        <v>15</v>
      </c>
      <c r="N2488" t="str" cm="1">
        <f t="array" ref="N2488">_xlfn.IFS(M2488&gt;=50,"50-60 Days", M2488&gt;=40,"40-50 Days", M2488&gt;=30, "30-40 Days", M2488&gt;=20, "20-30 Days", M2488&gt;=10, "10-20 Days", M2488&gt;=0, "0-10 Days")</f>
        <v>10-20 Days</v>
      </c>
    </row>
    <row r="2489" spans="1:14">
      <c r="A2489">
        <v>2488</v>
      </c>
      <c r="B2489" t="s">
        <v>29</v>
      </c>
      <c r="C2489" s="5">
        <v>45142</v>
      </c>
      <c r="D2489" s="8">
        <v>45142</v>
      </c>
      <c r="E2489" s="8" t="str">
        <f>IF(B2489="Inactive", EDATE(D2489,K2489), "")</f>
        <v/>
      </c>
      <c r="F2489" t="s">
        <v>12</v>
      </c>
      <c r="G2489">
        <v>3.2</v>
      </c>
      <c r="H2489" t="str" cm="1">
        <f t="array" ref="H2489">_xlfn.IFS(G2489&gt;=20,"20-25", G2489&gt;=15,"15-20", G2489&gt;=10,"10-15", G2489&gt;=5,"5-10", G2489&gt;=1,"1-5", G2489&lt;1,"Less than 1")</f>
        <v>1-5</v>
      </c>
      <c r="I2489">
        <v>1</v>
      </c>
      <c r="J2489">
        <v>2</v>
      </c>
      <c r="K2489" s="6">
        <v>7</v>
      </c>
      <c r="L2489" s="2">
        <v>1.99</v>
      </c>
      <c r="M2489" s="6">
        <v>53</v>
      </c>
      <c r="N2489" t="str" cm="1">
        <f t="array" ref="N2489">_xlfn.IFS(M2489&gt;=50,"50-60 Days", M2489&gt;=40,"40-50 Days", M2489&gt;=30, "30-40 Days", M2489&gt;=20, "20-30 Days", M2489&gt;=10, "10-20 Days", M2489&gt;=0, "0-10 Days")</f>
        <v>50-60 Days</v>
      </c>
    </row>
    <row r="2490" spans="1:14">
      <c r="A2490">
        <v>2489</v>
      </c>
      <c r="B2490" t="s">
        <v>28</v>
      </c>
      <c r="C2490" s="5">
        <v>45527</v>
      </c>
      <c r="D2490" s="8">
        <v>45527</v>
      </c>
      <c r="E2490" s="8">
        <f>IF(B2490="Inactive", EDATE(D2490,K2490), "")</f>
        <v>45588</v>
      </c>
      <c r="F2490" t="s">
        <v>10</v>
      </c>
      <c r="G2490">
        <v>1.1000000000000001</v>
      </c>
      <c r="H2490" t="str" cm="1">
        <f t="array" ref="H2490">_xlfn.IFS(G2490&gt;=20,"20-25", G2490&gt;=15,"15-20", G2490&gt;=10,"10-15", G2490&gt;=5,"5-10", G2490&gt;=1,"1-5", G2490&lt;1,"Less than 1")</f>
        <v>1-5</v>
      </c>
      <c r="I2490">
        <v>2</v>
      </c>
      <c r="J2490">
        <v>5</v>
      </c>
      <c r="K2490" s="6">
        <v>2</v>
      </c>
      <c r="L2490" s="2">
        <v>6.99</v>
      </c>
      <c r="M2490" s="6">
        <v>36</v>
      </c>
      <c r="N2490" t="str" cm="1">
        <f t="array" ref="N2490">_xlfn.IFS(M2490&gt;=50,"50-60 Days", M2490&gt;=40,"40-50 Days", M2490&gt;=30, "30-40 Days", M2490&gt;=20, "20-30 Days", M2490&gt;=10, "10-20 Days", M2490&gt;=0, "0-10 Days")</f>
        <v>30-40 Days</v>
      </c>
    </row>
    <row r="2491" spans="1:14">
      <c r="A2491">
        <v>2490</v>
      </c>
      <c r="B2491" t="s">
        <v>29</v>
      </c>
      <c r="C2491" s="5">
        <v>45596</v>
      </c>
      <c r="D2491" s="8">
        <v>45596</v>
      </c>
      <c r="E2491" s="8" t="str">
        <f>IF(B2491="Inactive", EDATE(D2491,K2491), "")</f>
        <v/>
      </c>
      <c r="F2491" t="s">
        <v>10</v>
      </c>
      <c r="G2491">
        <v>16.8</v>
      </c>
      <c r="H2491" t="str" cm="1">
        <f t="array" ref="H2491">_xlfn.IFS(G2491&gt;=20,"20-25", G2491&gt;=15,"15-20", G2491&gt;=10,"10-15", G2491&gt;=5,"5-10", G2491&gt;=1,"1-5", G2491&lt;1,"Less than 1")</f>
        <v>15-20</v>
      </c>
      <c r="I2491">
        <v>1</v>
      </c>
      <c r="J2491">
        <v>2</v>
      </c>
      <c r="K2491" s="6">
        <v>8</v>
      </c>
      <c r="L2491" s="2">
        <v>6.99</v>
      </c>
      <c r="M2491" s="6">
        <v>12</v>
      </c>
      <c r="N2491" t="str" cm="1">
        <f t="array" ref="N2491">_xlfn.IFS(M2491&gt;=50,"50-60 Days", M2491&gt;=40,"40-50 Days", M2491&gt;=30, "30-40 Days", M2491&gt;=20, "20-30 Days", M2491&gt;=10, "10-20 Days", M2491&gt;=0, "0-10 Days")</f>
        <v>10-20 Days</v>
      </c>
    </row>
    <row r="2492" spans="1:14">
      <c r="A2492">
        <v>2491</v>
      </c>
      <c r="B2492" t="s">
        <v>29</v>
      </c>
      <c r="C2492" s="5">
        <v>45408</v>
      </c>
      <c r="D2492" s="8">
        <v>45408</v>
      </c>
      <c r="E2492" s="8" t="str">
        <f>IF(B2492="Inactive", EDATE(D2492,K2492), "")</f>
        <v/>
      </c>
      <c r="F2492" t="s">
        <v>10</v>
      </c>
      <c r="G2492">
        <v>5.2</v>
      </c>
      <c r="H2492" t="str" cm="1">
        <f t="array" ref="H2492">_xlfn.IFS(G2492&gt;=20,"20-25", G2492&gt;=15,"15-20", G2492&gt;=10,"10-15", G2492&gt;=5,"5-10", G2492&gt;=1,"1-5", G2492&lt;1,"Less than 1")</f>
        <v>5-10</v>
      </c>
      <c r="I2492">
        <v>3</v>
      </c>
      <c r="J2492">
        <v>0</v>
      </c>
      <c r="K2492" s="6">
        <v>11</v>
      </c>
      <c r="L2492" s="2">
        <v>6.99</v>
      </c>
      <c r="M2492" s="6">
        <v>36</v>
      </c>
      <c r="N2492" t="str" cm="1">
        <f t="array" ref="N2492">_xlfn.IFS(M2492&gt;=50,"50-60 Days", M2492&gt;=40,"40-50 Days", M2492&gt;=30, "30-40 Days", M2492&gt;=20, "20-30 Days", M2492&gt;=10, "10-20 Days", M2492&gt;=0, "0-10 Days")</f>
        <v>30-40 Days</v>
      </c>
    </row>
    <row r="2493" spans="1:14">
      <c r="A2493">
        <v>2492</v>
      </c>
      <c r="B2493" t="s">
        <v>29</v>
      </c>
      <c r="C2493" s="5">
        <v>45075</v>
      </c>
      <c r="D2493" s="8">
        <v>45075</v>
      </c>
      <c r="E2493" s="8" t="str">
        <f>IF(B2493="Inactive", EDATE(D2493,K2493), "")</f>
        <v/>
      </c>
      <c r="F2493" t="s">
        <v>12</v>
      </c>
      <c r="G2493">
        <v>17.3</v>
      </c>
      <c r="H2493" t="str" cm="1">
        <f t="array" ref="H2493">_xlfn.IFS(G2493&gt;=20,"20-25", G2493&gt;=15,"15-20", G2493&gt;=10,"10-15", G2493&gt;=5,"5-10", G2493&gt;=1,"1-5", G2493&lt;1,"Less than 1")</f>
        <v>15-20</v>
      </c>
      <c r="I2493">
        <v>7</v>
      </c>
      <c r="J2493">
        <v>0</v>
      </c>
      <c r="K2493" s="6">
        <v>5</v>
      </c>
      <c r="L2493" s="2">
        <v>1.99</v>
      </c>
      <c r="M2493" s="6">
        <v>38</v>
      </c>
      <c r="N2493" t="str" cm="1">
        <f t="array" ref="N2493">_xlfn.IFS(M2493&gt;=50,"50-60 Days", M2493&gt;=40,"40-50 Days", M2493&gt;=30, "30-40 Days", M2493&gt;=20, "20-30 Days", M2493&gt;=10, "10-20 Days", M2493&gt;=0, "0-10 Days")</f>
        <v>30-40 Days</v>
      </c>
    </row>
    <row r="2494" spans="1:14">
      <c r="A2494">
        <v>2493</v>
      </c>
      <c r="B2494" t="s">
        <v>29</v>
      </c>
      <c r="C2494" s="5">
        <v>45630</v>
      </c>
      <c r="D2494" s="8">
        <v>45630</v>
      </c>
      <c r="E2494" s="8" t="str">
        <f>IF(B2494="Inactive", EDATE(D2494,K2494), "")</f>
        <v/>
      </c>
      <c r="F2494" t="s">
        <v>14</v>
      </c>
      <c r="G2494">
        <v>16</v>
      </c>
      <c r="H2494" t="str" cm="1">
        <f t="array" ref="H2494">_xlfn.IFS(G2494&gt;=20,"20-25", G2494&gt;=15,"15-20", G2494&gt;=10,"10-15", G2494&gt;=5,"5-10", G2494&gt;=1,"1-5", G2494&lt;1,"Less than 1")</f>
        <v>15-20</v>
      </c>
      <c r="I2494">
        <v>2</v>
      </c>
      <c r="J2494">
        <v>0</v>
      </c>
      <c r="K2494" s="6">
        <v>2</v>
      </c>
      <c r="L2494" s="2">
        <v>3.99</v>
      </c>
      <c r="M2494" s="6">
        <v>13</v>
      </c>
      <c r="N2494" t="str" cm="1">
        <f t="array" ref="N2494">_xlfn.IFS(M2494&gt;=50,"50-60 Days", M2494&gt;=40,"40-50 Days", M2494&gt;=30, "30-40 Days", M2494&gt;=20, "20-30 Days", M2494&gt;=10, "10-20 Days", M2494&gt;=0, "0-10 Days")</f>
        <v>10-20 Days</v>
      </c>
    </row>
    <row r="2495" spans="1:14">
      <c r="A2495">
        <v>2494</v>
      </c>
      <c r="B2495" t="s">
        <v>29</v>
      </c>
      <c r="C2495" s="5">
        <v>45616</v>
      </c>
      <c r="D2495" s="8">
        <v>45616</v>
      </c>
      <c r="E2495" s="8" t="str">
        <f>IF(B2495="Inactive", EDATE(D2495,K2495), "")</f>
        <v/>
      </c>
      <c r="F2495" t="s">
        <v>10</v>
      </c>
      <c r="G2495">
        <v>10.5</v>
      </c>
      <c r="H2495" t="str" cm="1">
        <f t="array" ref="H2495">_xlfn.IFS(G2495&gt;=20,"20-25", G2495&gt;=15,"15-20", G2495&gt;=10,"10-15", G2495&gt;=5,"5-10", G2495&gt;=1,"1-5", G2495&lt;1,"Less than 1")</f>
        <v>10-15</v>
      </c>
      <c r="I2495">
        <v>2</v>
      </c>
      <c r="J2495">
        <v>0</v>
      </c>
      <c r="K2495" s="6">
        <v>10</v>
      </c>
      <c r="L2495" s="2">
        <v>6.99</v>
      </c>
      <c r="M2495" s="6">
        <v>7</v>
      </c>
      <c r="N2495" t="str" cm="1">
        <f t="array" ref="N2495">_xlfn.IFS(M2495&gt;=50,"50-60 Days", M2495&gt;=40,"40-50 Days", M2495&gt;=30, "30-40 Days", M2495&gt;=20, "20-30 Days", M2495&gt;=10, "10-20 Days", M2495&gt;=0, "0-10 Days")</f>
        <v>0-10 Days</v>
      </c>
    </row>
    <row r="2496" spans="1:14">
      <c r="A2496">
        <v>2495</v>
      </c>
      <c r="B2496" t="s">
        <v>29</v>
      </c>
      <c r="C2496" s="5">
        <v>44969</v>
      </c>
      <c r="D2496" s="8">
        <v>44969</v>
      </c>
      <c r="E2496" s="8" t="str">
        <f>IF(B2496="Inactive", EDATE(D2496,K2496), "")</f>
        <v/>
      </c>
      <c r="F2496" t="s">
        <v>12</v>
      </c>
      <c r="G2496">
        <v>3.3</v>
      </c>
      <c r="H2496" t="str" cm="1">
        <f t="array" ref="H2496">_xlfn.IFS(G2496&gt;=20,"20-25", G2496&gt;=15,"15-20", G2496&gt;=10,"10-15", G2496&gt;=5,"5-10", G2496&gt;=1,"1-5", G2496&lt;1,"Less than 1")</f>
        <v>1-5</v>
      </c>
      <c r="I2496">
        <v>6</v>
      </c>
      <c r="J2496">
        <v>0</v>
      </c>
      <c r="K2496" s="6">
        <v>3</v>
      </c>
      <c r="L2496" s="2">
        <v>1.99</v>
      </c>
      <c r="M2496" s="6">
        <v>8</v>
      </c>
      <c r="N2496" t="str" cm="1">
        <f t="array" ref="N2496">_xlfn.IFS(M2496&gt;=50,"50-60 Days", M2496&gt;=40,"40-50 Days", M2496&gt;=30, "30-40 Days", M2496&gt;=20, "20-30 Days", M2496&gt;=10, "10-20 Days", M2496&gt;=0, "0-10 Days")</f>
        <v>0-10 Days</v>
      </c>
    </row>
    <row r="2497" spans="1:14">
      <c r="A2497">
        <v>2496</v>
      </c>
      <c r="B2497" t="s">
        <v>29</v>
      </c>
      <c r="C2497" s="5">
        <v>45375</v>
      </c>
      <c r="D2497" s="8">
        <v>45375</v>
      </c>
      <c r="E2497" s="8" t="str">
        <f>IF(B2497="Inactive", EDATE(D2497,K2497), "")</f>
        <v/>
      </c>
      <c r="F2497" t="s">
        <v>12</v>
      </c>
      <c r="G2497">
        <v>11.4</v>
      </c>
      <c r="H2497" t="str" cm="1">
        <f t="array" ref="H2497">_xlfn.IFS(G2497&gt;=20,"20-25", G2497&gt;=15,"15-20", G2497&gt;=10,"10-15", G2497&gt;=5,"5-10", G2497&gt;=1,"1-5", G2497&lt;1,"Less than 1")</f>
        <v>10-15</v>
      </c>
      <c r="I2497">
        <v>5</v>
      </c>
      <c r="J2497">
        <v>5</v>
      </c>
      <c r="K2497" s="6">
        <v>1</v>
      </c>
      <c r="L2497" s="2">
        <v>1.99</v>
      </c>
      <c r="M2497" s="6">
        <v>47</v>
      </c>
      <c r="N2497" t="str" cm="1">
        <f t="array" ref="N2497">_xlfn.IFS(M2497&gt;=50,"50-60 Days", M2497&gt;=40,"40-50 Days", M2497&gt;=30, "30-40 Days", M2497&gt;=20, "20-30 Days", M2497&gt;=10, "10-20 Days", M2497&gt;=0, "0-10 Days")</f>
        <v>40-50 Days</v>
      </c>
    </row>
    <row r="2498" spans="1:14">
      <c r="A2498">
        <v>2497</v>
      </c>
      <c r="B2498" t="s">
        <v>29</v>
      </c>
      <c r="C2498" s="5">
        <v>45368</v>
      </c>
      <c r="D2498" s="8">
        <v>45368</v>
      </c>
      <c r="E2498" s="8" t="str">
        <f>IF(B2498="Inactive", EDATE(D2498,K2498), "")</f>
        <v/>
      </c>
      <c r="F2498" t="s">
        <v>12</v>
      </c>
      <c r="G2498">
        <v>23.2</v>
      </c>
      <c r="H2498" t="str" cm="1">
        <f t="array" ref="H2498">_xlfn.IFS(G2498&gt;=20,"20-25", G2498&gt;=15,"15-20", G2498&gt;=10,"10-15", G2498&gt;=5,"5-10", G2498&gt;=1,"1-5", G2498&lt;1,"Less than 1")</f>
        <v>20-25</v>
      </c>
      <c r="I2498">
        <v>3</v>
      </c>
      <c r="J2498">
        <v>0</v>
      </c>
      <c r="K2498" s="6">
        <v>5</v>
      </c>
      <c r="L2498" s="2">
        <v>1.99</v>
      </c>
      <c r="M2498" s="6">
        <v>18</v>
      </c>
      <c r="N2498" t="str" cm="1">
        <f t="array" ref="N2498">_xlfn.IFS(M2498&gt;=50,"50-60 Days", M2498&gt;=40,"40-50 Days", M2498&gt;=30, "30-40 Days", M2498&gt;=20, "20-30 Days", M2498&gt;=10, "10-20 Days", M2498&gt;=0, "0-10 Days")</f>
        <v>10-20 Days</v>
      </c>
    </row>
    <row r="2499" spans="1:14">
      <c r="A2499">
        <v>2498</v>
      </c>
      <c r="B2499" t="s">
        <v>29</v>
      </c>
      <c r="C2499" s="5">
        <v>45608</v>
      </c>
      <c r="D2499" s="8">
        <v>45608</v>
      </c>
      <c r="E2499" s="8" t="str">
        <f>IF(B2499="Inactive", EDATE(D2499,K2499), "")</f>
        <v/>
      </c>
      <c r="F2499" t="s">
        <v>14</v>
      </c>
      <c r="G2499">
        <v>5.6</v>
      </c>
      <c r="H2499" t="str" cm="1">
        <f t="array" ref="H2499">_xlfn.IFS(G2499&gt;=20,"20-25", G2499&gt;=15,"15-20", G2499&gt;=10,"10-15", G2499&gt;=5,"5-10", G2499&gt;=1,"1-5", G2499&lt;1,"Less than 1")</f>
        <v>5-10</v>
      </c>
      <c r="I2499">
        <v>0</v>
      </c>
      <c r="J2499">
        <v>5</v>
      </c>
      <c r="K2499" s="6">
        <v>8</v>
      </c>
      <c r="L2499" s="2">
        <v>3.99</v>
      </c>
      <c r="M2499" s="6">
        <v>11</v>
      </c>
      <c r="N2499" t="str" cm="1">
        <f t="array" ref="N2499">_xlfn.IFS(M2499&gt;=50,"50-60 Days", M2499&gt;=40,"40-50 Days", M2499&gt;=30, "30-40 Days", M2499&gt;=20, "20-30 Days", M2499&gt;=10, "10-20 Days", M2499&gt;=0, "0-10 Days")</f>
        <v>10-20 Days</v>
      </c>
    </row>
    <row r="2500" spans="1:14">
      <c r="A2500">
        <v>2499</v>
      </c>
      <c r="B2500" t="s">
        <v>28</v>
      </c>
      <c r="C2500" s="5">
        <v>44950</v>
      </c>
      <c r="D2500" s="8">
        <v>44950</v>
      </c>
      <c r="E2500" s="8">
        <f>IF(B2500="Inactive", EDATE(D2500,K2500), "")</f>
        <v>45315</v>
      </c>
      <c r="F2500" t="s">
        <v>14</v>
      </c>
      <c r="G2500">
        <v>3</v>
      </c>
      <c r="H2500" t="str" cm="1">
        <f t="array" ref="H2500">_xlfn.IFS(G2500&gt;=20,"20-25", G2500&gt;=15,"15-20", G2500&gt;=10,"10-15", G2500&gt;=5,"5-10", G2500&gt;=1,"1-5", G2500&lt;1,"Less than 1")</f>
        <v>1-5</v>
      </c>
      <c r="I2500">
        <v>4</v>
      </c>
      <c r="J2500">
        <v>1</v>
      </c>
      <c r="K2500" s="6">
        <v>12</v>
      </c>
      <c r="L2500" s="2">
        <v>3.99</v>
      </c>
      <c r="M2500" s="6">
        <v>6</v>
      </c>
      <c r="N2500" t="str" cm="1">
        <f t="array" ref="N2500">_xlfn.IFS(M2500&gt;=50,"50-60 Days", M2500&gt;=40,"40-50 Days", M2500&gt;=30, "30-40 Days", M2500&gt;=20, "20-30 Days", M2500&gt;=10, "10-20 Days", M2500&gt;=0, "0-10 Days")</f>
        <v>0-10 Days</v>
      </c>
    </row>
    <row r="2501" spans="1:14">
      <c r="A2501">
        <v>2500</v>
      </c>
      <c r="B2501" t="s">
        <v>28</v>
      </c>
      <c r="C2501" s="5">
        <v>45607</v>
      </c>
      <c r="D2501" s="8">
        <v>45607</v>
      </c>
      <c r="E2501" s="8">
        <f>IF(B2501="Inactive", EDATE(D2501,K2501), "")</f>
        <v>45880</v>
      </c>
      <c r="F2501" t="s">
        <v>10</v>
      </c>
      <c r="G2501">
        <v>15.8</v>
      </c>
      <c r="H2501" t="str" cm="1">
        <f t="array" ref="H2501">_xlfn.IFS(G2501&gt;=20,"20-25", G2501&gt;=15,"15-20", G2501&gt;=10,"10-15", G2501&gt;=5,"5-10", G2501&gt;=1,"1-5", G2501&lt;1,"Less than 1")</f>
        <v>15-20</v>
      </c>
      <c r="I2501">
        <v>2</v>
      </c>
      <c r="J2501">
        <v>2</v>
      </c>
      <c r="K2501" s="6">
        <v>9</v>
      </c>
      <c r="L2501" s="2">
        <v>6.99</v>
      </c>
      <c r="M2501" s="6">
        <v>55</v>
      </c>
      <c r="N2501" t="str" cm="1">
        <f t="array" ref="N2501">_xlfn.IFS(M2501&gt;=50,"50-60 Days", M2501&gt;=40,"40-50 Days", M2501&gt;=30, "30-40 Days", M2501&gt;=20, "20-30 Days", M2501&gt;=10, "10-20 Days", M2501&gt;=0, "0-10 Days")</f>
        <v>50-60 Days</v>
      </c>
    </row>
    <row r="2502" spans="1:14">
      <c r="A2502">
        <v>2501</v>
      </c>
      <c r="B2502" t="s">
        <v>28</v>
      </c>
      <c r="C2502" s="5">
        <v>45532</v>
      </c>
      <c r="D2502" s="8">
        <v>45532</v>
      </c>
      <c r="E2502" s="8">
        <f>IF(B2502="Inactive", EDATE(D2502,K2502), "")</f>
        <v>45624</v>
      </c>
      <c r="F2502" t="s">
        <v>14</v>
      </c>
      <c r="G2502">
        <v>4.2</v>
      </c>
      <c r="H2502" t="str" cm="1">
        <f t="array" ref="H2502">_xlfn.IFS(G2502&gt;=20,"20-25", G2502&gt;=15,"15-20", G2502&gt;=10,"10-15", G2502&gt;=5,"5-10", G2502&gt;=1,"1-5", G2502&lt;1,"Less than 1")</f>
        <v>1-5</v>
      </c>
      <c r="I2502">
        <v>4</v>
      </c>
      <c r="J2502">
        <v>3</v>
      </c>
      <c r="K2502" s="6">
        <v>3</v>
      </c>
      <c r="L2502" s="2">
        <v>3.99</v>
      </c>
      <c r="M2502" s="6">
        <v>8</v>
      </c>
      <c r="N2502" t="str" cm="1">
        <f t="array" ref="N2502">_xlfn.IFS(M2502&gt;=50,"50-60 Days", M2502&gt;=40,"40-50 Days", M2502&gt;=30, "30-40 Days", M2502&gt;=20, "20-30 Days", M2502&gt;=10, "10-20 Days", M2502&gt;=0, "0-10 Days")</f>
        <v>0-10 Days</v>
      </c>
    </row>
    <row r="2503" spans="1:14">
      <c r="A2503">
        <v>2502</v>
      </c>
      <c r="B2503" t="s">
        <v>29</v>
      </c>
      <c r="C2503" s="5">
        <v>44994</v>
      </c>
      <c r="D2503" s="8">
        <v>44994</v>
      </c>
      <c r="E2503" s="8" t="str">
        <f>IF(B2503="Inactive", EDATE(D2503,K2503), "")</f>
        <v/>
      </c>
      <c r="F2503" t="s">
        <v>12</v>
      </c>
      <c r="G2503">
        <v>24.9</v>
      </c>
      <c r="H2503" t="str" cm="1">
        <f t="array" ref="H2503">_xlfn.IFS(G2503&gt;=20,"20-25", G2503&gt;=15,"15-20", G2503&gt;=10,"10-15", G2503&gt;=5,"5-10", G2503&gt;=1,"1-5", G2503&lt;1,"Less than 1")</f>
        <v>20-25</v>
      </c>
      <c r="I2503">
        <v>5</v>
      </c>
      <c r="J2503">
        <v>5</v>
      </c>
      <c r="K2503" s="6">
        <v>8</v>
      </c>
      <c r="L2503" s="2">
        <v>1.99</v>
      </c>
      <c r="M2503" s="6">
        <v>24</v>
      </c>
      <c r="N2503" t="str" cm="1">
        <f t="array" ref="N2503">_xlfn.IFS(M2503&gt;=50,"50-60 Days", M2503&gt;=40,"40-50 Days", M2503&gt;=30, "30-40 Days", M2503&gt;=20, "20-30 Days", M2503&gt;=10, "10-20 Days", M2503&gt;=0, "0-10 Days")</f>
        <v>20-30 Days</v>
      </c>
    </row>
    <row r="2504" spans="1:14">
      <c r="A2504">
        <v>2503</v>
      </c>
      <c r="B2504" t="s">
        <v>28</v>
      </c>
      <c r="C2504" s="5">
        <v>45280</v>
      </c>
      <c r="D2504" s="8">
        <v>45280</v>
      </c>
      <c r="E2504" s="8">
        <f>IF(B2504="Inactive", EDATE(D2504,K2504), "")</f>
        <v>45311</v>
      </c>
      <c r="F2504" t="s">
        <v>10</v>
      </c>
      <c r="G2504">
        <v>20.2</v>
      </c>
      <c r="H2504" t="str" cm="1">
        <f t="array" ref="H2504">_xlfn.IFS(G2504&gt;=20,"20-25", G2504&gt;=15,"15-20", G2504&gt;=10,"10-15", G2504&gt;=5,"5-10", G2504&gt;=1,"1-5", G2504&lt;1,"Less than 1")</f>
        <v>20-25</v>
      </c>
      <c r="I2504">
        <v>3</v>
      </c>
      <c r="J2504">
        <v>5</v>
      </c>
      <c r="K2504" s="6">
        <v>1</v>
      </c>
      <c r="L2504" s="2">
        <v>6.99</v>
      </c>
      <c r="M2504" s="6">
        <v>42</v>
      </c>
      <c r="N2504" t="str" cm="1">
        <f t="array" ref="N2504">_xlfn.IFS(M2504&gt;=50,"50-60 Days", M2504&gt;=40,"40-50 Days", M2504&gt;=30, "30-40 Days", M2504&gt;=20, "20-30 Days", M2504&gt;=10, "10-20 Days", M2504&gt;=0, "0-10 Days")</f>
        <v>40-50 Days</v>
      </c>
    </row>
    <row r="2505" spans="1:14">
      <c r="A2505">
        <v>2504</v>
      </c>
      <c r="B2505" t="s">
        <v>28</v>
      </c>
      <c r="C2505" s="5">
        <v>45209</v>
      </c>
      <c r="D2505" s="8">
        <v>45209</v>
      </c>
      <c r="E2505" s="8">
        <f>IF(B2505="Inactive", EDATE(D2505,K2505), "")</f>
        <v>45545</v>
      </c>
      <c r="F2505" t="s">
        <v>12</v>
      </c>
      <c r="G2505">
        <v>20.7</v>
      </c>
      <c r="H2505" t="str" cm="1">
        <f t="array" ref="H2505">_xlfn.IFS(G2505&gt;=20,"20-25", G2505&gt;=15,"15-20", G2505&gt;=10,"10-15", G2505&gt;=5,"5-10", G2505&gt;=1,"1-5", G2505&lt;1,"Less than 1")</f>
        <v>20-25</v>
      </c>
      <c r="I2505">
        <v>1</v>
      </c>
      <c r="J2505">
        <v>1</v>
      </c>
      <c r="K2505" s="6">
        <v>11</v>
      </c>
      <c r="L2505" s="2">
        <v>1.99</v>
      </c>
      <c r="M2505" s="6">
        <v>29</v>
      </c>
      <c r="N2505" t="str" cm="1">
        <f t="array" ref="N2505">_xlfn.IFS(M2505&gt;=50,"50-60 Days", M2505&gt;=40,"40-50 Days", M2505&gt;=30, "30-40 Days", M2505&gt;=20, "20-30 Days", M2505&gt;=10, "10-20 Days", M2505&gt;=0, "0-10 Days")</f>
        <v>20-30 Days</v>
      </c>
    </row>
    <row r="2506" spans="1:14">
      <c r="A2506">
        <v>2505</v>
      </c>
      <c r="B2506" t="s">
        <v>28</v>
      </c>
      <c r="C2506" s="5">
        <v>45241</v>
      </c>
      <c r="D2506" s="8">
        <v>45241</v>
      </c>
      <c r="E2506" s="8">
        <f>IF(B2506="Inactive", EDATE(D2506,K2506), "")</f>
        <v>45546</v>
      </c>
      <c r="F2506" t="s">
        <v>12</v>
      </c>
      <c r="G2506">
        <v>23.4</v>
      </c>
      <c r="H2506" t="str" cm="1">
        <f t="array" ref="H2506">_xlfn.IFS(G2506&gt;=20,"20-25", G2506&gt;=15,"15-20", G2506&gt;=10,"10-15", G2506&gt;=5,"5-10", G2506&gt;=1,"1-5", G2506&lt;1,"Less than 1")</f>
        <v>20-25</v>
      </c>
      <c r="I2506">
        <v>8</v>
      </c>
      <c r="J2506">
        <v>2</v>
      </c>
      <c r="K2506" s="6">
        <v>10</v>
      </c>
      <c r="L2506" s="2">
        <v>1.99</v>
      </c>
      <c r="M2506" s="6">
        <v>34</v>
      </c>
      <c r="N2506" t="str" cm="1">
        <f t="array" ref="N2506">_xlfn.IFS(M2506&gt;=50,"50-60 Days", M2506&gt;=40,"40-50 Days", M2506&gt;=30, "30-40 Days", M2506&gt;=20, "20-30 Days", M2506&gt;=10, "10-20 Days", M2506&gt;=0, "0-10 Days")</f>
        <v>30-40 Days</v>
      </c>
    </row>
    <row r="2507" spans="1:14">
      <c r="A2507">
        <v>2506</v>
      </c>
      <c r="B2507" t="s">
        <v>29</v>
      </c>
      <c r="C2507" s="5">
        <v>45086</v>
      </c>
      <c r="D2507" s="8">
        <v>45086</v>
      </c>
      <c r="E2507" s="8" t="str">
        <f>IF(B2507="Inactive", EDATE(D2507,K2507), "")</f>
        <v/>
      </c>
      <c r="F2507" t="s">
        <v>12</v>
      </c>
      <c r="G2507">
        <v>21.2</v>
      </c>
      <c r="H2507" t="str" cm="1">
        <f t="array" ref="H2507">_xlfn.IFS(G2507&gt;=20,"20-25", G2507&gt;=15,"15-20", G2507&gt;=10,"10-15", G2507&gt;=5,"5-10", G2507&gt;=1,"1-5", G2507&lt;1,"Less than 1")</f>
        <v>20-25</v>
      </c>
      <c r="I2507">
        <v>4</v>
      </c>
      <c r="J2507">
        <v>0</v>
      </c>
      <c r="K2507" s="6">
        <v>5</v>
      </c>
      <c r="L2507" s="2">
        <v>1.99</v>
      </c>
      <c r="M2507" s="6">
        <v>56</v>
      </c>
      <c r="N2507" t="str" cm="1">
        <f t="array" ref="N2507">_xlfn.IFS(M2507&gt;=50,"50-60 Days", M2507&gt;=40,"40-50 Days", M2507&gt;=30, "30-40 Days", M2507&gt;=20, "20-30 Days", M2507&gt;=10, "10-20 Days", M2507&gt;=0, "0-10 Days")</f>
        <v>50-60 Days</v>
      </c>
    </row>
    <row r="2508" spans="1:14">
      <c r="A2508">
        <v>2507</v>
      </c>
      <c r="B2508" t="s">
        <v>29</v>
      </c>
      <c r="C2508" s="5">
        <v>45092</v>
      </c>
      <c r="D2508" s="8">
        <v>45092</v>
      </c>
      <c r="E2508" s="8" t="str">
        <f>IF(B2508="Inactive", EDATE(D2508,K2508), "")</f>
        <v/>
      </c>
      <c r="F2508" t="s">
        <v>12</v>
      </c>
      <c r="G2508">
        <v>24.8</v>
      </c>
      <c r="H2508" t="str" cm="1">
        <f t="array" ref="H2508">_xlfn.IFS(G2508&gt;=20,"20-25", G2508&gt;=15,"15-20", G2508&gt;=10,"10-15", G2508&gt;=5,"5-10", G2508&gt;=1,"1-5", G2508&lt;1,"Less than 1")</f>
        <v>20-25</v>
      </c>
      <c r="I2508">
        <v>0</v>
      </c>
      <c r="J2508">
        <v>3</v>
      </c>
      <c r="K2508" s="6">
        <v>4</v>
      </c>
      <c r="L2508" s="2">
        <v>1.99</v>
      </c>
      <c r="M2508" s="6">
        <v>7</v>
      </c>
      <c r="N2508" t="str" cm="1">
        <f t="array" ref="N2508">_xlfn.IFS(M2508&gt;=50,"50-60 Days", M2508&gt;=40,"40-50 Days", M2508&gt;=30, "30-40 Days", M2508&gt;=20, "20-30 Days", M2508&gt;=10, "10-20 Days", M2508&gt;=0, "0-10 Days")</f>
        <v>0-10 Days</v>
      </c>
    </row>
    <row r="2509" spans="1:14">
      <c r="A2509">
        <v>2508</v>
      </c>
      <c r="B2509" t="s">
        <v>29</v>
      </c>
      <c r="C2509" s="5">
        <v>44989</v>
      </c>
      <c r="D2509" s="8">
        <v>44989</v>
      </c>
      <c r="E2509" s="8" t="str">
        <f>IF(B2509="Inactive", EDATE(D2509,K2509), "")</f>
        <v/>
      </c>
      <c r="F2509" t="s">
        <v>14</v>
      </c>
      <c r="G2509">
        <v>14.2</v>
      </c>
      <c r="H2509" t="str" cm="1">
        <f t="array" ref="H2509">_xlfn.IFS(G2509&gt;=20,"20-25", G2509&gt;=15,"15-20", G2509&gt;=10,"10-15", G2509&gt;=5,"5-10", G2509&gt;=1,"1-5", G2509&lt;1,"Less than 1")</f>
        <v>10-15</v>
      </c>
      <c r="I2509">
        <v>4</v>
      </c>
      <c r="J2509">
        <v>0</v>
      </c>
      <c r="K2509" s="6">
        <v>5</v>
      </c>
      <c r="L2509" s="2">
        <v>3.99</v>
      </c>
      <c r="M2509" s="6">
        <v>10</v>
      </c>
      <c r="N2509" t="str" cm="1">
        <f t="array" ref="N2509">_xlfn.IFS(M2509&gt;=50,"50-60 Days", M2509&gt;=40,"40-50 Days", M2509&gt;=30, "30-40 Days", M2509&gt;=20, "20-30 Days", M2509&gt;=10, "10-20 Days", M2509&gt;=0, "0-10 Days")</f>
        <v>10-20 Days</v>
      </c>
    </row>
    <row r="2510" spans="1:14">
      <c r="A2510">
        <v>2509</v>
      </c>
      <c r="B2510" t="s">
        <v>28</v>
      </c>
      <c r="C2510" s="5">
        <v>45215</v>
      </c>
      <c r="D2510" s="8">
        <v>45215</v>
      </c>
      <c r="E2510" s="8">
        <f>IF(B2510="Inactive", EDATE(D2510,K2510), "")</f>
        <v>45276</v>
      </c>
      <c r="F2510" t="s">
        <v>14</v>
      </c>
      <c r="G2510">
        <v>11.1</v>
      </c>
      <c r="H2510" t="str" cm="1">
        <f t="array" ref="H2510">_xlfn.IFS(G2510&gt;=20,"20-25", G2510&gt;=15,"15-20", G2510&gt;=10,"10-15", G2510&gt;=5,"5-10", G2510&gt;=1,"1-5", G2510&lt;1,"Less than 1")</f>
        <v>10-15</v>
      </c>
      <c r="I2510">
        <v>0</v>
      </c>
      <c r="J2510">
        <v>3</v>
      </c>
      <c r="K2510" s="6">
        <v>2</v>
      </c>
      <c r="L2510" s="2">
        <v>3.99</v>
      </c>
      <c r="M2510" s="6">
        <v>14</v>
      </c>
      <c r="N2510" t="str" cm="1">
        <f t="array" ref="N2510">_xlfn.IFS(M2510&gt;=50,"50-60 Days", M2510&gt;=40,"40-50 Days", M2510&gt;=30, "30-40 Days", M2510&gt;=20, "20-30 Days", M2510&gt;=10, "10-20 Days", M2510&gt;=0, "0-10 Days")</f>
        <v>10-20 Days</v>
      </c>
    </row>
    <row r="2511" spans="1:14">
      <c r="A2511">
        <v>2510</v>
      </c>
      <c r="B2511" t="s">
        <v>29</v>
      </c>
      <c r="C2511" s="5">
        <v>45573</v>
      </c>
      <c r="D2511" s="8">
        <v>45573</v>
      </c>
      <c r="E2511" s="8" t="str">
        <f>IF(B2511="Inactive", EDATE(D2511,K2511), "")</f>
        <v/>
      </c>
      <c r="F2511" t="s">
        <v>10</v>
      </c>
      <c r="G2511">
        <v>8.9</v>
      </c>
      <c r="H2511" t="str" cm="1">
        <f t="array" ref="H2511">_xlfn.IFS(G2511&gt;=20,"20-25", G2511&gt;=15,"15-20", G2511&gt;=10,"10-15", G2511&gt;=5,"5-10", G2511&gt;=1,"1-5", G2511&lt;1,"Less than 1")</f>
        <v>5-10</v>
      </c>
      <c r="I2511">
        <v>4</v>
      </c>
      <c r="J2511">
        <v>1</v>
      </c>
      <c r="K2511" s="6">
        <v>3</v>
      </c>
      <c r="L2511" s="2">
        <v>6.99</v>
      </c>
      <c r="M2511" s="6">
        <v>52</v>
      </c>
      <c r="N2511" t="str" cm="1">
        <f t="array" ref="N2511">_xlfn.IFS(M2511&gt;=50,"50-60 Days", M2511&gt;=40,"40-50 Days", M2511&gt;=30, "30-40 Days", M2511&gt;=20, "20-30 Days", M2511&gt;=10, "10-20 Days", M2511&gt;=0, "0-10 Days")</f>
        <v>50-60 Days</v>
      </c>
    </row>
    <row r="2512" spans="1:14">
      <c r="A2512">
        <v>2511</v>
      </c>
      <c r="B2512" t="s">
        <v>28</v>
      </c>
      <c r="C2512" s="5">
        <v>44944</v>
      </c>
      <c r="D2512" s="8">
        <v>44944</v>
      </c>
      <c r="E2512" s="8">
        <f>IF(B2512="Inactive", EDATE(D2512,K2512), "")</f>
        <v>44975</v>
      </c>
      <c r="F2512" t="s">
        <v>10</v>
      </c>
      <c r="G2512">
        <v>5.9</v>
      </c>
      <c r="H2512" t="str" cm="1">
        <f t="array" ref="H2512">_xlfn.IFS(G2512&gt;=20,"20-25", G2512&gt;=15,"15-20", G2512&gt;=10,"10-15", G2512&gt;=5,"5-10", G2512&gt;=1,"1-5", G2512&lt;1,"Less than 1")</f>
        <v>5-10</v>
      </c>
      <c r="I2512">
        <v>4</v>
      </c>
      <c r="J2512">
        <v>0</v>
      </c>
      <c r="K2512" s="6">
        <v>1</v>
      </c>
      <c r="L2512" s="2">
        <v>6.99</v>
      </c>
      <c r="M2512" s="6">
        <v>15</v>
      </c>
      <c r="N2512" t="str" cm="1">
        <f t="array" ref="N2512">_xlfn.IFS(M2512&gt;=50,"50-60 Days", M2512&gt;=40,"40-50 Days", M2512&gt;=30, "30-40 Days", M2512&gt;=20, "20-30 Days", M2512&gt;=10, "10-20 Days", M2512&gt;=0, "0-10 Days")</f>
        <v>10-20 Days</v>
      </c>
    </row>
    <row r="2513" spans="1:14">
      <c r="A2513">
        <v>2512</v>
      </c>
      <c r="B2513" t="s">
        <v>29</v>
      </c>
      <c r="C2513" s="5">
        <v>45582</v>
      </c>
      <c r="D2513" s="8">
        <v>45582</v>
      </c>
      <c r="E2513" s="8" t="str">
        <f>IF(B2513="Inactive", EDATE(D2513,K2513), "")</f>
        <v/>
      </c>
      <c r="F2513" t="s">
        <v>10</v>
      </c>
      <c r="G2513">
        <v>22.7</v>
      </c>
      <c r="H2513" t="str" cm="1">
        <f t="array" ref="H2513">_xlfn.IFS(G2513&gt;=20,"20-25", G2513&gt;=15,"15-20", G2513&gt;=10,"10-15", G2513&gt;=5,"5-10", G2513&gt;=1,"1-5", G2513&lt;1,"Less than 1")</f>
        <v>20-25</v>
      </c>
      <c r="I2513">
        <v>6</v>
      </c>
      <c r="J2513">
        <v>3</v>
      </c>
      <c r="K2513" s="6">
        <v>8</v>
      </c>
      <c r="L2513" s="2">
        <v>6.99</v>
      </c>
      <c r="M2513" s="6">
        <v>36</v>
      </c>
      <c r="N2513" t="str" cm="1">
        <f t="array" ref="N2513">_xlfn.IFS(M2513&gt;=50,"50-60 Days", M2513&gt;=40,"40-50 Days", M2513&gt;=30, "30-40 Days", M2513&gt;=20, "20-30 Days", M2513&gt;=10, "10-20 Days", M2513&gt;=0, "0-10 Days")</f>
        <v>30-40 Days</v>
      </c>
    </row>
    <row r="2514" spans="1:14">
      <c r="A2514">
        <v>2513</v>
      </c>
      <c r="B2514" t="s">
        <v>28</v>
      </c>
      <c r="C2514" s="5">
        <v>45531</v>
      </c>
      <c r="D2514" s="8">
        <v>45531</v>
      </c>
      <c r="E2514" s="8">
        <f>IF(B2514="Inactive", EDATE(D2514,K2514), "")</f>
        <v>45774</v>
      </c>
      <c r="F2514" t="s">
        <v>14</v>
      </c>
      <c r="G2514">
        <v>10.9</v>
      </c>
      <c r="H2514" t="str" cm="1">
        <f t="array" ref="H2514">_xlfn.IFS(G2514&gt;=20,"20-25", G2514&gt;=15,"15-20", G2514&gt;=10,"10-15", G2514&gt;=5,"5-10", G2514&gt;=1,"1-5", G2514&lt;1,"Less than 1")</f>
        <v>10-15</v>
      </c>
      <c r="I2514">
        <v>4</v>
      </c>
      <c r="J2514">
        <v>4</v>
      </c>
      <c r="K2514" s="6">
        <v>8</v>
      </c>
      <c r="L2514" s="2">
        <v>3.99</v>
      </c>
      <c r="M2514" s="6">
        <v>4</v>
      </c>
      <c r="N2514" t="str" cm="1">
        <f t="array" ref="N2514">_xlfn.IFS(M2514&gt;=50,"50-60 Days", M2514&gt;=40,"40-50 Days", M2514&gt;=30, "30-40 Days", M2514&gt;=20, "20-30 Days", M2514&gt;=10, "10-20 Days", M2514&gt;=0, "0-10 Days")</f>
        <v>0-10 Days</v>
      </c>
    </row>
    <row r="2515" spans="1:14">
      <c r="A2515">
        <v>2514</v>
      </c>
      <c r="B2515" t="s">
        <v>28</v>
      </c>
      <c r="C2515" s="5">
        <v>45418</v>
      </c>
      <c r="D2515" s="8">
        <v>45418</v>
      </c>
      <c r="E2515" s="8">
        <f>IF(B2515="Inactive", EDATE(D2515,K2515), "")</f>
        <v>45663</v>
      </c>
      <c r="F2515" t="s">
        <v>10</v>
      </c>
      <c r="G2515">
        <v>9.6</v>
      </c>
      <c r="H2515" t="str" cm="1">
        <f t="array" ref="H2515">_xlfn.IFS(G2515&gt;=20,"20-25", G2515&gt;=15,"15-20", G2515&gt;=10,"10-15", G2515&gt;=5,"5-10", G2515&gt;=1,"1-5", G2515&lt;1,"Less than 1")</f>
        <v>5-10</v>
      </c>
      <c r="I2515">
        <v>6</v>
      </c>
      <c r="J2515">
        <v>1</v>
      </c>
      <c r="K2515" s="6">
        <v>8</v>
      </c>
      <c r="L2515" s="2">
        <v>6.99</v>
      </c>
      <c r="M2515" s="6">
        <v>60</v>
      </c>
      <c r="N2515" t="str" cm="1">
        <f t="array" ref="N2515">_xlfn.IFS(M2515&gt;=50,"50-60 Days", M2515&gt;=40,"40-50 Days", M2515&gt;=30, "30-40 Days", M2515&gt;=20, "20-30 Days", M2515&gt;=10, "10-20 Days", M2515&gt;=0, "0-10 Days")</f>
        <v>50-60 Days</v>
      </c>
    </row>
    <row r="2516" spans="1:14">
      <c r="A2516">
        <v>2515</v>
      </c>
      <c r="B2516" t="s">
        <v>28</v>
      </c>
      <c r="C2516" s="5">
        <v>44972</v>
      </c>
      <c r="D2516" s="8">
        <v>44972</v>
      </c>
      <c r="E2516" s="8">
        <f>IF(B2516="Inactive", EDATE(D2516,K2516), "")</f>
        <v>45061</v>
      </c>
      <c r="F2516" t="s">
        <v>12</v>
      </c>
      <c r="G2516">
        <v>21</v>
      </c>
      <c r="H2516" t="str" cm="1">
        <f t="array" ref="H2516">_xlfn.IFS(G2516&gt;=20,"20-25", G2516&gt;=15,"15-20", G2516&gt;=10,"10-15", G2516&gt;=5,"5-10", G2516&gt;=1,"1-5", G2516&lt;1,"Less than 1")</f>
        <v>20-25</v>
      </c>
      <c r="I2516">
        <v>4</v>
      </c>
      <c r="J2516">
        <v>3</v>
      </c>
      <c r="K2516" s="6">
        <v>3</v>
      </c>
      <c r="L2516" s="2">
        <v>1.99</v>
      </c>
      <c r="M2516" s="6">
        <v>27</v>
      </c>
      <c r="N2516" t="str" cm="1">
        <f t="array" ref="N2516">_xlfn.IFS(M2516&gt;=50,"50-60 Days", M2516&gt;=40,"40-50 Days", M2516&gt;=30, "30-40 Days", M2516&gt;=20, "20-30 Days", M2516&gt;=10, "10-20 Days", M2516&gt;=0, "0-10 Days")</f>
        <v>20-30 Days</v>
      </c>
    </row>
    <row r="2517" spans="1:14">
      <c r="A2517">
        <v>2516</v>
      </c>
      <c r="B2517" t="s">
        <v>28</v>
      </c>
      <c r="C2517" s="5">
        <v>45349</v>
      </c>
      <c r="D2517" s="8">
        <v>45349</v>
      </c>
      <c r="E2517" s="8">
        <f>IF(B2517="Inactive", EDATE(D2517,K2517), "")</f>
        <v>45409</v>
      </c>
      <c r="F2517" t="s">
        <v>10</v>
      </c>
      <c r="G2517">
        <v>19.3</v>
      </c>
      <c r="H2517" t="str" cm="1">
        <f t="array" ref="H2517">_xlfn.IFS(G2517&gt;=20,"20-25", G2517&gt;=15,"15-20", G2517&gt;=10,"10-15", G2517&gt;=5,"5-10", G2517&gt;=1,"1-5", G2517&lt;1,"Less than 1")</f>
        <v>15-20</v>
      </c>
      <c r="I2517">
        <v>8</v>
      </c>
      <c r="J2517">
        <v>0</v>
      </c>
      <c r="K2517" s="6">
        <v>2</v>
      </c>
      <c r="L2517" s="2">
        <v>6.99</v>
      </c>
      <c r="M2517" s="6">
        <v>2</v>
      </c>
      <c r="N2517" t="str" cm="1">
        <f t="array" ref="N2517">_xlfn.IFS(M2517&gt;=50,"50-60 Days", M2517&gt;=40,"40-50 Days", M2517&gt;=30, "30-40 Days", M2517&gt;=20, "20-30 Days", M2517&gt;=10, "10-20 Days", M2517&gt;=0, "0-10 Days")</f>
        <v>0-10 Days</v>
      </c>
    </row>
    <row r="2518" spans="1:14">
      <c r="A2518">
        <v>2517</v>
      </c>
      <c r="B2518" t="s">
        <v>28</v>
      </c>
      <c r="C2518" s="5">
        <v>45427</v>
      </c>
      <c r="D2518" s="8">
        <v>45427</v>
      </c>
      <c r="E2518" s="8">
        <f>IF(B2518="Inactive", EDATE(D2518,K2518), "")</f>
        <v>45580</v>
      </c>
      <c r="F2518" t="s">
        <v>10</v>
      </c>
      <c r="G2518">
        <v>3</v>
      </c>
      <c r="H2518" t="str" cm="1">
        <f t="array" ref="H2518">_xlfn.IFS(G2518&gt;=20,"20-25", G2518&gt;=15,"15-20", G2518&gt;=10,"10-15", G2518&gt;=5,"5-10", G2518&gt;=1,"1-5", G2518&lt;1,"Less than 1")</f>
        <v>1-5</v>
      </c>
      <c r="I2518">
        <v>6</v>
      </c>
      <c r="J2518">
        <v>2</v>
      </c>
      <c r="K2518" s="6">
        <v>5</v>
      </c>
      <c r="L2518" s="2">
        <v>6.99</v>
      </c>
      <c r="M2518" s="6">
        <v>48</v>
      </c>
      <c r="N2518" t="str" cm="1">
        <f t="array" ref="N2518">_xlfn.IFS(M2518&gt;=50,"50-60 Days", M2518&gt;=40,"40-50 Days", M2518&gt;=30, "30-40 Days", M2518&gt;=20, "20-30 Days", M2518&gt;=10, "10-20 Days", M2518&gt;=0, "0-10 Days")</f>
        <v>40-50 Days</v>
      </c>
    </row>
    <row r="2519" spans="1:14">
      <c r="A2519">
        <v>2518</v>
      </c>
      <c r="B2519" t="s">
        <v>28</v>
      </c>
      <c r="C2519" s="5">
        <v>45613</v>
      </c>
      <c r="D2519" s="8">
        <v>45613</v>
      </c>
      <c r="E2519" s="8">
        <f>IF(B2519="Inactive", EDATE(D2519,K2519), "")</f>
        <v>45917</v>
      </c>
      <c r="F2519" t="s">
        <v>12</v>
      </c>
      <c r="G2519">
        <v>13.1</v>
      </c>
      <c r="H2519" t="str" cm="1">
        <f t="array" ref="H2519">_xlfn.IFS(G2519&gt;=20,"20-25", G2519&gt;=15,"15-20", G2519&gt;=10,"10-15", G2519&gt;=5,"5-10", G2519&gt;=1,"1-5", G2519&lt;1,"Less than 1")</f>
        <v>10-15</v>
      </c>
      <c r="I2519">
        <v>8</v>
      </c>
      <c r="J2519">
        <v>0</v>
      </c>
      <c r="K2519" s="6">
        <v>10</v>
      </c>
      <c r="L2519" s="2">
        <v>1.99</v>
      </c>
      <c r="M2519" s="6">
        <v>33</v>
      </c>
      <c r="N2519" t="str" cm="1">
        <f t="array" ref="N2519">_xlfn.IFS(M2519&gt;=50,"50-60 Days", M2519&gt;=40,"40-50 Days", M2519&gt;=30, "30-40 Days", M2519&gt;=20, "20-30 Days", M2519&gt;=10, "10-20 Days", M2519&gt;=0, "0-10 Days")</f>
        <v>30-40 Days</v>
      </c>
    </row>
    <row r="2520" spans="1:14">
      <c r="A2520">
        <v>2519</v>
      </c>
      <c r="B2520" t="s">
        <v>29</v>
      </c>
      <c r="C2520" s="5">
        <v>45648</v>
      </c>
      <c r="D2520" s="8">
        <v>45648</v>
      </c>
      <c r="E2520" s="8" t="str">
        <f>IF(B2520="Inactive", EDATE(D2520,K2520), "")</f>
        <v/>
      </c>
      <c r="F2520" t="s">
        <v>14</v>
      </c>
      <c r="G2520">
        <v>3.1</v>
      </c>
      <c r="H2520" t="str" cm="1">
        <f t="array" ref="H2520">_xlfn.IFS(G2520&gt;=20,"20-25", G2520&gt;=15,"15-20", G2520&gt;=10,"10-15", G2520&gt;=5,"5-10", G2520&gt;=1,"1-5", G2520&lt;1,"Less than 1")</f>
        <v>1-5</v>
      </c>
      <c r="I2520">
        <v>0</v>
      </c>
      <c r="J2520">
        <v>5</v>
      </c>
      <c r="K2520" s="6">
        <v>10</v>
      </c>
      <c r="L2520" s="2">
        <v>3.99</v>
      </c>
      <c r="M2520" s="6">
        <v>6</v>
      </c>
      <c r="N2520" t="str" cm="1">
        <f t="array" ref="N2520">_xlfn.IFS(M2520&gt;=50,"50-60 Days", M2520&gt;=40,"40-50 Days", M2520&gt;=30, "30-40 Days", M2520&gt;=20, "20-30 Days", M2520&gt;=10, "10-20 Days", M2520&gt;=0, "0-10 Days")</f>
        <v>0-10 Days</v>
      </c>
    </row>
    <row r="2521" spans="1:14">
      <c r="A2521">
        <v>2520</v>
      </c>
      <c r="B2521" t="s">
        <v>28</v>
      </c>
      <c r="C2521" s="5">
        <v>45179</v>
      </c>
      <c r="D2521" s="8">
        <v>45179</v>
      </c>
      <c r="E2521" s="8">
        <f>IF(B2521="Inactive", EDATE(D2521,K2521), "")</f>
        <v>45483</v>
      </c>
      <c r="F2521" t="s">
        <v>12</v>
      </c>
      <c r="G2521">
        <v>2.6</v>
      </c>
      <c r="H2521" t="str" cm="1">
        <f t="array" ref="H2521">_xlfn.IFS(G2521&gt;=20,"20-25", G2521&gt;=15,"15-20", G2521&gt;=10,"10-15", G2521&gt;=5,"5-10", G2521&gt;=1,"1-5", G2521&lt;1,"Less than 1")</f>
        <v>1-5</v>
      </c>
      <c r="I2521">
        <v>8</v>
      </c>
      <c r="J2521">
        <v>0</v>
      </c>
      <c r="K2521" s="6">
        <v>10</v>
      </c>
      <c r="L2521" s="2">
        <v>1.99</v>
      </c>
      <c r="M2521" s="6">
        <v>26</v>
      </c>
      <c r="N2521" t="str" cm="1">
        <f t="array" ref="N2521">_xlfn.IFS(M2521&gt;=50,"50-60 Days", M2521&gt;=40,"40-50 Days", M2521&gt;=30, "30-40 Days", M2521&gt;=20, "20-30 Days", M2521&gt;=10, "10-20 Days", M2521&gt;=0, "0-10 Days")</f>
        <v>20-30 Days</v>
      </c>
    </row>
    <row r="2522" spans="1:14">
      <c r="A2522">
        <v>2521</v>
      </c>
      <c r="B2522" t="s">
        <v>29</v>
      </c>
      <c r="C2522" s="5">
        <v>45221</v>
      </c>
      <c r="D2522" s="8">
        <v>45221</v>
      </c>
      <c r="E2522" s="8" t="str">
        <f>IF(B2522="Inactive", EDATE(D2522,K2522), "")</f>
        <v/>
      </c>
      <c r="F2522" t="s">
        <v>12</v>
      </c>
      <c r="G2522">
        <v>18</v>
      </c>
      <c r="H2522" t="str" cm="1">
        <f t="array" ref="H2522">_xlfn.IFS(G2522&gt;=20,"20-25", G2522&gt;=15,"15-20", G2522&gt;=10,"10-15", G2522&gt;=5,"5-10", G2522&gt;=1,"1-5", G2522&lt;1,"Less than 1")</f>
        <v>15-20</v>
      </c>
      <c r="I2522">
        <v>5</v>
      </c>
      <c r="J2522">
        <v>0</v>
      </c>
      <c r="K2522" s="6">
        <v>10</v>
      </c>
      <c r="L2522" s="2">
        <v>1.99</v>
      </c>
      <c r="M2522" s="6">
        <v>3</v>
      </c>
      <c r="N2522" t="str" cm="1">
        <f t="array" ref="N2522">_xlfn.IFS(M2522&gt;=50,"50-60 Days", M2522&gt;=40,"40-50 Days", M2522&gt;=30, "30-40 Days", M2522&gt;=20, "20-30 Days", M2522&gt;=10, "10-20 Days", M2522&gt;=0, "0-10 Days")</f>
        <v>0-10 Days</v>
      </c>
    </row>
    <row r="2523" spans="1:14">
      <c r="A2523">
        <v>2522</v>
      </c>
      <c r="B2523" t="s">
        <v>29</v>
      </c>
      <c r="C2523" s="5">
        <v>45106</v>
      </c>
      <c r="D2523" s="8">
        <v>45106</v>
      </c>
      <c r="E2523" s="8" t="str">
        <f>IF(B2523="Inactive", EDATE(D2523,K2523), "")</f>
        <v/>
      </c>
      <c r="F2523" t="s">
        <v>14</v>
      </c>
      <c r="G2523">
        <v>23.9</v>
      </c>
      <c r="H2523" t="str" cm="1">
        <f t="array" ref="H2523">_xlfn.IFS(G2523&gt;=20,"20-25", G2523&gt;=15,"15-20", G2523&gt;=10,"10-15", G2523&gt;=5,"5-10", G2523&gt;=1,"1-5", G2523&lt;1,"Less than 1")</f>
        <v>20-25</v>
      </c>
      <c r="I2523">
        <v>7</v>
      </c>
      <c r="J2523">
        <v>2</v>
      </c>
      <c r="K2523" s="6">
        <v>12</v>
      </c>
      <c r="L2523" s="2">
        <v>3.99</v>
      </c>
      <c r="M2523" s="6">
        <v>12</v>
      </c>
      <c r="N2523" t="str" cm="1">
        <f t="array" ref="N2523">_xlfn.IFS(M2523&gt;=50,"50-60 Days", M2523&gt;=40,"40-50 Days", M2523&gt;=30, "30-40 Days", M2523&gt;=20, "20-30 Days", M2523&gt;=10, "10-20 Days", M2523&gt;=0, "0-10 Days")</f>
        <v>10-20 Days</v>
      </c>
    </row>
    <row r="2524" spans="1:14">
      <c r="A2524">
        <v>2523</v>
      </c>
      <c r="B2524" t="s">
        <v>28</v>
      </c>
      <c r="C2524" s="5">
        <v>45467</v>
      </c>
      <c r="D2524" s="8">
        <v>45467</v>
      </c>
      <c r="E2524" s="8">
        <f>IF(B2524="Inactive", EDATE(D2524,K2524), "")</f>
        <v>45620</v>
      </c>
      <c r="F2524" t="s">
        <v>12</v>
      </c>
      <c r="G2524">
        <v>1.1000000000000001</v>
      </c>
      <c r="H2524" t="str" cm="1">
        <f t="array" ref="H2524">_xlfn.IFS(G2524&gt;=20,"20-25", G2524&gt;=15,"15-20", G2524&gt;=10,"10-15", G2524&gt;=5,"5-10", G2524&gt;=1,"1-5", G2524&lt;1,"Less than 1")</f>
        <v>1-5</v>
      </c>
      <c r="I2524">
        <v>6</v>
      </c>
      <c r="J2524">
        <v>1</v>
      </c>
      <c r="K2524" s="6">
        <v>5</v>
      </c>
      <c r="L2524" s="2">
        <v>1.99</v>
      </c>
      <c r="M2524" s="6">
        <v>22</v>
      </c>
      <c r="N2524" t="str" cm="1">
        <f t="array" ref="N2524">_xlfn.IFS(M2524&gt;=50,"50-60 Days", M2524&gt;=40,"40-50 Days", M2524&gt;=30, "30-40 Days", M2524&gt;=20, "20-30 Days", M2524&gt;=10, "10-20 Days", M2524&gt;=0, "0-10 Days")</f>
        <v>20-30 Days</v>
      </c>
    </row>
    <row r="2525" spans="1:14">
      <c r="A2525">
        <v>2524</v>
      </c>
      <c r="B2525" t="s">
        <v>28</v>
      </c>
      <c r="C2525" s="5">
        <v>45136</v>
      </c>
      <c r="D2525" s="8">
        <v>45136</v>
      </c>
      <c r="E2525" s="8">
        <f>IF(B2525="Inactive", EDATE(D2525,K2525), "")</f>
        <v>45380</v>
      </c>
      <c r="F2525" t="s">
        <v>10</v>
      </c>
      <c r="G2525">
        <v>11.4</v>
      </c>
      <c r="H2525" t="str" cm="1">
        <f t="array" ref="H2525">_xlfn.IFS(G2525&gt;=20,"20-25", G2525&gt;=15,"15-20", G2525&gt;=10,"10-15", G2525&gt;=5,"5-10", G2525&gt;=1,"1-5", G2525&lt;1,"Less than 1")</f>
        <v>10-15</v>
      </c>
      <c r="I2525">
        <v>6</v>
      </c>
      <c r="J2525">
        <v>4</v>
      </c>
      <c r="K2525" s="6">
        <v>8</v>
      </c>
      <c r="L2525" s="2">
        <v>6.99</v>
      </c>
      <c r="M2525" s="6">
        <v>16</v>
      </c>
      <c r="N2525" t="str" cm="1">
        <f t="array" ref="N2525">_xlfn.IFS(M2525&gt;=50,"50-60 Days", M2525&gt;=40,"40-50 Days", M2525&gt;=30, "30-40 Days", M2525&gt;=20, "20-30 Days", M2525&gt;=10, "10-20 Days", M2525&gt;=0, "0-10 Days")</f>
        <v>10-20 Days</v>
      </c>
    </row>
    <row r="2526" spans="1:14">
      <c r="A2526">
        <v>2525</v>
      </c>
      <c r="B2526" t="s">
        <v>29</v>
      </c>
      <c r="C2526" s="5">
        <v>45132</v>
      </c>
      <c r="D2526" s="8">
        <v>45132</v>
      </c>
      <c r="E2526" s="8" t="str">
        <f>IF(B2526="Inactive", EDATE(D2526,K2526), "")</f>
        <v/>
      </c>
      <c r="F2526" t="s">
        <v>12</v>
      </c>
      <c r="G2526">
        <v>0.6</v>
      </c>
      <c r="H2526" t="str" cm="1">
        <f t="array" ref="H2526">_xlfn.IFS(G2526&gt;=20,"20-25", G2526&gt;=15,"15-20", G2526&gt;=10,"10-15", G2526&gt;=5,"5-10", G2526&gt;=1,"1-5", G2526&lt;1,"Less than 1")</f>
        <v>Less than 1</v>
      </c>
      <c r="I2526">
        <v>3</v>
      </c>
      <c r="J2526">
        <v>5</v>
      </c>
      <c r="K2526" s="6">
        <v>12</v>
      </c>
      <c r="L2526" s="2">
        <v>1.99</v>
      </c>
      <c r="M2526" s="6">
        <v>51</v>
      </c>
      <c r="N2526" t="str" cm="1">
        <f t="array" ref="N2526">_xlfn.IFS(M2526&gt;=50,"50-60 Days", M2526&gt;=40,"40-50 Days", M2526&gt;=30, "30-40 Days", M2526&gt;=20, "20-30 Days", M2526&gt;=10, "10-20 Days", M2526&gt;=0, "0-10 Days")</f>
        <v>50-60 Days</v>
      </c>
    </row>
    <row r="2527" spans="1:14">
      <c r="A2527">
        <v>2526</v>
      </c>
      <c r="B2527" t="s">
        <v>28</v>
      </c>
      <c r="C2527" s="5">
        <v>45330</v>
      </c>
      <c r="D2527" s="8">
        <v>45330</v>
      </c>
      <c r="E2527" s="8">
        <f>IF(B2527="Inactive", EDATE(D2527,K2527), "")</f>
        <v>45604</v>
      </c>
      <c r="F2527" t="s">
        <v>10</v>
      </c>
      <c r="G2527">
        <v>4.3</v>
      </c>
      <c r="H2527" t="str" cm="1">
        <f t="array" ref="H2527">_xlfn.IFS(G2527&gt;=20,"20-25", G2527&gt;=15,"15-20", G2527&gt;=10,"10-15", G2527&gt;=5,"5-10", G2527&gt;=1,"1-5", G2527&lt;1,"Less than 1")</f>
        <v>1-5</v>
      </c>
      <c r="I2527">
        <v>7</v>
      </c>
      <c r="J2527">
        <v>2</v>
      </c>
      <c r="K2527" s="6">
        <v>9</v>
      </c>
      <c r="L2527" s="2">
        <v>6.99</v>
      </c>
      <c r="M2527" s="6">
        <v>53</v>
      </c>
      <c r="N2527" t="str" cm="1">
        <f t="array" ref="N2527">_xlfn.IFS(M2527&gt;=50,"50-60 Days", M2527&gt;=40,"40-50 Days", M2527&gt;=30, "30-40 Days", M2527&gt;=20, "20-30 Days", M2527&gt;=10, "10-20 Days", M2527&gt;=0, "0-10 Days")</f>
        <v>50-60 Days</v>
      </c>
    </row>
    <row r="2528" spans="1:14">
      <c r="A2528">
        <v>2527</v>
      </c>
      <c r="B2528" t="s">
        <v>29</v>
      </c>
      <c r="C2528" s="5">
        <v>45643</v>
      </c>
      <c r="D2528" s="8">
        <v>45643</v>
      </c>
      <c r="E2528" s="8" t="str">
        <f>IF(B2528="Inactive", EDATE(D2528,K2528), "")</f>
        <v/>
      </c>
      <c r="F2528" t="s">
        <v>14</v>
      </c>
      <c r="G2528">
        <v>2.4</v>
      </c>
      <c r="H2528" t="str" cm="1">
        <f t="array" ref="H2528">_xlfn.IFS(G2528&gt;=20,"20-25", G2528&gt;=15,"15-20", G2528&gt;=10,"10-15", G2528&gt;=5,"5-10", G2528&gt;=1,"1-5", G2528&lt;1,"Less than 1")</f>
        <v>1-5</v>
      </c>
      <c r="I2528">
        <v>1</v>
      </c>
      <c r="J2528">
        <v>4</v>
      </c>
      <c r="K2528" s="6">
        <v>4</v>
      </c>
      <c r="L2528" s="2">
        <v>3.99</v>
      </c>
      <c r="M2528" s="6">
        <v>15</v>
      </c>
      <c r="N2528" t="str" cm="1">
        <f t="array" ref="N2528">_xlfn.IFS(M2528&gt;=50,"50-60 Days", M2528&gt;=40,"40-50 Days", M2528&gt;=30, "30-40 Days", M2528&gt;=20, "20-30 Days", M2528&gt;=10, "10-20 Days", M2528&gt;=0, "0-10 Days")</f>
        <v>10-20 Days</v>
      </c>
    </row>
    <row r="2529" spans="1:14">
      <c r="A2529">
        <v>2528</v>
      </c>
      <c r="B2529" t="s">
        <v>28</v>
      </c>
      <c r="C2529" s="5">
        <v>45245</v>
      </c>
      <c r="D2529" s="8">
        <v>45245</v>
      </c>
      <c r="E2529" s="8">
        <f>IF(B2529="Inactive", EDATE(D2529,K2529), "")</f>
        <v>45275</v>
      </c>
      <c r="F2529" t="s">
        <v>14</v>
      </c>
      <c r="G2529">
        <v>1.3</v>
      </c>
      <c r="H2529" t="str" cm="1">
        <f t="array" ref="H2529">_xlfn.IFS(G2529&gt;=20,"20-25", G2529&gt;=15,"15-20", G2529&gt;=10,"10-15", G2529&gt;=5,"5-10", G2529&gt;=1,"1-5", G2529&lt;1,"Less than 1")</f>
        <v>1-5</v>
      </c>
      <c r="I2529">
        <v>4</v>
      </c>
      <c r="J2529">
        <v>3</v>
      </c>
      <c r="K2529" s="6">
        <v>1</v>
      </c>
      <c r="L2529" s="2">
        <v>3.99</v>
      </c>
      <c r="M2529" s="6">
        <v>26</v>
      </c>
      <c r="N2529" t="str" cm="1">
        <f t="array" ref="N2529">_xlfn.IFS(M2529&gt;=50,"50-60 Days", M2529&gt;=40,"40-50 Days", M2529&gt;=30, "30-40 Days", M2529&gt;=20, "20-30 Days", M2529&gt;=10, "10-20 Days", M2529&gt;=0, "0-10 Days")</f>
        <v>20-30 Days</v>
      </c>
    </row>
    <row r="2530" spans="1:14">
      <c r="A2530">
        <v>2529</v>
      </c>
      <c r="B2530" t="s">
        <v>29</v>
      </c>
      <c r="C2530" s="5">
        <v>45609</v>
      </c>
      <c r="D2530" s="8">
        <v>45609</v>
      </c>
      <c r="E2530" s="8" t="str">
        <f>IF(B2530="Inactive", EDATE(D2530,K2530), "")</f>
        <v/>
      </c>
      <c r="F2530" t="s">
        <v>14</v>
      </c>
      <c r="G2530">
        <v>19</v>
      </c>
      <c r="H2530" t="str" cm="1">
        <f t="array" ref="H2530">_xlfn.IFS(G2530&gt;=20,"20-25", G2530&gt;=15,"15-20", G2530&gt;=10,"10-15", G2530&gt;=5,"5-10", G2530&gt;=1,"1-5", G2530&lt;1,"Less than 1")</f>
        <v>15-20</v>
      </c>
      <c r="I2530">
        <v>1</v>
      </c>
      <c r="J2530">
        <v>0</v>
      </c>
      <c r="K2530" s="6">
        <v>1</v>
      </c>
      <c r="L2530" s="2">
        <v>3.99</v>
      </c>
      <c r="M2530" s="6">
        <v>28</v>
      </c>
      <c r="N2530" t="str" cm="1">
        <f t="array" ref="N2530">_xlfn.IFS(M2530&gt;=50,"50-60 Days", M2530&gt;=40,"40-50 Days", M2530&gt;=30, "30-40 Days", M2530&gt;=20, "20-30 Days", M2530&gt;=10, "10-20 Days", M2530&gt;=0, "0-10 Days")</f>
        <v>20-30 Days</v>
      </c>
    </row>
    <row r="2531" spans="1:14">
      <c r="A2531">
        <v>2530</v>
      </c>
      <c r="B2531" t="s">
        <v>29</v>
      </c>
      <c r="C2531" s="5">
        <v>45526</v>
      </c>
      <c r="D2531" s="8">
        <v>45526</v>
      </c>
      <c r="E2531" s="8" t="str">
        <f>IF(B2531="Inactive", EDATE(D2531,K2531), "")</f>
        <v/>
      </c>
      <c r="F2531" t="s">
        <v>14</v>
      </c>
      <c r="G2531">
        <v>22.9</v>
      </c>
      <c r="H2531" t="str" cm="1">
        <f t="array" ref="H2531">_xlfn.IFS(G2531&gt;=20,"20-25", G2531&gt;=15,"15-20", G2531&gt;=10,"10-15", G2531&gt;=5,"5-10", G2531&gt;=1,"1-5", G2531&lt;1,"Less than 1")</f>
        <v>20-25</v>
      </c>
      <c r="I2531">
        <v>0</v>
      </c>
      <c r="J2531">
        <v>0</v>
      </c>
      <c r="K2531" s="6">
        <v>3</v>
      </c>
      <c r="L2531" s="2">
        <v>3.99</v>
      </c>
      <c r="M2531" s="6">
        <v>47</v>
      </c>
      <c r="N2531" t="str" cm="1">
        <f t="array" ref="N2531">_xlfn.IFS(M2531&gt;=50,"50-60 Days", M2531&gt;=40,"40-50 Days", M2531&gt;=30, "30-40 Days", M2531&gt;=20, "20-30 Days", M2531&gt;=10, "10-20 Days", M2531&gt;=0, "0-10 Days")</f>
        <v>40-50 Days</v>
      </c>
    </row>
    <row r="2532" spans="1:14">
      <c r="A2532">
        <v>2531</v>
      </c>
      <c r="B2532" t="s">
        <v>29</v>
      </c>
      <c r="C2532" s="5">
        <v>45643</v>
      </c>
      <c r="D2532" s="8">
        <v>45643</v>
      </c>
      <c r="E2532" s="8" t="str">
        <f>IF(B2532="Inactive", EDATE(D2532,K2532), "")</f>
        <v/>
      </c>
      <c r="F2532" t="s">
        <v>12</v>
      </c>
      <c r="G2532">
        <v>19.3</v>
      </c>
      <c r="H2532" t="str" cm="1">
        <f t="array" ref="H2532">_xlfn.IFS(G2532&gt;=20,"20-25", G2532&gt;=15,"15-20", G2532&gt;=10,"10-15", G2532&gt;=5,"5-10", G2532&gt;=1,"1-5", G2532&lt;1,"Less than 1")</f>
        <v>15-20</v>
      </c>
      <c r="I2532">
        <v>8</v>
      </c>
      <c r="J2532">
        <v>0</v>
      </c>
      <c r="K2532" s="6">
        <v>12</v>
      </c>
      <c r="L2532" s="2">
        <v>1.99</v>
      </c>
      <c r="M2532" s="6">
        <v>52</v>
      </c>
      <c r="N2532" t="str" cm="1">
        <f t="array" ref="N2532">_xlfn.IFS(M2532&gt;=50,"50-60 Days", M2532&gt;=40,"40-50 Days", M2532&gt;=30, "30-40 Days", M2532&gt;=20, "20-30 Days", M2532&gt;=10, "10-20 Days", M2532&gt;=0, "0-10 Days")</f>
        <v>50-60 Days</v>
      </c>
    </row>
    <row r="2533" spans="1:14">
      <c r="A2533">
        <v>2532</v>
      </c>
      <c r="B2533" t="s">
        <v>29</v>
      </c>
      <c r="C2533" s="5">
        <v>44994</v>
      </c>
      <c r="D2533" s="8">
        <v>44994</v>
      </c>
      <c r="E2533" s="8" t="str">
        <f>IF(B2533="Inactive", EDATE(D2533,K2533), "")</f>
        <v/>
      </c>
      <c r="F2533" t="s">
        <v>10</v>
      </c>
      <c r="G2533">
        <v>14.6</v>
      </c>
      <c r="H2533" t="str" cm="1">
        <f t="array" ref="H2533">_xlfn.IFS(G2533&gt;=20,"20-25", G2533&gt;=15,"15-20", G2533&gt;=10,"10-15", G2533&gt;=5,"5-10", G2533&gt;=1,"1-5", G2533&lt;1,"Less than 1")</f>
        <v>10-15</v>
      </c>
      <c r="I2533">
        <v>5</v>
      </c>
      <c r="J2533">
        <v>1</v>
      </c>
      <c r="K2533" s="6">
        <v>6</v>
      </c>
      <c r="L2533" s="2">
        <v>6.99</v>
      </c>
      <c r="M2533" s="6">
        <v>42</v>
      </c>
      <c r="N2533" t="str" cm="1">
        <f t="array" ref="N2533">_xlfn.IFS(M2533&gt;=50,"50-60 Days", M2533&gt;=40,"40-50 Days", M2533&gt;=30, "30-40 Days", M2533&gt;=20, "20-30 Days", M2533&gt;=10, "10-20 Days", M2533&gt;=0, "0-10 Days")</f>
        <v>40-50 Days</v>
      </c>
    </row>
    <row r="2534" spans="1:14">
      <c r="A2534">
        <v>2533</v>
      </c>
      <c r="B2534" t="s">
        <v>28</v>
      </c>
      <c r="C2534" s="5">
        <v>45589</v>
      </c>
      <c r="D2534" s="8">
        <v>45589</v>
      </c>
      <c r="E2534" s="8">
        <f>IF(B2534="Inactive", EDATE(D2534,K2534), "")</f>
        <v>45712</v>
      </c>
      <c r="F2534" t="s">
        <v>14</v>
      </c>
      <c r="G2534">
        <v>1.5</v>
      </c>
      <c r="H2534" t="str" cm="1">
        <f t="array" ref="H2534">_xlfn.IFS(G2534&gt;=20,"20-25", G2534&gt;=15,"15-20", G2534&gt;=10,"10-15", G2534&gt;=5,"5-10", G2534&gt;=1,"1-5", G2534&lt;1,"Less than 1")</f>
        <v>1-5</v>
      </c>
      <c r="I2534">
        <v>8</v>
      </c>
      <c r="J2534">
        <v>0</v>
      </c>
      <c r="K2534" s="6">
        <v>4</v>
      </c>
      <c r="L2534" s="2">
        <v>3.99</v>
      </c>
      <c r="M2534" s="6">
        <v>51</v>
      </c>
      <c r="N2534" t="str" cm="1">
        <f t="array" ref="N2534">_xlfn.IFS(M2534&gt;=50,"50-60 Days", M2534&gt;=40,"40-50 Days", M2534&gt;=30, "30-40 Days", M2534&gt;=20, "20-30 Days", M2534&gt;=10, "10-20 Days", M2534&gt;=0, "0-10 Days")</f>
        <v>50-60 Days</v>
      </c>
    </row>
    <row r="2535" spans="1:14">
      <c r="A2535">
        <v>2534</v>
      </c>
      <c r="B2535" t="s">
        <v>29</v>
      </c>
      <c r="C2535" s="5">
        <v>45581</v>
      </c>
      <c r="D2535" s="8">
        <v>45581</v>
      </c>
      <c r="E2535" s="8" t="str">
        <f>IF(B2535="Inactive", EDATE(D2535,K2535), "")</f>
        <v/>
      </c>
      <c r="F2535" t="s">
        <v>10</v>
      </c>
      <c r="G2535">
        <v>23.3</v>
      </c>
      <c r="H2535" t="str" cm="1">
        <f t="array" ref="H2535">_xlfn.IFS(G2535&gt;=20,"20-25", G2535&gt;=15,"15-20", G2535&gt;=10,"10-15", G2535&gt;=5,"5-10", G2535&gt;=1,"1-5", G2535&lt;1,"Less than 1")</f>
        <v>20-25</v>
      </c>
      <c r="I2535">
        <v>6</v>
      </c>
      <c r="J2535">
        <v>4</v>
      </c>
      <c r="K2535" s="6">
        <v>11</v>
      </c>
      <c r="L2535" s="2">
        <v>6.99</v>
      </c>
      <c r="M2535" s="6">
        <v>33</v>
      </c>
      <c r="N2535" t="str" cm="1">
        <f t="array" ref="N2535">_xlfn.IFS(M2535&gt;=50,"50-60 Days", M2535&gt;=40,"40-50 Days", M2535&gt;=30, "30-40 Days", M2535&gt;=20, "20-30 Days", M2535&gt;=10, "10-20 Days", M2535&gt;=0, "0-10 Days")</f>
        <v>30-40 Days</v>
      </c>
    </row>
    <row r="2536" spans="1:14">
      <c r="A2536">
        <v>2535</v>
      </c>
      <c r="B2536" t="s">
        <v>29</v>
      </c>
      <c r="C2536" s="5">
        <v>45318</v>
      </c>
      <c r="D2536" s="8">
        <v>45318</v>
      </c>
      <c r="E2536" s="8" t="str">
        <f>IF(B2536="Inactive", EDATE(D2536,K2536), "")</f>
        <v/>
      </c>
      <c r="F2536" t="s">
        <v>12</v>
      </c>
      <c r="G2536">
        <v>5.4</v>
      </c>
      <c r="H2536" t="str" cm="1">
        <f t="array" ref="H2536">_xlfn.IFS(G2536&gt;=20,"20-25", G2536&gt;=15,"15-20", G2536&gt;=10,"10-15", G2536&gt;=5,"5-10", G2536&gt;=1,"1-5", G2536&lt;1,"Less than 1")</f>
        <v>5-10</v>
      </c>
      <c r="I2536">
        <v>7</v>
      </c>
      <c r="J2536">
        <v>5</v>
      </c>
      <c r="K2536" s="6">
        <v>2</v>
      </c>
      <c r="L2536" s="2">
        <v>1.99</v>
      </c>
      <c r="M2536" s="6">
        <v>7</v>
      </c>
      <c r="N2536" t="str" cm="1">
        <f t="array" ref="N2536">_xlfn.IFS(M2536&gt;=50,"50-60 Days", M2536&gt;=40,"40-50 Days", M2536&gt;=30, "30-40 Days", M2536&gt;=20, "20-30 Days", M2536&gt;=10, "10-20 Days", M2536&gt;=0, "0-10 Days")</f>
        <v>0-10 Days</v>
      </c>
    </row>
    <row r="2537" spans="1:14">
      <c r="A2537">
        <v>2536</v>
      </c>
      <c r="B2537" t="s">
        <v>28</v>
      </c>
      <c r="C2537" s="5">
        <v>45028</v>
      </c>
      <c r="D2537" s="8">
        <v>45028</v>
      </c>
      <c r="E2537" s="8">
        <f>IF(B2537="Inactive", EDATE(D2537,K2537), "")</f>
        <v>45394</v>
      </c>
      <c r="F2537" t="s">
        <v>10</v>
      </c>
      <c r="G2537">
        <v>18.899999999999999</v>
      </c>
      <c r="H2537" t="str" cm="1">
        <f t="array" ref="H2537">_xlfn.IFS(G2537&gt;=20,"20-25", G2537&gt;=15,"15-20", G2537&gt;=10,"10-15", G2537&gt;=5,"5-10", G2537&gt;=1,"1-5", G2537&lt;1,"Less than 1")</f>
        <v>15-20</v>
      </c>
      <c r="I2537">
        <v>1</v>
      </c>
      <c r="J2537">
        <v>3</v>
      </c>
      <c r="K2537" s="6">
        <v>12</v>
      </c>
      <c r="L2537" s="2">
        <v>6.99</v>
      </c>
      <c r="M2537" s="6">
        <v>58</v>
      </c>
      <c r="N2537" t="str" cm="1">
        <f t="array" ref="N2537">_xlfn.IFS(M2537&gt;=50,"50-60 Days", M2537&gt;=40,"40-50 Days", M2537&gt;=30, "30-40 Days", M2537&gt;=20, "20-30 Days", M2537&gt;=10, "10-20 Days", M2537&gt;=0, "0-10 Days")</f>
        <v>50-60 Days</v>
      </c>
    </row>
    <row r="2538" spans="1:14">
      <c r="A2538">
        <v>2537</v>
      </c>
      <c r="B2538" t="s">
        <v>28</v>
      </c>
      <c r="C2538" s="5">
        <v>45181</v>
      </c>
      <c r="D2538" s="8">
        <v>45181</v>
      </c>
      <c r="E2538" s="8">
        <f>IF(B2538="Inactive", EDATE(D2538,K2538), "")</f>
        <v>45334</v>
      </c>
      <c r="F2538" t="s">
        <v>12</v>
      </c>
      <c r="G2538">
        <v>12.4</v>
      </c>
      <c r="H2538" t="str" cm="1">
        <f t="array" ref="H2538">_xlfn.IFS(G2538&gt;=20,"20-25", G2538&gt;=15,"15-20", G2538&gt;=10,"10-15", G2538&gt;=5,"5-10", G2538&gt;=1,"1-5", G2538&lt;1,"Less than 1")</f>
        <v>10-15</v>
      </c>
      <c r="I2538">
        <v>0</v>
      </c>
      <c r="J2538">
        <v>3</v>
      </c>
      <c r="K2538" s="6">
        <v>5</v>
      </c>
      <c r="L2538" s="2">
        <v>1.99</v>
      </c>
      <c r="M2538" s="6">
        <v>30</v>
      </c>
      <c r="N2538" t="str" cm="1">
        <f t="array" ref="N2538">_xlfn.IFS(M2538&gt;=50,"50-60 Days", M2538&gt;=40,"40-50 Days", M2538&gt;=30, "30-40 Days", M2538&gt;=20, "20-30 Days", M2538&gt;=10, "10-20 Days", M2538&gt;=0, "0-10 Days")</f>
        <v>30-40 Days</v>
      </c>
    </row>
    <row r="2539" spans="1:14">
      <c r="A2539">
        <v>2538</v>
      </c>
      <c r="B2539" t="s">
        <v>29</v>
      </c>
      <c r="C2539" s="5">
        <v>45454</v>
      </c>
      <c r="D2539" s="8">
        <v>45454</v>
      </c>
      <c r="E2539" s="8" t="str">
        <f>IF(B2539="Inactive", EDATE(D2539,K2539), "")</f>
        <v/>
      </c>
      <c r="F2539" t="s">
        <v>12</v>
      </c>
      <c r="G2539">
        <v>19.2</v>
      </c>
      <c r="H2539" t="str" cm="1">
        <f t="array" ref="H2539">_xlfn.IFS(G2539&gt;=20,"20-25", G2539&gt;=15,"15-20", G2539&gt;=10,"10-15", G2539&gt;=5,"5-10", G2539&gt;=1,"1-5", G2539&lt;1,"Less than 1")</f>
        <v>15-20</v>
      </c>
      <c r="I2539">
        <v>6</v>
      </c>
      <c r="J2539">
        <v>1</v>
      </c>
      <c r="K2539" s="6">
        <v>4</v>
      </c>
      <c r="L2539" s="2">
        <v>1.99</v>
      </c>
      <c r="M2539" s="6">
        <v>13</v>
      </c>
      <c r="N2539" t="str" cm="1">
        <f t="array" ref="N2539">_xlfn.IFS(M2539&gt;=50,"50-60 Days", M2539&gt;=40,"40-50 Days", M2539&gt;=30, "30-40 Days", M2539&gt;=20, "20-30 Days", M2539&gt;=10, "10-20 Days", M2539&gt;=0, "0-10 Days")</f>
        <v>10-20 Days</v>
      </c>
    </row>
    <row r="2540" spans="1:14">
      <c r="A2540">
        <v>2539</v>
      </c>
      <c r="B2540" t="s">
        <v>29</v>
      </c>
      <c r="C2540" s="5">
        <v>44995</v>
      </c>
      <c r="D2540" s="8">
        <v>44995</v>
      </c>
      <c r="E2540" s="8" t="str">
        <f>IF(B2540="Inactive", EDATE(D2540,K2540), "")</f>
        <v/>
      </c>
      <c r="F2540" t="s">
        <v>10</v>
      </c>
      <c r="G2540">
        <v>14.8</v>
      </c>
      <c r="H2540" t="str" cm="1">
        <f t="array" ref="H2540">_xlfn.IFS(G2540&gt;=20,"20-25", G2540&gt;=15,"15-20", G2540&gt;=10,"10-15", G2540&gt;=5,"5-10", G2540&gt;=1,"1-5", G2540&lt;1,"Less than 1")</f>
        <v>10-15</v>
      </c>
      <c r="I2540">
        <v>1</v>
      </c>
      <c r="J2540">
        <v>4</v>
      </c>
      <c r="K2540" s="6">
        <v>7</v>
      </c>
      <c r="L2540" s="2">
        <v>6.99</v>
      </c>
      <c r="M2540" s="6">
        <v>28</v>
      </c>
      <c r="N2540" t="str" cm="1">
        <f t="array" ref="N2540">_xlfn.IFS(M2540&gt;=50,"50-60 Days", M2540&gt;=40,"40-50 Days", M2540&gt;=30, "30-40 Days", M2540&gt;=20, "20-30 Days", M2540&gt;=10, "10-20 Days", M2540&gt;=0, "0-10 Days")</f>
        <v>20-30 Days</v>
      </c>
    </row>
    <row r="2541" spans="1:14">
      <c r="A2541">
        <v>2540</v>
      </c>
      <c r="B2541" t="s">
        <v>28</v>
      </c>
      <c r="C2541" s="5">
        <v>45405</v>
      </c>
      <c r="D2541" s="8">
        <v>45405</v>
      </c>
      <c r="E2541" s="8">
        <f>IF(B2541="Inactive", EDATE(D2541,K2541), "")</f>
        <v>45588</v>
      </c>
      <c r="F2541" t="s">
        <v>10</v>
      </c>
      <c r="G2541">
        <v>4.5</v>
      </c>
      <c r="H2541" t="str" cm="1">
        <f t="array" ref="H2541">_xlfn.IFS(G2541&gt;=20,"20-25", G2541&gt;=15,"15-20", G2541&gt;=10,"10-15", G2541&gt;=5,"5-10", G2541&gt;=1,"1-5", G2541&lt;1,"Less than 1")</f>
        <v>1-5</v>
      </c>
      <c r="I2541">
        <v>6</v>
      </c>
      <c r="J2541">
        <v>5</v>
      </c>
      <c r="K2541" s="6">
        <v>6</v>
      </c>
      <c r="L2541" s="2">
        <v>6.99</v>
      </c>
      <c r="M2541" s="6">
        <v>8</v>
      </c>
      <c r="N2541" t="str" cm="1">
        <f t="array" ref="N2541">_xlfn.IFS(M2541&gt;=50,"50-60 Days", M2541&gt;=40,"40-50 Days", M2541&gt;=30, "30-40 Days", M2541&gt;=20, "20-30 Days", M2541&gt;=10, "10-20 Days", M2541&gt;=0, "0-10 Days")</f>
        <v>0-10 Days</v>
      </c>
    </row>
    <row r="2542" spans="1:14">
      <c r="A2542">
        <v>2541</v>
      </c>
      <c r="B2542" t="s">
        <v>28</v>
      </c>
      <c r="C2542" s="5">
        <v>44983</v>
      </c>
      <c r="D2542" s="8">
        <v>44983</v>
      </c>
      <c r="E2542" s="8">
        <f>IF(B2542="Inactive", EDATE(D2542,K2542), "")</f>
        <v>45317</v>
      </c>
      <c r="F2542" t="s">
        <v>12</v>
      </c>
      <c r="G2542">
        <v>11.8</v>
      </c>
      <c r="H2542" t="str" cm="1">
        <f t="array" ref="H2542">_xlfn.IFS(G2542&gt;=20,"20-25", G2542&gt;=15,"15-20", G2542&gt;=10,"10-15", G2542&gt;=5,"5-10", G2542&gt;=1,"1-5", G2542&lt;1,"Less than 1")</f>
        <v>10-15</v>
      </c>
      <c r="I2542">
        <v>8</v>
      </c>
      <c r="J2542">
        <v>1</v>
      </c>
      <c r="K2542" s="6">
        <v>11</v>
      </c>
      <c r="L2542" s="2">
        <v>1.99</v>
      </c>
      <c r="M2542" s="6">
        <v>6</v>
      </c>
      <c r="N2542" t="str" cm="1">
        <f t="array" ref="N2542">_xlfn.IFS(M2542&gt;=50,"50-60 Days", M2542&gt;=40,"40-50 Days", M2542&gt;=30, "30-40 Days", M2542&gt;=20, "20-30 Days", M2542&gt;=10, "10-20 Days", M2542&gt;=0, "0-10 Days")</f>
        <v>0-10 Days</v>
      </c>
    </row>
    <row r="2543" spans="1:14">
      <c r="A2543">
        <v>2542</v>
      </c>
      <c r="B2543" t="s">
        <v>29</v>
      </c>
      <c r="C2543" s="5">
        <v>45485</v>
      </c>
      <c r="D2543" s="8">
        <v>45485</v>
      </c>
      <c r="E2543" s="8" t="str">
        <f>IF(B2543="Inactive", EDATE(D2543,K2543), "")</f>
        <v/>
      </c>
      <c r="F2543" t="s">
        <v>12</v>
      </c>
      <c r="G2543">
        <v>16</v>
      </c>
      <c r="H2543" t="str" cm="1">
        <f t="array" ref="H2543">_xlfn.IFS(G2543&gt;=20,"20-25", G2543&gt;=15,"15-20", G2543&gt;=10,"10-15", G2543&gt;=5,"5-10", G2543&gt;=1,"1-5", G2543&lt;1,"Less than 1")</f>
        <v>15-20</v>
      </c>
      <c r="I2543">
        <v>4</v>
      </c>
      <c r="J2543">
        <v>0</v>
      </c>
      <c r="K2543" s="6">
        <v>1</v>
      </c>
      <c r="L2543" s="2">
        <v>1.99</v>
      </c>
      <c r="M2543" s="6">
        <v>54</v>
      </c>
      <c r="N2543" t="str" cm="1">
        <f t="array" ref="N2543">_xlfn.IFS(M2543&gt;=50,"50-60 Days", M2543&gt;=40,"40-50 Days", M2543&gt;=30, "30-40 Days", M2543&gt;=20, "20-30 Days", M2543&gt;=10, "10-20 Days", M2543&gt;=0, "0-10 Days")</f>
        <v>50-60 Days</v>
      </c>
    </row>
    <row r="2544" spans="1:14">
      <c r="A2544">
        <v>2543</v>
      </c>
      <c r="B2544" t="s">
        <v>29</v>
      </c>
      <c r="C2544" s="5">
        <v>45525</v>
      </c>
      <c r="D2544" s="8">
        <v>45525</v>
      </c>
      <c r="E2544" s="8" t="str">
        <f>IF(B2544="Inactive", EDATE(D2544,K2544), "")</f>
        <v/>
      </c>
      <c r="F2544" t="s">
        <v>12</v>
      </c>
      <c r="G2544">
        <v>9.5</v>
      </c>
      <c r="H2544" t="str" cm="1">
        <f t="array" ref="H2544">_xlfn.IFS(G2544&gt;=20,"20-25", G2544&gt;=15,"15-20", G2544&gt;=10,"10-15", G2544&gt;=5,"5-10", G2544&gt;=1,"1-5", G2544&lt;1,"Less than 1")</f>
        <v>5-10</v>
      </c>
      <c r="I2544">
        <v>8</v>
      </c>
      <c r="J2544">
        <v>4</v>
      </c>
      <c r="K2544" s="6">
        <v>6</v>
      </c>
      <c r="L2544" s="2">
        <v>1.99</v>
      </c>
      <c r="M2544" s="6">
        <v>32</v>
      </c>
      <c r="N2544" t="str" cm="1">
        <f t="array" ref="N2544">_xlfn.IFS(M2544&gt;=50,"50-60 Days", M2544&gt;=40,"40-50 Days", M2544&gt;=30, "30-40 Days", M2544&gt;=20, "20-30 Days", M2544&gt;=10, "10-20 Days", M2544&gt;=0, "0-10 Days")</f>
        <v>30-40 Days</v>
      </c>
    </row>
    <row r="2545" spans="1:14">
      <c r="A2545">
        <v>2544</v>
      </c>
      <c r="B2545" t="s">
        <v>29</v>
      </c>
      <c r="C2545" s="5">
        <v>45477</v>
      </c>
      <c r="D2545" s="8">
        <v>45477</v>
      </c>
      <c r="E2545" s="8" t="str">
        <f>IF(B2545="Inactive", EDATE(D2545,K2545), "")</f>
        <v/>
      </c>
      <c r="F2545" t="s">
        <v>14</v>
      </c>
      <c r="G2545">
        <v>22.5</v>
      </c>
      <c r="H2545" t="str" cm="1">
        <f t="array" ref="H2545">_xlfn.IFS(G2545&gt;=20,"20-25", G2545&gt;=15,"15-20", G2545&gt;=10,"10-15", G2545&gt;=5,"5-10", G2545&gt;=1,"1-5", G2545&lt;1,"Less than 1")</f>
        <v>20-25</v>
      </c>
      <c r="I2545">
        <v>1</v>
      </c>
      <c r="J2545">
        <v>3</v>
      </c>
      <c r="K2545" s="6">
        <v>4</v>
      </c>
      <c r="L2545" s="2">
        <v>3.99</v>
      </c>
      <c r="M2545" s="6">
        <v>1</v>
      </c>
      <c r="N2545" t="str" cm="1">
        <f t="array" ref="N2545">_xlfn.IFS(M2545&gt;=50,"50-60 Days", M2545&gt;=40,"40-50 Days", M2545&gt;=30, "30-40 Days", M2545&gt;=20, "20-30 Days", M2545&gt;=10, "10-20 Days", M2545&gt;=0, "0-10 Days")</f>
        <v>0-10 Days</v>
      </c>
    </row>
    <row r="2546" spans="1:14">
      <c r="A2546">
        <v>2545</v>
      </c>
      <c r="B2546" t="s">
        <v>29</v>
      </c>
      <c r="C2546" s="5">
        <v>44999</v>
      </c>
      <c r="D2546" s="8">
        <v>44999</v>
      </c>
      <c r="E2546" s="8" t="str">
        <f>IF(B2546="Inactive", EDATE(D2546,K2546), "")</f>
        <v/>
      </c>
      <c r="F2546" t="s">
        <v>10</v>
      </c>
      <c r="G2546">
        <v>23.2</v>
      </c>
      <c r="H2546" t="str" cm="1">
        <f t="array" ref="H2546">_xlfn.IFS(G2546&gt;=20,"20-25", G2546&gt;=15,"15-20", G2546&gt;=10,"10-15", G2546&gt;=5,"5-10", G2546&gt;=1,"1-5", G2546&lt;1,"Less than 1")</f>
        <v>20-25</v>
      </c>
      <c r="I2546">
        <v>8</v>
      </c>
      <c r="J2546">
        <v>0</v>
      </c>
      <c r="K2546" s="6">
        <v>7</v>
      </c>
      <c r="L2546" s="2">
        <v>6.99</v>
      </c>
      <c r="M2546" s="6">
        <v>52</v>
      </c>
      <c r="N2546" t="str" cm="1">
        <f t="array" ref="N2546">_xlfn.IFS(M2546&gt;=50,"50-60 Days", M2546&gt;=40,"40-50 Days", M2546&gt;=30, "30-40 Days", M2546&gt;=20, "20-30 Days", M2546&gt;=10, "10-20 Days", M2546&gt;=0, "0-10 Days")</f>
        <v>50-60 Days</v>
      </c>
    </row>
    <row r="2547" spans="1:14">
      <c r="A2547">
        <v>2546</v>
      </c>
      <c r="B2547" t="s">
        <v>28</v>
      </c>
      <c r="C2547" s="5">
        <v>45050</v>
      </c>
      <c r="D2547" s="8">
        <v>45050</v>
      </c>
      <c r="E2547" s="8">
        <f>IF(B2547="Inactive", EDATE(D2547,K2547), "")</f>
        <v>45326</v>
      </c>
      <c r="F2547" t="s">
        <v>10</v>
      </c>
      <c r="G2547">
        <v>22.4</v>
      </c>
      <c r="H2547" t="str" cm="1">
        <f t="array" ref="H2547">_xlfn.IFS(G2547&gt;=20,"20-25", G2547&gt;=15,"15-20", G2547&gt;=10,"10-15", G2547&gt;=5,"5-10", G2547&gt;=1,"1-5", G2547&lt;1,"Less than 1")</f>
        <v>20-25</v>
      </c>
      <c r="I2547">
        <v>4</v>
      </c>
      <c r="J2547">
        <v>4</v>
      </c>
      <c r="K2547" s="6">
        <v>9</v>
      </c>
      <c r="L2547" s="2">
        <v>6.99</v>
      </c>
      <c r="M2547" s="6">
        <v>8</v>
      </c>
      <c r="N2547" t="str" cm="1">
        <f t="array" ref="N2547">_xlfn.IFS(M2547&gt;=50,"50-60 Days", M2547&gt;=40,"40-50 Days", M2547&gt;=30, "30-40 Days", M2547&gt;=20, "20-30 Days", M2547&gt;=10, "10-20 Days", M2547&gt;=0, "0-10 Days")</f>
        <v>0-10 Days</v>
      </c>
    </row>
    <row r="2548" spans="1:14">
      <c r="A2548">
        <v>2547</v>
      </c>
      <c r="B2548" t="s">
        <v>29</v>
      </c>
      <c r="C2548" s="5">
        <v>45309</v>
      </c>
      <c r="D2548" s="8">
        <v>45309</v>
      </c>
      <c r="E2548" s="8" t="str">
        <f>IF(B2548="Inactive", EDATE(D2548,K2548), "")</f>
        <v/>
      </c>
      <c r="F2548" t="s">
        <v>14</v>
      </c>
      <c r="G2548">
        <v>13.3</v>
      </c>
      <c r="H2548" t="str" cm="1">
        <f t="array" ref="H2548">_xlfn.IFS(G2548&gt;=20,"20-25", G2548&gt;=15,"15-20", G2548&gt;=10,"10-15", G2548&gt;=5,"5-10", G2548&gt;=1,"1-5", G2548&lt;1,"Less than 1")</f>
        <v>10-15</v>
      </c>
      <c r="I2548">
        <v>3</v>
      </c>
      <c r="J2548">
        <v>4</v>
      </c>
      <c r="K2548" s="6">
        <v>8</v>
      </c>
      <c r="L2548" s="2">
        <v>3.99</v>
      </c>
      <c r="M2548" s="6">
        <v>28</v>
      </c>
      <c r="N2548" t="str" cm="1">
        <f t="array" ref="N2548">_xlfn.IFS(M2548&gt;=50,"50-60 Days", M2548&gt;=40,"40-50 Days", M2548&gt;=30, "30-40 Days", M2548&gt;=20, "20-30 Days", M2548&gt;=10, "10-20 Days", M2548&gt;=0, "0-10 Days")</f>
        <v>20-30 Days</v>
      </c>
    </row>
    <row r="2549" spans="1:14">
      <c r="A2549">
        <v>2548</v>
      </c>
      <c r="B2549" t="s">
        <v>29</v>
      </c>
      <c r="C2549" s="5">
        <v>45355</v>
      </c>
      <c r="D2549" s="8">
        <v>45355</v>
      </c>
      <c r="E2549" s="8" t="str">
        <f>IF(B2549="Inactive", EDATE(D2549,K2549), "")</f>
        <v/>
      </c>
      <c r="F2549" t="s">
        <v>14</v>
      </c>
      <c r="G2549">
        <v>13.7</v>
      </c>
      <c r="H2549" t="str" cm="1">
        <f t="array" ref="H2549">_xlfn.IFS(G2549&gt;=20,"20-25", G2549&gt;=15,"15-20", G2549&gt;=10,"10-15", G2549&gt;=5,"5-10", G2549&gt;=1,"1-5", G2549&lt;1,"Less than 1")</f>
        <v>10-15</v>
      </c>
      <c r="I2549">
        <v>0</v>
      </c>
      <c r="J2549">
        <v>0</v>
      </c>
      <c r="K2549" s="6">
        <v>1</v>
      </c>
      <c r="L2549" s="2">
        <v>3.99</v>
      </c>
      <c r="M2549" s="6">
        <v>16</v>
      </c>
      <c r="N2549" t="str" cm="1">
        <f t="array" ref="N2549">_xlfn.IFS(M2549&gt;=50,"50-60 Days", M2549&gt;=40,"40-50 Days", M2549&gt;=30, "30-40 Days", M2549&gt;=20, "20-30 Days", M2549&gt;=10, "10-20 Days", M2549&gt;=0, "0-10 Days")</f>
        <v>10-20 Days</v>
      </c>
    </row>
    <row r="2550" spans="1:14">
      <c r="A2550">
        <v>2549</v>
      </c>
      <c r="B2550" t="s">
        <v>28</v>
      </c>
      <c r="C2550" s="5">
        <v>45503</v>
      </c>
      <c r="D2550" s="8">
        <v>45503</v>
      </c>
      <c r="E2550" s="8">
        <f>IF(B2550="Inactive", EDATE(D2550,K2550), "")</f>
        <v>45716</v>
      </c>
      <c r="F2550" t="s">
        <v>14</v>
      </c>
      <c r="G2550">
        <v>12.1</v>
      </c>
      <c r="H2550" t="str" cm="1">
        <f t="array" ref="H2550">_xlfn.IFS(G2550&gt;=20,"20-25", G2550&gt;=15,"15-20", G2550&gt;=10,"10-15", G2550&gt;=5,"5-10", G2550&gt;=1,"1-5", G2550&lt;1,"Less than 1")</f>
        <v>10-15</v>
      </c>
      <c r="I2550">
        <v>1</v>
      </c>
      <c r="J2550">
        <v>1</v>
      </c>
      <c r="K2550" s="6">
        <v>7</v>
      </c>
      <c r="L2550" s="2">
        <v>3.99</v>
      </c>
      <c r="M2550" s="6">
        <v>53</v>
      </c>
      <c r="N2550" t="str" cm="1">
        <f t="array" ref="N2550">_xlfn.IFS(M2550&gt;=50,"50-60 Days", M2550&gt;=40,"40-50 Days", M2550&gt;=30, "30-40 Days", M2550&gt;=20, "20-30 Days", M2550&gt;=10, "10-20 Days", M2550&gt;=0, "0-10 Days")</f>
        <v>50-60 Days</v>
      </c>
    </row>
    <row r="2551" spans="1:14">
      <c r="A2551">
        <v>2550</v>
      </c>
      <c r="B2551" t="s">
        <v>28</v>
      </c>
      <c r="C2551" s="5">
        <v>45088</v>
      </c>
      <c r="D2551" s="8">
        <v>45088</v>
      </c>
      <c r="E2551" s="8">
        <f>IF(B2551="Inactive", EDATE(D2551,K2551), "")</f>
        <v>45302</v>
      </c>
      <c r="F2551" t="s">
        <v>12</v>
      </c>
      <c r="G2551">
        <v>15.1</v>
      </c>
      <c r="H2551" t="str" cm="1">
        <f t="array" ref="H2551">_xlfn.IFS(G2551&gt;=20,"20-25", G2551&gt;=15,"15-20", G2551&gt;=10,"10-15", G2551&gt;=5,"5-10", G2551&gt;=1,"1-5", G2551&lt;1,"Less than 1")</f>
        <v>15-20</v>
      </c>
      <c r="I2551">
        <v>1</v>
      </c>
      <c r="J2551">
        <v>5</v>
      </c>
      <c r="K2551" s="6">
        <v>7</v>
      </c>
      <c r="L2551" s="2">
        <v>1.99</v>
      </c>
      <c r="M2551" s="6">
        <v>42</v>
      </c>
      <c r="N2551" t="str" cm="1">
        <f t="array" ref="N2551">_xlfn.IFS(M2551&gt;=50,"50-60 Days", M2551&gt;=40,"40-50 Days", M2551&gt;=30, "30-40 Days", M2551&gt;=20, "20-30 Days", M2551&gt;=10, "10-20 Days", M2551&gt;=0, "0-10 Days")</f>
        <v>40-50 Days</v>
      </c>
    </row>
    <row r="2552" spans="1:14">
      <c r="A2552">
        <v>2551</v>
      </c>
      <c r="B2552" t="s">
        <v>29</v>
      </c>
      <c r="C2552" s="5">
        <v>45500</v>
      </c>
      <c r="D2552" s="8">
        <v>45500</v>
      </c>
      <c r="E2552" s="8" t="str">
        <f>IF(B2552="Inactive", EDATE(D2552,K2552), "")</f>
        <v/>
      </c>
      <c r="F2552" t="s">
        <v>10</v>
      </c>
      <c r="G2552">
        <v>17</v>
      </c>
      <c r="H2552" t="str" cm="1">
        <f t="array" ref="H2552">_xlfn.IFS(G2552&gt;=20,"20-25", G2552&gt;=15,"15-20", G2552&gt;=10,"10-15", G2552&gt;=5,"5-10", G2552&gt;=1,"1-5", G2552&lt;1,"Less than 1")</f>
        <v>15-20</v>
      </c>
      <c r="I2552">
        <v>4</v>
      </c>
      <c r="J2552">
        <v>1</v>
      </c>
      <c r="K2552" s="6">
        <v>11</v>
      </c>
      <c r="L2552" s="2">
        <v>6.99</v>
      </c>
      <c r="M2552" s="6">
        <v>38</v>
      </c>
      <c r="N2552" t="str" cm="1">
        <f t="array" ref="N2552">_xlfn.IFS(M2552&gt;=50,"50-60 Days", M2552&gt;=40,"40-50 Days", M2552&gt;=30, "30-40 Days", M2552&gt;=20, "20-30 Days", M2552&gt;=10, "10-20 Days", M2552&gt;=0, "0-10 Days")</f>
        <v>30-40 Days</v>
      </c>
    </row>
    <row r="2553" spans="1:14">
      <c r="A2553">
        <v>2552</v>
      </c>
      <c r="B2553" t="s">
        <v>29</v>
      </c>
      <c r="C2553" s="5">
        <v>45415</v>
      </c>
      <c r="D2553" s="8">
        <v>45415</v>
      </c>
      <c r="E2553" s="8" t="str">
        <f>IF(B2553="Inactive", EDATE(D2553,K2553), "")</f>
        <v/>
      </c>
      <c r="F2553" t="s">
        <v>10</v>
      </c>
      <c r="G2553">
        <v>11.9</v>
      </c>
      <c r="H2553" t="str" cm="1">
        <f t="array" ref="H2553">_xlfn.IFS(G2553&gt;=20,"20-25", G2553&gt;=15,"15-20", G2553&gt;=10,"10-15", G2553&gt;=5,"5-10", G2553&gt;=1,"1-5", G2553&lt;1,"Less than 1")</f>
        <v>10-15</v>
      </c>
      <c r="I2553">
        <v>6</v>
      </c>
      <c r="J2553">
        <v>4</v>
      </c>
      <c r="K2553" s="6">
        <v>4</v>
      </c>
      <c r="L2553" s="2">
        <v>6.99</v>
      </c>
      <c r="M2553" s="6">
        <v>60</v>
      </c>
      <c r="N2553" t="str" cm="1">
        <f t="array" ref="N2553">_xlfn.IFS(M2553&gt;=50,"50-60 Days", M2553&gt;=40,"40-50 Days", M2553&gt;=30, "30-40 Days", M2553&gt;=20, "20-30 Days", M2553&gt;=10, "10-20 Days", M2553&gt;=0, "0-10 Days")</f>
        <v>50-60 Days</v>
      </c>
    </row>
    <row r="2554" spans="1:14">
      <c r="A2554">
        <v>2553</v>
      </c>
      <c r="B2554" t="s">
        <v>28</v>
      </c>
      <c r="C2554" s="5">
        <v>45017</v>
      </c>
      <c r="D2554" s="8">
        <v>45017</v>
      </c>
      <c r="E2554" s="8">
        <f>IF(B2554="Inactive", EDATE(D2554,K2554), "")</f>
        <v>45078</v>
      </c>
      <c r="F2554" t="s">
        <v>10</v>
      </c>
      <c r="G2554">
        <v>7</v>
      </c>
      <c r="H2554" t="str" cm="1">
        <f t="array" ref="H2554">_xlfn.IFS(G2554&gt;=20,"20-25", G2554&gt;=15,"15-20", G2554&gt;=10,"10-15", G2554&gt;=5,"5-10", G2554&gt;=1,"1-5", G2554&lt;1,"Less than 1")</f>
        <v>5-10</v>
      </c>
      <c r="I2554">
        <v>5</v>
      </c>
      <c r="J2554">
        <v>1</v>
      </c>
      <c r="K2554" s="6">
        <v>2</v>
      </c>
      <c r="L2554" s="2">
        <v>6.99</v>
      </c>
      <c r="M2554" s="6">
        <v>45</v>
      </c>
      <c r="N2554" t="str" cm="1">
        <f t="array" ref="N2554">_xlfn.IFS(M2554&gt;=50,"50-60 Days", M2554&gt;=40,"40-50 Days", M2554&gt;=30, "30-40 Days", M2554&gt;=20, "20-30 Days", M2554&gt;=10, "10-20 Days", M2554&gt;=0, "0-10 Days")</f>
        <v>40-50 Days</v>
      </c>
    </row>
    <row r="2555" spans="1:14">
      <c r="A2555">
        <v>2554</v>
      </c>
      <c r="B2555" t="s">
        <v>29</v>
      </c>
      <c r="C2555" s="5">
        <v>45584</v>
      </c>
      <c r="D2555" s="8">
        <v>45584</v>
      </c>
      <c r="E2555" s="8" t="str">
        <f>IF(B2555="Inactive", EDATE(D2555,K2555), "")</f>
        <v/>
      </c>
      <c r="F2555" t="s">
        <v>10</v>
      </c>
      <c r="G2555">
        <v>3.3</v>
      </c>
      <c r="H2555" t="str" cm="1">
        <f t="array" ref="H2555">_xlfn.IFS(G2555&gt;=20,"20-25", G2555&gt;=15,"15-20", G2555&gt;=10,"10-15", G2555&gt;=5,"5-10", G2555&gt;=1,"1-5", G2555&lt;1,"Less than 1")</f>
        <v>1-5</v>
      </c>
      <c r="I2555">
        <v>6</v>
      </c>
      <c r="J2555">
        <v>0</v>
      </c>
      <c r="K2555" s="6">
        <v>10</v>
      </c>
      <c r="L2555" s="2">
        <v>6.99</v>
      </c>
      <c r="M2555" s="6">
        <v>31</v>
      </c>
      <c r="N2555" t="str" cm="1">
        <f t="array" ref="N2555">_xlfn.IFS(M2555&gt;=50,"50-60 Days", M2555&gt;=40,"40-50 Days", M2555&gt;=30, "30-40 Days", M2555&gt;=20, "20-30 Days", M2555&gt;=10, "10-20 Days", M2555&gt;=0, "0-10 Days")</f>
        <v>30-40 Days</v>
      </c>
    </row>
    <row r="2556" spans="1:14">
      <c r="A2556">
        <v>2555</v>
      </c>
      <c r="B2556" t="s">
        <v>28</v>
      </c>
      <c r="C2556" s="5">
        <v>45313</v>
      </c>
      <c r="D2556" s="8">
        <v>45313</v>
      </c>
      <c r="E2556" s="8">
        <f>IF(B2556="Inactive", EDATE(D2556,K2556), "")</f>
        <v>45434</v>
      </c>
      <c r="F2556" t="s">
        <v>12</v>
      </c>
      <c r="G2556">
        <v>12.4</v>
      </c>
      <c r="H2556" t="str" cm="1">
        <f t="array" ref="H2556">_xlfn.IFS(G2556&gt;=20,"20-25", G2556&gt;=15,"15-20", G2556&gt;=10,"10-15", G2556&gt;=5,"5-10", G2556&gt;=1,"1-5", G2556&lt;1,"Less than 1")</f>
        <v>10-15</v>
      </c>
      <c r="I2556">
        <v>8</v>
      </c>
      <c r="J2556">
        <v>4</v>
      </c>
      <c r="K2556" s="6">
        <v>4</v>
      </c>
      <c r="L2556" s="2">
        <v>1.99</v>
      </c>
      <c r="M2556" s="6">
        <v>14</v>
      </c>
      <c r="N2556" t="str" cm="1">
        <f t="array" ref="N2556">_xlfn.IFS(M2556&gt;=50,"50-60 Days", M2556&gt;=40,"40-50 Days", M2556&gt;=30, "30-40 Days", M2556&gt;=20, "20-30 Days", M2556&gt;=10, "10-20 Days", M2556&gt;=0, "0-10 Days")</f>
        <v>10-20 Days</v>
      </c>
    </row>
    <row r="2557" spans="1:14">
      <c r="A2557">
        <v>2556</v>
      </c>
      <c r="B2557" t="s">
        <v>29</v>
      </c>
      <c r="C2557" s="5">
        <v>45601</v>
      </c>
      <c r="D2557" s="8">
        <v>45601</v>
      </c>
      <c r="E2557" s="8" t="str">
        <f>IF(B2557="Inactive", EDATE(D2557,K2557), "")</f>
        <v/>
      </c>
      <c r="F2557" t="s">
        <v>14</v>
      </c>
      <c r="G2557">
        <v>19.600000000000001</v>
      </c>
      <c r="H2557" t="str" cm="1">
        <f t="array" ref="H2557">_xlfn.IFS(G2557&gt;=20,"20-25", G2557&gt;=15,"15-20", G2557&gt;=10,"10-15", G2557&gt;=5,"5-10", G2557&gt;=1,"1-5", G2557&lt;1,"Less than 1")</f>
        <v>15-20</v>
      </c>
      <c r="I2557">
        <v>7</v>
      </c>
      <c r="J2557">
        <v>4</v>
      </c>
      <c r="K2557" s="6">
        <v>3</v>
      </c>
      <c r="L2557" s="2">
        <v>3.99</v>
      </c>
      <c r="M2557" s="6">
        <v>51</v>
      </c>
      <c r="N2557" t="str" cm="1">
        <f t="array" ref="N2557">_xlfn.IFS(M2557&gt;=50,"50-60 Days", M2557&gt;=40,"40-50 Days", M2557&gt;=30, "30-40 Days", M2557&gt;=20, "20-30 Days", M2557&gt;=10, "10-20 Days", M2557&gt;=0, "0-10 Days")</f>
        <v>50-60 Days</v>
      </c>
    </row>
    <row r="2558" spans="1:14">
      <c r="A2558">
        <v>2557</v>
      </c>
      <c r="B2558" t="s">
        <v>28</v>
      </c>
      <c r="C2558" s="5">
        <v>45582</v>
      </c>
      <c r="D2558" s="8">
        <v>45582</v>
      </c>
      <c r="E2558" s="8">
        <f>IF(B2558="Inactive", EDATE(D2558,K2558), "")</f>
        <v>45855</v>
      </c>
      <c r="F2558" t="s">
        <v>10</v>
      </c>
      <c r="G2558">
        <v>5</v>
      </c>
      <c r="H2558" t="str" cm="1">
        <f t="array" ref="H2558">_xlfn.IFS(G2558&gt;=20,"20-25", G2558&gt;=15,"15-20", G2558&gt;=10,"10-15", G2558&gt;=5,"5-10", G2558&gt;=1,"1-5", G2558&lt;1,"Less than 1")</f>
        <v>5-10</v>
      </c>
      <c r="I2558">
        <v>0</v>
      </c>
      <c r="J2558">
        <v>4</v>
      </c>
      <c r="K2558" s="6">
        <v>9</v>
      </c>
      <c r="L2558" s="2">
        <v>6.99</v>
      </c>
      <c r="M2558" s="6">
        <v>59</v>
      </c>
      <c r="N2558" t="str" cm="1">
        <f t="array" ref="N2558">_xlfn.IFS(M2558&gt;=50,"50-60 Days", M2558&gt;=40,"40-50 Days", M2558&gt;=30, "30-40 Days", M2558&gt;=20, "20-30 Days", M2558&gt;=10, "10-20 Days", M2558&gt;=0, "0-10 Days")</f>
        <v>50-60 Days</v>
      </c>
    </row>
    <row r="2559" spans="1:14">
      <c r="A2559">
        <v>2558</v>
      </c>
      <c r="B2559" t="s">
        <v>29</v>
      </c>
      <c r="C2559" s="5">
        <v>45366</v>
      </c>
      <c r="D2559" s="8">
        <v>45366</v>
      </c>
      <c r="E2559" s="8" t="str">
        <f>IF(B2559="Inactive", EDATE(D2559,K2559), "")</f>
        <v/>
      </c>
      <c r="F2559" t="s">
        <v>14</v>
      </c>
      <c r="G2559">
        <v>9.9</v>
      </c>
      <c r="H2559" t="str" cm="1">
        <f t="array" ref="H2559">_xlfn.IFS(G2559&gt;=20,"20-25", G2559&gt;=15,"15-20", G2559&gt;=10,"10-15", G2559&gt;=5,"5-10", G2559&gt;=1,"1-5", G2559&lt;1,"Less than 1")</f>
        <v>5-10</v>
      </c>
      <c r="I2559">
        <v>3</v>
      </c>
      <c r="J2559">
        <v>5</v>
      </c>
      <c r="K2559" s="6">
        <v>9</v>
      </c>
      <c r="L2559" s="2">
        <v>3.99</v>
      </c>
      <c r="M2559" s="6">
        <v>16</v>
      </c>
      <c r="N2559" t="str" cm="1">
        <f t="array" ref="N2559">_xlfn.IFS(M2559&gt;=50,"50-60 Days", M2559&gt;=40,"40-50 Days", M2559&gt;=30, "30-40 Days", M2559&gt;=20, "20-30 Days", M2559&gt;=10, "10-20 Days", M2559&gt;=0, "0-10 Days")</f>
        <v>10-20 Days</v>
      </c>
    </row>
    <row r="2560" spans="1:14">
      <c r="A2560">
        <v>2559</v>
      </c>
      <c r="B2560" t="s">
        <v>29</v>
      </c>
      <c r="C2560" s="5">
        <v>45083</v>
      </c>
      <c r="D2560" s="8">
        <v>45083</v>
      </c>
      <c r="E2560" s="8" t="str">
        <f>IF(B2560="Inactive", EDATE(D2560,K2560), "")</f>
        <v/>
      </c>
      <c r="F2560" t="s">
        <v>12</v>
      </c>
      <c r="G2560">
        <v>11.6</v>
      </c>
      <c r="H2560" t="str" cm="1">
        <f t="array" ref="H2560">_xlfn.IFS(G2560&gt;=20,"20-25", G2560&gt;=15,"15-20", G2560&gt;=10,"10-15", G2560&gt;=5,"5-10", G2560&gt;=1,"1-5", G2560&lt;1,"Less than 1")</f>
        <v>10-15</v>
      </c>
      <c r="I2560">
        <v>4</v>
      </c>
      <c r="J2560">
        <v>1</v>
      </c>
      <c r="K2560" s="6">
        <v>6</v>
      </c>
      <c r="L2560" s="2">
        <v>1.99</v>
      </c>
      <c r="M2560" s="6">
        <v>4</v>
      </c>
      <c r="N2560" t="str" cm="1">
        <f t="array" ref="N2560">_xlfn.IFS(M2560&gt;=50,"50-60 Days", M2560&gt;=40,"40-50 Days", M2560&gt;=30, "30-40 Days", M2560&gt;=20, "20-30 Days", M2560&gt;=10, "10-20 Days", M2560&gt;=0, "0-10 Days")</f>
        <v>0-10 Days</v>
      </c>
    </row>
    <row r="2561" spans="1:14">
      <c r="A2561">
        <v>2560</v>
      </c>
      <c r="B2561" t="s">
        <v>28</v>
      </c>
      <c r="C2561" s="5">
        <v>45175</v>
      </c>
      <c r="D2561" s="8">
        <v>45175</v>
      </c>
      <c r="E2561" s="8">
        <f>IF(B2561="Inactive", EDATE(D2561,K2561), "")</f>
        <v>45418</v>
      </c>
      <c r="F2561" t="s">
        <v>10</v>
      </c>
      <c r="G2561">
        <v>3</v>
      </c>
      <c r="H2561" t="str" cm="1">
        <f t="array" ref="H2561">_xlfn.IFS(G2561&gt;=20,"20-25", G2561&gt;=15,"15-20", G2561&gt;=10,"10-15", G2561&gt;=5,"5-10", G2561&gt;=1,"1-5", G2561&lt;1,"Less than 1")</f>
        <v>1-5</v>
      </c>
      <c r="I2561">
        <v>2</v>
      </c>
      <c r="J2561">
        <v>1</v>
      </c>
      <c r="K2561" s="6">
        <v>8</v>
      </c>
      <c r="L2561" s="2">
        <v>6.99</v>
      </c>
      <c r="M2561" s="6">
        <v>59</v>
      </c>
      <c r="N2561" t="str" cm="1">
        <f t="array" ref="N2561">_xlfn.IFS(M2561&gt;=50,"50-60 Days", M2561&gt;=40,"40-50 Days", M2561&gt;=30, "30-40 Days", M2561&gt;=20, "20-30 Days", M2561&gt;=10, "10-20 Days", M2561&gt;=0, "0-10 Days")</f>
        <v>50-60 Days</v>
      </c>
    </row>
    <row r="2562" spans="1:14">
      <c r="A2562">
        <v>2561</v>
      </c>
      <c r="B2562" t="s">
        <v>29</v>
      </c>
      <c r="C2562" s="5">
        <v>45514</v>
      </c>
      <c r="D2562" s="8">
        <v>45514</v>
      </c>
      <c r="E2562" s="8" t="str">
        <f>IF(B2562="Inactive", EDATE(D2562,K2562), "")</f>
        <v/>
      </c>
      <c r="F2562" t="s">
        <v>10</v>
      </c>
      <c r="G2562">
        <v>7.2</v>
      </c>
      <c r="H2562" t="str" cm="1">
        <f t="array" ref="H2562">_xlfn.IFS(G2562&gt;=20,"20-25", G2562&gt;=15,"15-20", G2562&gt;=10,"10-15", G2562&gt;=5,"5-10", G2562&gt;=1,"1-5", G2562&lt;1,"Less than 1")</f>
        <v>5-10</v>
      </c>
      <c r="I2562">
        <v>8</v>
      </c>
      <c r="J2562">
        <v>1</v>
      </c>
      <c r="K2562" s="6">
        <v>9</v>
      </c>
      <c r="L2562" s="2">
        <v>6.99</v>
      </c>
      <c r="M2562" s="6">
        <v>0</v>
      </c>
      <c r="N2562" t="str" cm="1">
        <f t="array" ref="N2562">_xlfn.IFS(M2562&gt;=50,"50-60 Days", M2562&gt;=40,"40-50 Days", M2562&gt;=30, "30-40 Days", M2562&gt;=20, "20-30 Days", M2562&gt;=10, "10-20 Days", M2562&gt;=0, "0-10 Days")</f>
        <v>0-10 Days</v>
      </c>
    </row>
    <row r="2563" spans="1:14">
      <c r="A2563">
        <v>2562</v>
      </c>
      <c r="B2563" t="s">
        <v>28</v>
      </c>
      <c r="C2563" s="5">
        <v>44969</v>
      </c>
      <c r="D2563" s="8">
        <v>44969</v>
      </c>
      <c r="E2563" s="8">
        <f>IF(B2563="Inactive", EDATE(D2563,K2563), "")</f>
        <v>45150</v>
      </c>
      <c r="F2563" t="s">
        <v>12</v>
      </c>
      <c r="G2563">
        <v>13.6</v>
      </c>
      <c r="H2563" t="str" cm="1">
        <f t="array" ref="H2563">_xlfn.IFS(G2563&gt;=20,"20-25", G2563&gt;=15,"15-20", G2563&gt;=10,"10-15", G2563&gt;=5,"5-10", G2563&gt;=1,"1-5", G2563&lt;1,"Less than 1")</f>
        <v>10-15</v>
      </c>
      <c r="I2563">
        <v>8</v>
      </c>
      <c r="J2563">
        <v>5</v>
      </c>
      <c r="K2563" s="6">
        <v>6</v>
      </c>
      <c r="L2563" s="2">
        <v>1.99</v>
      </c>
      <c r="M2563" s="6">
        <v>32</v>
      </c>
      <c r="N2563" t="str" cm="1">
        <f t="array" ref="N2563">_xlfn.IFS(M2563&gt;=50,"50-60 Days", M2563&gt;=40,"40-50 Days", M2563&gt;=30, "30-40 Days", M2563&gt;=20, "20-30 Days", M2563&gt;=10, "10-20 Days", M2563&gt;=0, "0-10 Days")</f>
        <v>30-40 Days</v>
      </c>
    </row>
    <row r="2564" spans="1:14">
      <c r="A2564">
        <v>2563</v>
      </c>
      <c r="B2564" t="s">
        <v>29</v>
      </c>
      <c r="C2564" s="5">
        <v>45466</v>
      </c>
      <c r="D2564" s="8">
        <v>45466</v>
      </c>
      <c r="E2564" s="8" t="str">
        <f>IF(B2564="Inactive", EDATE(D2564,K2564), "")</f>
        <v/>
      </c>
      <c r="F2564" t="s">
        <v>14</v>
      </c>
      <c r="G2564">
        <v>24.6</v>
      </c>
      <c r="H2564" t="str" cm="1">
        <f t="array" ref="H2564">_xlfn.IFS(G2564&gt;=20,"20-25", G2564&gt;=15,"15-20", G2564&gt;=10,"10-15", G2564&gt;=5,"5-10", G2564&gt;=1,"1-5", G2564&lt;1,"Less than 1")</f>
        <v>20-25</v>
      </c>
      <c r="I2564">
        <v>6</v>
      </c>
      <c r="J2564">
        <v>3</v>
      </c>
      <c r="K2564" s="6">
        <v>3</v>
      </c>
      <c r="L2564" s="2">
        <v>3.99</v>
      </c>
      <c r="M2564" s="6">
        <v>9</v>
      </c>
      <c r="N2564" t="str" cm="1">
        <f t="array" ref="N2564">_xlfn.IFS(M2564&gt;=50,"50-60 Days", M2564&gt;=40,"40-50 Days", M2564&gt;=30, "30-40 Days", M2564&gt;=20, "20-30 Days", M2564&gt;=10, "10-20 Days", M2564&gt;=0, "0-10 Days")</f>
        <v>0-10 Days</v>
      </c>
    </row>
    <row r="2565" spans="1:14">
      <c r="A2565">
        <v>2564</v>
      </c>
      <c r="B2565" t="s">
        <v>28</v>
      </c>
      <c r="C2565" s="5">
        <v>45042</v>
      </c>
      <c r="D2565" s="8">
        <v>45042</v>
      </c>
      <c r="E2565" s="8">
        <f>IF(B2565="Inactive", EDATE(D2565,K2565), "")</f>
        <v>45103</v>
      </c>
      <c r="F2565" t="s">
        <v>14</v>
      </c>
      <c r="G2565">
        <v>10.9</v>
      </c>
      <c r="H2565" t="str" cm="1">
        <f t="array" ref="H2565">_xlfn.IFS(G2565&gt;=20,"20-25", G2565&gt;=15,"15-20", G2565&gt;=10,"10-15", G2565&gt;=5,"5-10", G2565&gt;=1,"1-5", G2565&lt;1,"Less than 1")</f>
        <v>10-15</v>
      </c>
      <c r="I2565">
        <v>1</v>
      </c>
      <c r="J2565">
        <v>0</v>
      </c>
      <c r="K2565" s="6">
        <v>2</v>
      </c>
      <c r="L2565" s="2">
        <v>3.99</v>
      </c>
      <c r="M2565" s="6">
        <v>19</v>
      </c>
      <c r="N2565" t="str" cm="1">
        <f t="array" ref="N2565">_xlfn.IFS(M2565&gt;=50,"50-60 Days", M2565&gt;=40,"40-50 Days", M2565&gt;=30, "30-40 Days", M2565&gt;=20, "20-30 Days", M2565&gt;=10, "10-20 Days", M2565&gt;=0, "0-10 Days")</f>
        <v>10-20 Days</v>
      </c>
    </row>
    <row r="2566" spans="1:14">
      <c r="A2566">
        <v>2565</v>
      </c>
      <c r="B2566" t="s">
        <v>29</v>
      </c>
      <c r="C2566" s="5">
        <v>45165</v>
      </c>
      <c r="D2566" s="8">
        <v>45165</v>
      </c>
      <c r="E2566" s="8" t="str">
        <f>IF(B2566="Inactive", EDATE(D2566,K2566), "")</f>
        <v/>
      </c>
      <c r="F2566" t="s">
        <v>10</v>
      </c>
      <c r="G2566">
        <v>9.3000000000000007</v>
      </c>
      <c r="H2566" t="str" cm="1">
        <f t="array" ref="H2566">_xlfn.IFS(G2566&gt;=20,"20-25", G2566&gt;=15,"15-20", G2566&gt;=10,"10-15", G2566&gt;=5,"5-10", G2566&gt;=1,"1-5", G2566&lt;1,"Less than 1")</f>
        <v>5-10</v>
      </c>
      <c r="I2566">
        <v>2</v>
      </c>
      <c r="J2566">
        <v>1</v>
      </c>
      <c r="K2566" s="6">
        <v>6</v>
      </c>
      <c r="L2566" s="2">
        <v>6.99</v>
      </c>
      <c r="M2566" s="6">
        <v>45</v>
      </c>
      <c r="N2566" t="str" cm="1">
        <f t="array" ref="N2566">_xlfn.IFS(M2566&gt;=50,"50-60 Days", M2566&gt;=40,"40-50 Days", M2566&gt;=30, "30-40 Days", M2566&gt;=20, "20-30 Days", M2566&gt;=10, "10-20 Days", M2566&gt;=0, "0-10 Days")</f>
        <v>40-50 Days</v>
      </c>
    </row>
    <row r="2567" spans="1:14">
      <c r="A2567">
        <v>2566</v>
      </c>
      <c r="B2567" t="s">
        <v>29</v>
      </c>
      <c r="C2567" s="5">
        <v>44971</v>
      </c>
      <c r="D2567" s="8">
        <v>44971</v>
      </c>
      <c r="E2567" s="8" t="str">
        <f>IF(B2567="Inactive", EDATE(D2567,K2567), "")</f>
        <v/>
      </c>
      <c r="F2567" t="s">
        <v>12</v>
      </c>
      <c r="G2567">
        <v>18.100000000000001</v>
      </c>
      <c r="H2567" t="str" cm="1">
        <f t="array" ref="H2567">_xlfn.IFS(G2567&gt;=20,"20-25", G2567&gt;=15,"15-20", G2567&gt;=10,"10-15", G2567&gt;=5,"5-10", G2567&gt;=1,"1-5", G2567&lt;1,"Less than 1")</f>
        <v>15-20</v>
      </c>
      <c r="I2567">
        <v>0</v>
      </c>
      <c r="J2567">
        <v>2</v>
      </c>
      <c r="K2567" s="6">
        <v>11</v>
      </c>
      <c r="L2567" s="2">
        <v>1.99</v>
      </c>
      <c r="M2567" s="6">
        <v>11</v>
      </c>
      <c r="N2567" t="str" cm="1">
        <f t="array" ref="N2567">_xlfn.IFS(M2567&gt;=50,"50-60 Days", M2567&gt;=40,"40-50 Days", M2567&gt;=30, "30-40 Days", M2567&gt;=20, "20-30 Days", M2567&gt;=10, "10-20 Days", M2567&gt;=0, "0-10 Days")</f>
        <v>10-20 Days</v>
      </c>
    </row>
    <row r="2568" spans="1:14">
      <c r="A2568">
        <v>2567</v>
      </c>
      <c r="B2568" t="s">
        <v>29</v>
      </c>
      <c r="C2568" s="5">
        <v>45644</v>
      </c>
      <c r="D2568" s="8">
        <v>45644</v>
      </c>
      <c r="E2568" s="8" t="str">
        <f>IF(B2568="Inactive", EDATE(D2568,K2568), "")</f>
        <v/>
      </c>
      <c r="F2568" t="s">
        <v>14</v>
      </c>
      <c r="G2568">
        <v>14.1</v>
      </c>
      <c r="H2568" t="str" cm="1">
        <f t="array" ref="H2568">_xlfn.IFS(G2568&gt;=20,"20-25", G2568&gt;=15,"15-20", G2568&gt;=10,"10-15", G2568&gt;=5,"5-10", G2568&gt;=1,"1-5", G2568&lt;1,"Less than 1")</f>
        <v>10-15</v>
      </c>
      <c r="I2568">
        <v>1</v>
      </c>
      <c r="J2568">
        <v>3</v>
      </c>
      <c r="K2568" s="6">
        <v>7</v>
      </c>
      <c r="L2568" s="2">
        <v>3.99</v>
      </c>
      <c r="M2568" s="6">
        <v>21</v>
      </c>
      <c r="N2568" t="str" cm="1">
        <f t="array" ref="N2568">_xlfn.IFS(M2568&gt;=50,"50-60 Days", M2568&gt;=40,"40-50 Days", M2568&gt;=30, "30-40 Days", M2568&gt;=20, "20-30 Days", M2568&gt;=10, "10-20 Days", M2568&gt;=0, "0-10 Days")</f>
        <v>20-30 Days</v>
      </c>
    </row>
    <row r="2569" spans="1:14">
      <c r="A2569">
        <v>2568</v>
      </c>
      <c r="B2569" t="s">
        <v>28</v>
      </c>
      <c r="C2569" s="5">
        <v>45054</v>
      </c>
      <c r="D2569" s="8">
        <v>45054</v>
      </c>
      <c r="E2569" s="8">
        <f>IF(B2569="Inactive", EDATE(D2569,K2569), "")</f>
        <v>45177</v>
      </c>
      <c r="F2569" t="s">
        <v>12</v>
      </c>
      <c r="G2569">
        <v>9.3000000000000007</v>
      </c>
      <c r="H2569" t="str" cm="1">
        <f t="array" ref="H2569">_xlfn.IFS(G2569&gt;=20,"20-25", G2569&gt;=15,"15-20", G2569&gt;=10,"10-15", G2569&gt;=5,"5-10", G2569&gt;=1,"1-5", G2569&lt;1,"Less than 1")</f>
        <v>5-10</v>
      </c>
      <c r="I2569">
        <v>4</v>
      </c>
      <c r="J2569">
        <v>2</v>
      </c>
      <c r="K2569" s="6">
        <v>4</v>
      </c>
      <c r="L2569" s="2">
        <v>1.99</v>
      </c>
      <c r="M2569" s="6">
        <v>31</v>
      </c>
      <c r="N2569" t="str" cm="1">
        <f t="array" ref="N2569">_xlfn.IFS(M2569&gt;=50,"50-60 Days", M2569&gt;=40,"40-50 Days", M2569&gt;=30, "30-40 Days", M2569&gt;=20, "20-30 Days", M2569&gt;=10, "10-20 Days", M2569&gt;=0, "0-10 Days")</f>
        <v>30-40 Days</v>
      </c>
    </row>
    <row r="2570" spans="1:14">
      <c r="A2570">
        <v>2569</v>
      </c>
      <c r="B2570" t="s">
        <v>28</v>
      </c>
      <c r="C2570" s="5">
        <v>44955</v>
      </c>
      <c r="D2570" s="8">
        <v>44955</v>
      </c>
      <c r="E2570" s="8">
        <f>IF(B2570="Inactive", EDATE(D2570,K2570), "")</f>
        <v>45045</v>
      </c>
      <c r="F2570" t="s">
        <v>10</v>
      </c>
      <c r="G2570">
        <v>11</v>
      </c>
      <c r="H2570" t="str" cm="1">
        <f t="array" ref="H2570">_xlfn.IFS(G2570&gt;=20,"20-25", G2570&gt;=15,"15-20", G2570&gt;=10,"10-15", G2570&gt;=5,"5-10", G2570&gt;=1,"1-5", G2570&lt;1,"Less than 1")</f>
        <v>10-15</v>
      </c>
      <c r="I2570">
        <v>0</v>
      </c>
      <c r="J2570">
        <v>1</v>
      </c>
      <c r="K2570" s="6">
        <v>3</v>
      </c>
      <c r="L2570" s="2">
        <v>6.99</v>
      </c>
      <c r="M2570" s="6">
        <v>44</v>
      </c>
      <c r="N2570" t="str" cm="1">
        <f t="array" ref="N2570">_xlfn.IFS(M2570&gt;=50,"50-60 Days", M2570&gt;=40,"40-50 Days", M2570&gt;=30, "30-40 Days", M2570&gt;=20, "20-30 Days", M2570&gt;=10, "10-20 Days", M2570&gt;=0, "0-10 Days")</f>
        <v>40-50 Days</v>
      </c>
    </row>
    <row r="2571" spans="1:14">
      <c r="A2571">
        <v>2570</v>
      </c>
      <c r="B2571" t="s">
        <v>29</v>
      </c>
      <c r="C2571" s="5">
        <v>44993</v>
      </c>
      <c r="D2571" s="8">
        <v>44993</v>
      </c>
      <c r="E2571" s="8" t="str">
        <f>IF(B2571="Inactive", EDATE(D2571,K2571), "")</f>
        <v/>
      </c>
      <c r="F2571" t="s">
        <v>10</v>
      </c>
      <c r="G2571">
        <v>10.4</v>
      </c>
      <c r="H2571" t="str" cm="1">
        <f t="array" ref="H2571">_xlfn.IFS(G2571&gt;=20,"20-25", G2571&gt;=15,"15-20", G2571&gt;=10,"10-15", G2571&gt;=5,"5-10", G2571&gt;=1,"1-5", G2571&lt;1,"Less than 1")</f>
        <v>10-15</v>
      </c>
      <c r="I2571">
        <v>1</v>
      </c>
      <c r="J2571">
        <v>3</v>
      </c>
      <c r="K2571" s="6">
        <v>9</v>
      </c>
      <c r="L2571" s="2">
        <v>6.99</v>
      </c>
      <c r="M2571" s="6">
        <v>48</v>
      </c>
      <c r="N2571" t="str" cm="1">
        <f t="array" ref="N2571">_xlfn.IFS(M2571&gt;=50,"50-60 Days", M2571&gt;=40,"40-50 Days", M2571&gt;=30, "30-40 Days", M2571&gt;=20, "20-30 Days", M2571&gt;=10, "10-20 Days", M2571&gt;=0, "0-10 Days")</f>
        <v>40-50 Days</v>
      </c>
    </row>
    <row r="2572" spans="1:14">
      <c r="A2572">
        <v>2571</v>
      </c>
      <c r="B2572" t="s">
        <v>28</v>
      </c>
      <c r="C2572" s="5">
        <v>44969</v>
      </c>
      <c r="D2572" s="8">
        <v>44969</v>
      </c>
      <c r="E2572" s="8">
        <f>IF(B2572="Inactive", EDATE(D2572,K2572), "")</f>
        <v>45058</v>
      </c>
      <c r="F2572" t="s">
        <v>10</v>
      </c>
      <c r="G2572">
        <v>17.7</v>
      </c>
      <c r="H2572" t="str" cm="1">
        <f t="array" ref="H2572">_xlfn.IFS(G2572&gt;=20,"20-25", G2572&gt;=15,"15-20", G2572&gt;=10,"10-15", G2572&gt;=5,"5-10", G2572&gt;=1,"1-5", G2572&lt;1,"Less than 1")</f>
        <v>15-20</v>
      </c>
      <c r="I2572">
        <v>8</v>
      </c>
      <c r="J2572">
        <v>4</v>
      </c>
      <c r="K2572" s="6">
        <v>3</v>
      </c>
      <c r="L2572" s="2">
        <v>6.99</v>
      </c>
      <c r="M2572" s="6">
        <v>48</v>
      </c>
      <c r="N2572" t="str" cm="1">
        <f t="array" ref="N2572">_xlfn.IFS(M2572&gt;=50,"50-60 Days", M2572&gt;=40,"40-50 Days", M2572&gt;=30, "30-40 Days", M2572&gt;=20, "20-30 Days", M2572&gt;=10, "10-20 Days", M2572&gt;=0, "0-10 Days")</f>
        <v>40-50 Days</v>
      </c>
    </row>
    <row r="2573" spans="1:14">
      <c r="A2573">
        <v>2572</v>
      </c>
      <c r="B2573" t="s">
        <v>29</v>
      </c>
      <c r="C2573" s="5">
        <v>45075</v>
      </c>
      <c r="D2573" s="8">
        <v>45075</v>
      </c>
      <c r="E2573" s="8" t="str">
        <f>IF(B2573="Inactive", EDATE(D2573,K2573), "")</f>
        <v/>
      </c>
      <c r="F2573" t="s">
        <v>10</v>
      </c>
      <c r="G2573">
        <v>23.9</v>
      </c>
      <c r="H2573" t="str" cm="1">
        <f t="array" ref="H2573">_xlfn.IFS(G2573&gt;=20,"20-25", G2573&gt;=15,"15-20", G2573&gt;=10,"10-15", G2573&gt;=5,"5-10", G2573&gt;=1,"1-5", G2573&lt;1,"Less than 1")</f>
        <v>20-25</v>
      </c>
      <c r="I2573">
        <v>0</v>
      </c>
      <c r="J2573">
        <v>3</v>
      </c>
      <c r="K2573" s="6">
        <v>12</v>
      </c>
      <c r="L2573" s="2">
        <v>6.99</v>
      </c>
      <c r="M2573" s="6">
        <v>29</v>
      </c>
      <c r="N2573" t="str" cm="1">
        <f t="array" ref="N2573">_xlfn.IFS(M2573&gt;=50,"50-60 Days", M2573&gt;=40,"40-50 Days", M2573&gt;=30, "30-40 Days", M2573&gt;=20, "20-30 Days", M2573&gt;=10, "10-20 Days", M2573&gt;=0, "0-10 Days")</f>
        <v>20-30 Days</v>
      </c>
    </row>
    <row r="2574" spans="1:14">
      <c r="A2574">
        <v>2573</v>
      </c>
      <c r="B2574" t="s">
        <v>28</v>
      </c>
      <c r="C2574" s="5">
        <v>45034</v>
      </c>
      <c r="D2574" s="8">
        <v>45034</v>
      </c>
      <c r="E2574" s="8">
        <f>IF(B2574="Inactive", EDATE(D2574,K2574), "")</f>
        <v>45217</v>
      </c>
      <c r="F2574" t="s">
        <v>12</v>
      </c>
      <c r="G2574">
        <v>2.5</v>
      </c>
      <c r="H2574" t="str" cm="1">
        <f t="array" ref="H2574">_xlfn.IFS(G2574&gt;=20,"20-25", G2574&gt;=15,"15-20", G2574&gt;=10,"10-15", G2574&gt;=5,"5-10", G2574&gt;=1,"1-5", G2574&lt;1,"Less than 1")</f>
        <v>1-5</v>
      </c>
      <c r="I2574">
        <v>4</v>
      </c>
      <c r="J2574">
        <v>3</v>
      </c>
      <c r="K2574" s="6">
        <v>6</v>
      </c>
      <c r="L2574" s="2">
        <v>1.99</v>
      </c>
      <c r="M2574" s="6">
        <v>33</v>
      </c>
      <c r="N2574" t="str" cm="1">
        <f t="array" ref="N2574">_xlfn.IFS(M2574&gt;=50,"50-60 Days", M2574&gt;=40,"40-50 Days", M2574&gt;=30, "30-40 Days", M2574&gt;=20, "20-30 Days", M2574&gt;=10, "10-20 Days", M2574&gt;=0, "0-10 Days")</f>
        <v>30-40 Days</v>
      </c>
    </row>
    <row r="2575" spans="1:14">
      <c r="A2575">
        <v>2574</v>
      </c>
      <c r="B2575" t="s">
        <v>29</v>
      </c>
      <c r="C2575" s="5">
        <v>45486</v>
      </c>
      <c r="D2575" s="8">
        <v>45486</v>
      </c>
      <c r="E2575" s="8" t="str">
        <f>IF(B2575="Inactive", EDATE(D2575,K2575), "")</f>
        <v/>
      </c>
      <c r="F2575" t="s">
        <v>12</v>
      </c>
      <c r="G2575">
        <v>15.8</v>
      </c>
      <c r="H2575" t="str" cm="1">
        <f t="array" ref="H2575">_xlfn.IFS(G2575&gt;=20,"20-25", G2575&gt;=15,"15-20", G2575&gt;=10,"10-15", G2575&gt;=5,"5-10", G2575&gt;=1,"1-5", G2575&lt;1,"Less than 1")</f>
        <v>15-20</v>
      </c>
      <c r="I2575">
        <v>6</v>
      </c>
      <c r="J2575">
        <v>5</v>
      </c>
      <c r="K2575" s="6">
        <v>7</v>
      </c>
      <c r="L2575" s="2">
        <v>1.99</v>
      </c>
      <c r="M2575" s="6">
        <v>24</v>
      </c>
      <c r="N2575" t="str" cm="1">
        <f t="array" ref="N2575">_xlfn.IFS(M2575&gt;=50,"50-60 Days", M2575&gt;=40,"40-50 Days", M2575&gt;=30, "30-40 Days", M2575&gt;=20, "20-30 Days", M2575&gt;=10, "10-20 Days", M2575&gt;=0, "0-10 Days")</f>
        <v>20-30 Days</v>
      </c>
    </row>
    <row r="2576" spans="1:14">
      <c r="A2576">
        <v>2575</v>
      </c>
      <c r="B2576" t="s">
        <v>28</v>
      </c>
      <c r="C2576" s="5">
        <v>45560</v>
      </c>
      <c r="D2576" s="8">
        <v>45560</v>
      </c>
      <c r="E2576" s="8">
        <f>IF(B2576="Inactive", EDATE(D2576,K2576), "")</f>
        <v>45925</v>
      </c>
      <c r="F2576" t="s">
        <v>14</v>
      </c>
      <c r="G2576">
        <v>15.6</v>
      </c>
      <c r="H2576" t="str" cm="1">
        <f t="array" ref="H2576">_xlfn.IFS(G2576&gt;=20,"20-25", G2576&gt;=15,"15-20", G2576&gt;=10,"10-15", G2576&gt;=5,"5-10", G2576&gt;=1,"1-5", G2576&lt;1,"Less than 1")</f>
        <v>15-20</v>
      </c>
      <c r="I2576">
        <v>3</v>
      </c>
      <c r="J2576">
        <v>5</v>
      </c>
      <c r="K2576" s="6">
        <v>12</v>
      </c>
      <c r="L2576" s="2">
        <v>3.99</v>
      </c>
      <c r="M2576" s="6">
        <v>37</v>
      </c>
      <c r="N2576" t="str" cm="1">
        <f t="array" ref="N2576">_xlfn.IFS(M2576&gt;=50,"50-60 Days", M2576&gt;=40,"40-50 Days", M2576&gt;=30, "30-40 Days", M2576&gt;=20, "20-30 Days", M2576&gt;=10, "10-20 Days", M2576&gt;=0, "0-10 Days")</f>
        <v>30-40 Days</v>
      </c>
    </row>
    <row r="2577" spans="1:14">
      <c r="A2577">
        <v>2576</v>
      </c>
      <c r="B2577" t="s">
        <v>28</v>
      </c>
      <c r="C2577" s="5">
        <v>45019</v>
      </c>
      <c r="D2577" s="8">
        <v>45019</v>
      </c>
      <c r="E2577" s="8">
        <f>IF(B2577="Inactive", EDATE(D2577,K2577), "")</f>
        <v>45325</v>
      </c>
      <c r="F2577" t="s">
        <v>10</v>
      </c>
      <c r="G2577">
        <v>8.1</v>
      </c>
      <c r="H2577" t="str" cm="1">
        <f t="array" ref="H2577">_xlfn.IFS(G2577&gt;=20,"20-25", G2577&gt;=15,"15-20", G2577&gt;=10,"10-15", G2577&gt;=5,"5-10", G2577&gt;=1,"1-5", G2577&lt;1,"Less than 1")</f>
        <v>5-10</v>
      </c>
      <c r="I2577">
        <v>8</v>
      </c>
      <c r="J2577">
        <v>3</v>
      </c>
      <c r="K2577" s="6">
        <v>10</v>
      </c>
      <c r="L2577" s="2">
        <v>6.99</v>
      </c>
      <c r="M2577" s="6">
        <v>36</v>
      </c>
      <c r="N2577" t="str" cm="1">
        <f t="array" ref="N2577">_xlfn.IFS(M2577&gt;=50,"50-60 Days", M2577&gt;=40,"40-50 Days", M2577&gt;=30, "30-40 Days", M2577&gt;=20, "20-30 Days", M2577&gt;=10, "10-20 Days", M2577&gt;=0, "0-10 Days")</f>
        <v>30-40 Days</v>
      </c>
    </row>
    <row r="2578" spans="1:14">
      <c r="A2578">
        <v>2577</v>
      </c>
      <c r="B2578" t="s">
        <v>28</v>
      </c>
      <c r="C2578" s="5">
        <v>45555</v>
      </c>
      <c r="D2578" s="8">
        <v>45555</v>
      </c>
      <c r="E2578" s="8">
        <f>IF(B2578="Inactive", EDATE(D2578,K2578), "")</f>
        <v>45797</v>
      </c>
      <c r="F2578" t="s">
        <v>14</v>
      </c>
      <c r="G2578">
        <v>14.9</v>
      </c>
      <c r="H2578" t="str" cm="1">
        <f t="array" ref="H2578">_xlfn.IFS(G2578&gt;=20,"20-25", G2578&gt;=15,"15-20", G2578&gt;=10,"10-15", G2578&gt;=5,"5-10", G2578&gt;=1,"1-5", G2578&lt;1,"Less than 1")</f>
        <v>10-15</v>
      </c>
      <c r="I2578">
        <v>5</v>
      </c>
      <c r="J2578">
        <v>5</v>
      </c>
      <c r="K2578" s="6">
        <v>8</v>
      </c>
      <c r="L2578" s="2">
        <v>3.99</v>
      </c>
      <c r="M2578" s="6">
        <v>3</v>
      </c>
      <c r="N2578" t="str" cm="1">
        <f t="array" ref="N2578">_xlfn.IFS(M2578&gt;=50,"50-60 Days", M2578&gt;=40,"40-50 Days", M2578&gt;=30, "30-40 Days", M2578&gt;=20, "20-30 Days", M2578&gt;=10, "10-20 Days", M2578&gt;=0, "0-10 Days")</f>
        <v>0-10 Days</v>
      </c>
    </row>
    <row r="2579" spans="1:14">
      <c r="A2579">
        <v>2578</v>
      </c>
      <c r="B2579" t="s">
        <v>28</v>
      </c>
      <c r="C2579" s="5">
        <v>45317</v>
      </c>
      <c r="D2579" s="8">
        <v>45317</v>
      </c>
      <c r="E2579" s="8">
        <f>IF(B2579="Inactive", EDATE(D2579,K2579), "")</f>
        <v>45438</v>
      </c>
      <c r="F2579" t="s">
        <v>12</v>
      </c>
      <c r="G2579">
        <v>1.9</v>
      </c>
      <c r="H2579" t="str" cm="1">
        <f t="array" ref="H2579">_xlfn.IFS(G2579&gt;=20,"20-25", G2579&gt;=15,"15-20", G2579&gt;=10,"10-15", G2579&gt;=5,"5-10", G2579&gt;=1,"1-5", G2579&lt;1,"Less than 1")</f>
        <v>1-5</v>
      </c>
      <c r="I2579">
        <v>7</v>
      </c>
      <c r="J2579">
        <v>2</v>
      </c>
      <c r="K2579" s="6">
        <v>4</v>
      </c>
      <c r="L2579" s="2">
        <v>1.99</v>
      </c>
      <c r="M2579" s="6">
        <v>15</v>
      </c>
      <c r="N2579" t="str" cm="1">
        <f t="array" ref="N2579">_xlfn.IFS(M2579&gt;=50,"50-60 Days", M2579&gt;=40,"40-50 Days", M2579&gt;=30, "30-40 Days", M2579&gt;=20, "20-30 Days", M2579&gt;=10, "10-20 Days", M2579&gt;=0, "0-10 Days")</f>
        <v>10-20 Days</v>
      </c>
    </row>
    <row r="2580" spans="1:14">
      <c r="A2580">
        <v>2579</v>
      </c>
      <c r="B2580" t="s">
        <v>29</v>
      </c>
      <c r="C2580" s="5">
        <v>44990</v>
      </c>
      <c r="D2580" s="8">
        <v>44990</v>
      </c>
      <c r="E2580" s="8" t="str">
        <f>IF(B2580="Inactive", EDATE(D2580,K2580), "")</f>
        <v/>
      </c>
      <c r="F2580" t="s">
        <v>10</v>
      </c>
      <c r="G2580">
        <v>9.1</v>
      </c>
      <c r="H2580" t="str" cm="1">
        <f t="array" ref="H2580">_xlfn.IFS(G2580&gt;=20,"20-25", G2580&gt;=15,"15-20", G2580&gt;=10,"10-15", G2580&gt;=5,"5-10", G2580&gt;=1,"1-5", G2580&lt;1,"Less than 1")</f>
        <v>5-10</v>
      </c>
      <c r="I2580">
        <v>1</v>
      </c>
      <c r="J2580">
        <v>3</v>
      </c>
      <c r="K2580" s="6">
        <v>1</v>
      </c>
      <c r="L2580" s="2">
        <v>6.99</v>
      </c>
      <c r="M2580" s="6">
        <v>5</v>
      </c>
      <c r="N2580" t="str" cm="1">
        <f t="array" ref="N2580">_xlfn.IFS(M2580&gt;=50,"50-60 Days", M2580&gt;=40,"40-50 Days", M2580&gt;=30, "30-40 Days", M2580&gt;=20, "20-30 Days", M2580&gt;=10, "10-20 Days", M2580&gt;=0, "0-10 Days")</f>
        <v>0-10 Days</v>
      </c>
    </row>
    <row r="2581" spans="1:14">
      <c r="A2581">
        <v>2580</v>
      </c>
      <c r="B2581" t="s">
        <v>28</v>
      </c>
      <c r="C2581" s="5">
        <v>45181</v>
      </c>
      <c r="D2581" s="8">
        <v>45181</v>
      </c>
      <c r="E2581" s="8">
        <f>IF(B2581="Inactive", EDATE(D2581,K2581), "")</f>
        <v>45547</v>
      </c>
      <c r="F2581" t="s">
        <v>12</v>
      </c>
      <c r="G2581">
        <v>18.899999999999999</v>
      </c>
      <c r="H2581" t="str" cm="1">
        <f t="array" ref="H2581">_xlfn.IFS(G2581&gt;=20,"20-25", G2581&gt;=15,"15-20", G2581&gt;=10,"10-15", G2581&gt;=5,"5-10", G2581&gt;=1,"1-5", G2581&lt;1,"Less than 1")</f>
        <v>15-20</v>
      </c>
      <c r="I2581">
        <v>8</v>
      </c>
      <c r="J2581">
        <v>3</v>
      </c>
      <c r="K2581" s="6">
        <v>12</v>
      </c>
      <c r="L2581" s="2">
        <v>1.99</v>
      </c>
      <c r="M2581" s="6">
        <v>13</v>
      </c>
      <c r="N2581" t="str" cm="1">
        <f t="array" ref="N2581">_xlfn.IFS(M2581&gt;=50,"50-60 Days", M2581&gt;=40,"40-50 Days", M2581&gt;=30, "30-40 Days", M2581&gt;=20, "20-30 Days", M2581&gt;=10, "10-20 Days", M2581&gt;=0, "0-10 Days")</f>
        <v>10-20 Days</v>
      </c>
    </row>
    <row r="2582" spans="1:14">
      <c r="A2582">
        <v>2581</v>
      </c>
      <c r="B2582" t="s">
        <v>28</v>
      </c>
      <c r="C2582" s="5">
        <v>45315</v>
      </c>
      <c r="D2582" s="8">
        <v>45315</v>
      </c>
      <c r="E2582" s="8">
        <f>IF(B2582="Inactive", EDATE(D2582,K2582), "")</f>
        <v>45406</v>
      </c>
      <c r="F2582" t="s">
        <v>14</v>
      </c>
      <c r="G2582">
        <v>3</v>
      </c>
      <c r="H2582" t="str" cm="1">
        <f t="array" ref="H2582">_xlfn.IFS(G2582&gt;=20,"20-25", G2582&gt;=15,"15-20", G2582&gt;=10,"10-15", G2582&gt;=5,"5-10", G2582&gt;=1,"1-5", G2582&lt;1,"Less than 1")</f>
        <v>1-5</v>
      </c>
      <c r="I2582">
        <v>4</v>
      </c>
      <c r="J2582">
        <v>2</v>
      </c>
      <c r="K2582" s="6">
        <v>3</v>
      </c>
      <c r="L2582" s="2">
        <v>3.99</v>
      </c>
      <c r="M2582" s="6">
        <v>23</v>
      </c>
      <c r="N2582" t="str" cm="1">
        <f t="array" ref="N2582">_xlfn.IFS(M2582&gt;=50,"50-60 Days", M2582&gt;=40,"40-50 Days", M2582&gt;=30, "30-40 Days", M2582&gt;=20, "20-30 Days", M2582&gt;=10, "10-20 Days", M2582&gt;=0, "0-10 Days")</f>
        <v>20-30 Days</v>
      </c>
    </row>
    <row r="2583" spans="1:14">
      <c r="A2583">
        <v>2582</v>
      </c>
      <c r="B2583" t="s">
        <v>29</v>
      </c>
      <c r="C2583" s="5">
        <v>45521</v>
      </c>
      <c r="D2583" s="8">
        <v>45521</v>
      </c>
      <c r="E2583" s="8" t="str">
        <f>IF(B2583="Inactive", EDATE(D2583,K2583), "")</f>
        <v/>
      </c>
      <c r="F2583" t="s">
        <v>14</v>
      </c>
      <c r="G2583">
        <v>1.7</v>
      </c>
      <c r="H2583" t="str" cm="1">
        <f t="array" ref="H2583">_xlfn.IFS(G2583&gt;=20,"20-25", G2583&gt;=15,"15-20", G2583&gt;=10,"10-15", G2583&gt;=5,"5-10", G2583&gt;=1,"1-5", G2583&lt;1,"Less than 1")</f>
        <v>1-5</v>
      </c>
      <c r="I2583">
        <v>4</v>
      </c>
      <c r="J2583">
        <v>1</v>
      </c>
      <c r="K2583" s="6">
        <v>1</v>
      </c>
      <c r="L2583" s="2">
        <v>3.99</v>
      </c>
      <c r="M2583" s="6">
        <v>19</v>
      </c>
      <c r="N2583" t="str" cm="1">
        <f t="array" ref="N2583">_xlfn.IFS(M2583&gt;=50,"50-60 Days", M2583&gt;=40,"40-50 Days", M2583&gt;=30, "30-40 Days", M2583&gt;=20, "20-30 Days", M2583&gt;=10, "10-20 Days", M2583&gt;=0, "0-10 Days")</f>
        <v>10-20 Days</v>
      </c>
    </row>
    <row r="2584" spans="1:14">
      <c r="A2584">
        <v>2583</v>
      </c>
      <c r="B2584" t="s">
        <v>28</v>
      </c>
      <c r="C2584" s="5">
        <v>45497</v>
      </c>
      <c r="D2584" s="8">
        <v>45497</v>
      </c>
      <c r="E2584" s="8">
        <f>IF(B2584="Inactive", EDATE(D2584,K2584), "")</f>
        <v>45620</v>
      </c>
      <c r="F2584" t="s">
        <v>14</v>
      </c>
      <c r="G2584">
        <v>1.7</v>
      </c>
      <c r="H2584" t="str" cm="1">
        <f t="array" ref="H2584">_xlfn.IFS(G2584&gt;=20,"20-25", G2584&gt;=15,"15-20", G2584&gt;=10,"10-15", G2584&gt;=5,"5-10", G2584&gt;=1,"1-5", G2584&lt;1,"Less than 1")</f>
        <v>1-5</v>
      </c>
      <c r="I2584">
        <v>6</v>
      </c>
      <c r="J2584">
        <v>3</v>
      </c>
      <c r="K2584" s="6">
        <v>4</v>
      </c>
      <c r="L2584" s="2">
        <v>3.99</v>
      </c>
      <c r="M2584" s="6">
        <v>43</v>
      </c>
      <c r="N2584" t="str" cm="1">
        <f t="array" ref="N2584">_xlfn.IFS(M2584&gt;=50,"50-60 Days", M2584&gt;=40,"40-50 Days", M2584&gt;=30, "30-40 Days", M2584&gt;=20, "20-30 Days", M2584&gt;=10, "10-20 Days", M2584&gt;=0, "0-10 Days")</f>
        <v>40-50 Days</v>
      </c>
    </row>
    <row r="2585" spans="1:14">
      <c r="A2585">
        <v>2584</v>
      </c>
      <c r="B2585" t="s">
        <v>29</v>
      </c>
      <c r="C2585" s="5">
        <v>45195</v>
      </c>
      <c r="D2585" s="8">
        <v>45195</v>
      </c>
      <c r="E2585" s="8" t="str">
        <f>IF(B2585="Inactive", EDATE(D2585,K2585), "")</f>
        <v/>
      </c>
      <c r="F2585" t="s">
        <v>10</v>
      </c>
      <c r="G2585">
        <v>11.1</v>
      </c>
      <c r="H2585" t="str" cm="1">
        <f t="array" ref="H2585">_xlfn.IFS(G2585&gt;=20,"20-25", G2585&gt;=15,"15-20", G2585&gt;=10,"10-15", G2585&gt;=5,"5-10", G2585&gt;=1,"1-5", G2585&lt;1,"Less than 1")</f>
        <v>10-15</v>
      </c>
      <c r="I2585">
        <v>6</v>
      </c>
      <c r="J2585">
        <v>0</v>
      </c>
      <c r="K2585" s="6">
        <v>10</v>
      </c>
      <c r="L2585" s="2">
        <v>6.99</v>
      </c>
      <c r="M2585" s="6">
        <v>20</v>
      </c>
      <c r="N2585" t="str" cm="1">
        <f t="array" ref="N2585">_xlfn.IFS(M2585&gt;=50,"50-60 Days", M2585&gt;=40,"40-50 Days", M2585&gt;=30, "30-40 Days", M2585&gt;=20, "20-30 Days", M2585&gt;=10, "10-20 Days", M2585&gt;=0, "0-10 Days")</f>
        <v>20-30 Days</v>
      </c>
    </row>
    <row r="2586" spans="1:14">
      <c r="A2586">
        <v>2585</v>
      </c>
      <c r="B2586" t="s">
        <v>29</v>
      </c>
      <c r="C2586" s="5">
        <v>45428</v>
      </c>
      <c r="D2586" s="8">
        <v>45428</v>
      </c>
      <c r="E2586" s="8" t="str">
        <f>IF(B2586="Inactive", EDATE(D2586,K2586), "")</f>
        <v/>
      </c>
      <c r="F2586" t="s">
        <v>12</v>
      </c>
      <c r="G2586">
        <v>20.6</v>
      </c>
      <c r="H2586" t="str" cm="1">
        <f t="array" ref="H2586">_xlfn.IFS(G2586&gt;=20,"20-25", G2586&gt;=15,"15-20", G2586&gt;=10,"10-15", G2586&gt;=5,"5-10", G2586&gt;=1,"1-5", G2586&lt;1,"Less than 1")</f>
        <v>20-25</v>
      </c>
      <c r="I2586">
        <v>4</v>
      </c>
      <c r="J2586">
        <v>2</v>
      </c>
      <c r="K2586" s="6">
        <v>1</v>
      </c>
      <c r="L2586" s="2">
        <v>1.99</v>
      </c>
      <c r="M2586" s="6">
        <v>27</v>
      </c>
      <c r="N2586" t="str" cm="1">
        <f t="array" ref="N2586">_xlfn.IFS(M2586&gt;=50,"50-60 Days", M2586&gt;=40,"40-50 Days", M2586&gt;=30, "30-40 Days", M2586&gt;=20, "20-30 Days", M2586&gt;=10, "10-20 Days", M2586&gt;=0, "0-10 Days")</f>
        <v>20-30 Days</v>
      </c>
    </row>
    <row r="2587" spans="1:14">
      <c r="A2587">
        <v>2586</v>
      </c>
      <c r="B2587" t="s">
        <v>29</v>
      </c>
      <c r="C2587" s="5">
        <v>45242</v>
      </c>
      <c r="D2587" s="8">
        <v>45242</v>
      </c>
      <c r="E2587" s="8" t="str">
        <f>IF(B2587="Inactive", EDATE(D2587,K2587), "")</f>
        <v/>
      </c>
      <c r="F2587" t="s">
        <v>14</v>
      </c>
      <c r="G2587">
        <v>13.7</v>
      </c>
      <c r="H2587" t="str" cm="1">
        <f t="array" ref="H2587">_xlfn.IFS(G2587&gt;=20,"20-25", G2587&gt;=15,"15-20", G2587&gt;=10,"10-15", G2587&gt;=5,"5-10", G2587&gt;=1,"1-5", G2587&lt;1,"Less than 1")</f>
        <v>10-15</v>
      </c>
      <c r="I2587">
        <v>0</v>
      </c>
      <c r="J2587">
        <v>4</v>
      </c>
      <c r="K2587" s="6">
        <v>8</v>
      </c>
      <c r="L2587" s="2">
        <v>3.99</v>
      </c>
      <c r="M2587" s="6">
        <v>28</v>
      </c>
      <c r="N2587" t="str" cm="1">
        <f t="array" ref="N2587">_xlfn.IFS(M2587&gt;=50,"50-60 Days", M2587&gt;=40,"40-50 Days", M2587&gt;=30, "30-40 Days", M2587&gt;=20, "20-30 Days", M2587&gt;=10, "10-20 Days", M2587&gt;=0, "0-10 Days")</f>
        <v>20-30 Days</v>
      </c>
    </row>
    <row r="2588" spans="1:14">
      <c r="A2588">
        <v>2587</v>
      </c>
      <c r="B2588" t="s">
        <v>28</v>
      </c>
      <c r="C2588" s="5">
        <v>45175</v>
      </c>
      <c r="D2588" s="8">
        <v>45175</v>
      </c>
      <c r="E2588" s="8">
        <f>IF(B2588="Inactive", EDATE(D2588,K2588), "")</f>
        <v>45328</v>
      </c>
      <c r="F2588" t="s">
        <v>14</v>
      </c>
      <c r="G2588">
        <v>5.2</v>
      </c>
      <c r="H2588" t="str" cm="1">
        <f t="array" ref="H2588">_xlfn.IFS(G2588&gt;=20,"20-25", G2588&gt;=15,"15-20", G2588&gt;=10,"10-15", G2588&gt;=5,"5-10", G2588&gt;=1,"1-5", G2588&lt;1,"Less than 1")</f>
        <v>5-10</v>
      </c>
      <c r="I2588">
        <v>8</v>
      </c>
      <c r="J2588">
        <v>4</v>
      </c>
      <c r="K2588" s="6">
        <v>5</v>
      </c>
      <c r="L2588" s="2">
        <v>3.99</v>
      </c>
      <c r="M2588" s="6">
        <v>1</v>
      </c>
      <c r="N2588" t="str" cm="1">
        <f t="array" ref="N2588">_xlfn.IFS(M2588&gt;=50,"50-60 Days", M2588&gt;=40,"40-50 Days", M2588&gt;=30, "30-40 Days", M2588&gt;=20, "20-30 Days", M2588&gt;=10, "10-20 Days", M2588&gt;=0, "0-10 Days")</f>
        <v>0-10 Days</v>
      </c>
    </row>
    <row r="2589" spans="1:14">
      <c r="A2589">
        <v>2588</v>
      </c>
      <c r="B2589" t="s">
        <v>29</v>
      </c>
      <c r="C2589" s="5">
        <v>45355</v>
      </c>
      <c r="D2589" s="8">
        <v>45355</v>
      </c>
      <c r="E2589" s="8" t="str">
        <f>IF(B2589="Inactive", EDATE(D2589,K2589), "")</f>
        <v/>
      </c>
      <c r="F2589" t="s">
        <v>14</v>
      </c>
      <c r="G2589">
        <v>20.100000000000001</v>
      </c>
      <c r="H2589" t="str" cm="1">
        <f t="array" ref="H2589">_xlfn.IFS(G2589&gt;=20,"20-25", G2589&gt;=15,"15-20", G2589&gt;=10,"10-15", G2589&gt;=5,"5-10", G2589&gt;=1,"1-5", G2589&lt;1,"Less than 1")</f>
        <v>20-25</v>
      </c>
      <c r="I2589">
        <v>6</v>
      </c>
      <c r="J2589">
        <v>1</v>
      </c>
      <c r="K2589" s="6">
        <v>6</v>
      </c>
      <c r="L2589" s="2">
        <v>3.99</v>
      </c>
      <c r="M2589" s="6">
        <v>54</v>
      </c>
      <c r="N2589" t="str" cm="1">
        <f t="array" ref="N2589">_xlfn.IFS(M2589&gt;=50,"50-60 Days", M2589&gt;=40,"40-50 Days", M2589&gt;=30, "30-40 Days", M2589&gt;=20, "20-30 Days", M2589&gt;=10, "10-20 Days", M2589&gt;=0, "0-10 Days")</f>
        <v>50-60 Days</v>
      </c>
    </row>
    <row r="2590" spans="1:14">
      <c r="A2590">
        <v>2589</v>
      </c>
      <c r="B2590" t="s">
        <v>28</v>
      </c>
      <c r="C2590" s="5">
        <v>45282</v>
      </c>
      <c r="D2590" s="8">
        <v>45282</v>
      </c>
      <c r="E2590" s="8">
        <f>IF(B2590="Inactive", EDATE(D2590,K2590), "")</f>
        <v>45495</v>
      </c>
      <c r="F2590" t="s">
        <v>14</v>
      </c>
      <c r="G2590">
        <v>1.8</v>
      </c>
      <c r="H2590" t="str" cm="1">
        <f t="array" ref="H2590">_xlfn.IFS(G2590&gt;=20,"20-25", G2590&gt;=15,"15-20", G2590&gt;=10,"10-15", G2590&gt;=5,"5-10", G2590&gt;=1,"1-5", G2590&lt;1,"Less than 1")</f>
        <v>1-5</v>
      </c>
      <c r="I2590">
        <v>6</v>
      </c>
      <c r="J2590">
        <v>5</v>
      </c>
      <c r="K2590" s="6">
        <v>7</v>
      </c>
      <c r="L2590" s="2">
        <v>3.99</v>
      </c>
      <c r="M2590" s="6">
        <v>21</v>
      </c>
      <c r="N2590" t="str" cm="1">
        <f t="array" ref="N2590">_xlfn.IFS(M2590&gt;=50,"50-60 Days", M2590&gt;=40,"40-50 Days", M2590&gt;=30, "30-40 Days", M2590&gt;=20, "20-30 Days", M2590&gt;=10, "10-20 Days", M2590&gt;=0, "0-10 Days")</f>
        <v>20-30 Days</v>
      </c>
    </row>
    <row r="2591" spans="1:14">
      <c r="A2591">
        <v>2590</v>
      </c>
      <c r="B2591" t="s">
        <v>28</v>
      </c>
      <c r="C2591" s="5">
        <v>45106</v>
      </c>
      <c r="D2591" s="8">
        <v>45106</v>
      </c>
      <c r="E2591" s="8">
        <f>IF(B2591="Inactive", EDATE(D2591,K2591), "")</f>
        <v>45167</v>
      </c>
      <c r="F2591" t="s">
        <v>12</v>
      </c>
      <c r="G2591">
        <v>0.7</v>
      </c>
      <c r="H2591" t="str" cm="1">
        <f t="array" ref="H2591">_xlfn.IFS(G2591&gt;=20,"20-25", G2591&gt;=15,"15-20", G2591&gt;=10,"10-15", G2591&gt;=5,"5-10", G2591&gt;=1,"1-5", G2591&lt;1,"Less than 1")</f>
        <v>Less than 1</v>
      </c>
      <c r="I2591">
        <v>6</v>
      </c>
      <c r="J2591">
        <v>1</v>
      </c>
      <c r="K2591" s="6">
        <v>2</v>
      </c>
      <c r="L2591" s="2">
        <v>1.99</v>
      </c>
      <c r="M2591" s="6">
        <v>54</v>
      </c>
      <c r="N2591" t="str" cm="1">
        <f t="array" ref="N2591">_xlfn.IFS(M2591&gt;=50,"50-60 Days", M2591&gt;=40,"40-50 Days", M2591&gt;=30, "30-40 Days", M2591&gt;=20, "20-30 Days", M2591&gt;=10, "10-20 Days", M2591&gt;=0, "0-10 Days")</f>
        <v>50-60 Days</v>
      </c>
    </row>
    <row r="2592" spans="1:14">
      <c r="A2592">
        <v>2591</v>
      </c>
      <c r="B2592" t="s">
        <v>28</v>
      </c>
      <c r="C2592" s="5">
        <v>45599</v>
      </c>
      <c r="D2592" s="8">
        <v>45599</v>
      </c>
      <c r="E2592" s="8">
        <f>IF(B2592="Inactive", EDATE(D2592,K2592), "")</f>
        <v>45811</v>
      </c>
      <c r="F2592" t="s">
        <v>12</v>
      </c>
      <c r="G2592">
        <v>4.9000000000000004</v>
      </c>
      <c r="H2592" t="str" cm="1">
        <f t="array" ref="H2592">_xlfn.IFS(G2592&gt;=20,"20-25", G2592&gt;=15,"15-20", G2592&gt;=10,"10-15", G2592&gt;=5,"5-10", G2592&gt;=1,"1-5", G2592&lt;1,"Less than 1")</f>
        <v>1-5</v>
      </c>
      <c r="I2592">
        <v>7</v>
      </c>
      <c r="J2592">
        <v>3</v>
      </c>
      <c r="K2592" s="6">
        <v>7</v>
      </c>
      <c r="L2592" s="2">
        <v>1.99</v>
      </c>
      <c r="M2592" s="6">
        <v>56</v>
      </c>
      <c r="N2592" t="str" cm="1">
        <f t="array" ref="N2592">_xlfn.IFS(M2592&gt;=50,"50-60 Days", M2592&gt;=40,"40-50 Days", M2592&gt;=30, "30-40 Days", M2592&gt;=20, "20-30 Days", M2592&gt;=10, "10-20 Days", M2592&gt;=0, "0-10 Days")</f>
        <v>50-60 Days</v>
      </c>
    </row>
    <row r="2593" spans="1:14">
      <c r="A2593">
        <v>2592</v>
      </c>
      <c r="B2593" t="s">
        <v>28</v>
      </c>
      <c r="C2593" s="5">
        <v>45033</v>
      </c>
      <c r="D2593" s="8">
        <v>45033</v>
      </c>
      <c r="E2593" s="8">
        <f>IF(B2593="Inactive", EDATE(D2593,K2593), "")</f>
        <v>45247</v>
      </c>
      <c r="F2593" t="s">
        <v>14</v>
      </c>
      <c r="G2593">
        <v>10.3</v>
      </c>
      <c r="H2593" t="str" cm="1">
        <f t="array" ref="H2593">_xlfn.IFS(G2593&gt;=20,"20-25", G2593&gt;=15,"15-20", G2593&gt;=10,"10-15", G2593&gt;=5,"5-10", G2593&gt;=1,"1-5", G2593&lt;1,"Less than 1")</f>
        <v>10-15</v>
      </c>
      <c r="I2593">
        <v>5</v>
      </c>
      <c r="J2593">
        <v>4</v>
      </c>
      <c r="K2593" s="6">
        <v>7</v>
      </c>
      <c r="L2593" s="2">
        <v>3.99</v>
      </c>
      <c r="M2593" s="6">
        <v>4</v>
      </c>
      <c r="N2593" t="str" cm="1">
        <f t="array" ref="N2593">_xlfn.IFS(M2593&gt;=50,"50-60 Days", M2593&gt;=40,"40-50 Days", M2593&gt;=30, "30-40 Days", M2593&gt;=20, "20-30 Days", M2593&gt;=10, "10-20 Days", M2593&gt;=0, "0-10 Days")</f>
        <v>0-10 Days</v>
      </c>
    </row>
    <row r="2594" spans="1:14">
      <c r="A2594">
        <v>2593</v>
      </c>
      <c r="B2594" t="s">
        <v>29</v>
      </c>
      <c r="C2594" s="5">
        <v>45442</v>
      </c>
      <c r="D2594" s="8">
        <v>45442</v>
      </c>
      <c r="E2594" s="8" t="str">
        <f>IF(B2594="Inactive", EDATE(D2594,K2594), "")</f>
        <v/>
      </c>
      <c r="F2594" t="s">
        <v>12</v>
      </c>
      <c r="G2594">
        <v>7.4</v>
      </c>
      <c r="H2594" t="str" cm="1">
        <f t="array" ref="H2594">_xlfn.IFS(G2594&gt;=20,"20-25", G2594&gt;=15,"15-20", G2594&gt;=10,"10-15", G2594&gt;=5,"5-10", G2594&gt;=1,"1-5", G2594&lt;1,"Less than 1")</f>
        <v>5-10</v>
      </c>
      <c r="I2594">
        <v>1</v>
      </c>
      <c r="J2594">
        <v>0</v>
      </c>
      <c r="K2594" s="6">
        <v>4</v>
      </c>
      <c r="L2594" s="2">
        <v>1.99</v>
      </c>
      <c r="M2594" s="6">
        <v>23</v>
      </c>
      <c r="N2594" t="str" cm="1">
        <f t="array" ref="N2594">_xlfn.IFS(M2594&gt;=50,"50-60 Days", M2594&gt;=40,"40-50 Days", M2594&gt;=30, "30-40 Days", M2594&gt;=20, "20-30 Days", M2594&gt;=10, "10-20 Days", M2594&gt;=0, "0-10 Days")</f>
        <v>20-30 Days</v>
      </c>
    </row>
    <row r="2595" spans="1:14">
      <c r="A2595">
        <v>2594</v>
      </c>
      <c r="B2595" t="s">
        <v>29</v>
      </c>
      <c r="C2595" s="5">
        <v>45476</v>
      </c>
      <c r="D2595" s="8">
        <v>45476</v>
      </c>
      <c r="E2595" s="8" t="str">
        <f>IF(B2595="Inactive", EDATE(D2595,K2595), "")</f>
        <v/>
      </c>
      <c r="F2595" t="s">
        <v>14</v>
      </c>
      <c r="G2595">
        <v>20</v>
      </c>
      <c r="H2595" t="str" cm="1">
        <f t="array" ref="H2595">_xlfn.IFS(G2595&gt;=20,"20-25", G2595&gt;=15,"15-20", G2595&gt;=10,"10-15", G2595&gt;=5,"5-10", G2595&gt;=1,"1-5", G2595&lt;1,"Less than 1")</f>
        <v>20-25</v>
      </c>
      <c r="I2595">
        <v>6</v>
      </c>
      <c r="J2595">
        <v>0</v>
      </c>
      <c r="K2595" s="6">
        <v>12</v>
      </c>
      <c r="L2595" s="2">
        <v>3.99</v>
      </c>
      <c r="M2595" s="6">
        <v>0</v>
      </c>
      <c r="N2595" t="str" cm="1">
        <f t="array" ref="N2595">_xlfn.IFS(M2595&gt;=50,"50-60 Days", M2595&gt;=40,"40-50 Days", M2595&gt;=30, "30-40 Days", M2595&gt;=20, "20-30 Days", M2595&gt;=10, "10-20 Days", M2595&gt;=0, "0-10 Days")</f>
        <v>0-10 Days</v>
      </c>
    </row>
    <row r="2596" spans="1:14">
      <c r="A2596">
        <v>2595</v>
      </c>
      <c r="B2596" t="s">
        <v>28</v>
      </c>
      <c r="C2596" s="5">
        <v>45499</v>
      </c>
      <c r="D2596" s="8">
        <v>45499</v>
      </c>
      <c r="E2596" s="8">
        <f>IF(B2596="Inactive", EDATE(D2596,K2596), "")</f>
        <v>45591</v>
      </c>
      <c r="F2596" t="s">
        <v>12</v>
      </c>
      <c r="G2596">
        <v>12.1</v>
      </c>
      <c r="H2596" t="str" cm="1">
        <f t="array" ref="H2596">_xlfn.IFS(G2596&gt;=20,"20-25", G2596&gt;=15,"15-20", G2596&gt;=10,"10-15", G2596&gt;=5,"5-10", G2596&gt;=1,"1-5", G2596&lt;1,"Less than 1")</f>
        <v>10-15</v>
      </c>
      <c r="I2596">
        <v>8</v>
      </c>
      <c r="J2596">
        <v>3</v>
      </c>
      <c r="K2596" s="6">
        <v>3</v>
      </c>
      <c r="L2596" s="2">
        <v>1.99</v>
      </c>
      <c r="M2596" s="6">
        <v>30</v>
      </c>
      <c r="N2596" t="str" cm="1">
        <f t="array" ref="N2596">_xlfn.IFS(M2596&gt;=50,"50-60 Days", M2596&gt;=40,"40-50 Days", M2596&gt;=30, "30-40 Days", M2596&gt;=20, "20-30 Days", M2596&gt;=10, "10-20 Days", M2596&gt;=0, "0-10 Days")</f>
        <v>30-40 Days</v>
      </c>
    </row>
    <row r="2597" spans="1:14">
      <c r="A2597">
        <v>2596</v>
      </c>
      <c r="B2597" t="s">
        <v>29</v>
      </c>
      <c r="C2597" s="5">
        <v>45293</v>
      </c>
      <c r="D2597" s="8">
        <v>45293</v>
      </c>
      <c r="E2597" s="8" t="str">
        <f>IF(B2597="Inactive", EDATE(D2597,K2597), "")</f>
        <v/>
      </c>
      <c r="F2597" t="s">
        <v>12</v>
      </c>
      <c r="G2597">
        <v>21.9</v>
      </c>
      <c r="H2597" t="str" cm="1">
        <f t="array" ref="H2597">_xlfn.IFS(G2597&gt;=20,"20-25", G2597&gt;=15,"15-20", G2597&gt;=10,"10-15", G2597&gt;=5,"5-10", G2597&gt;=1,"1-5", G2597&lt;1,"Less than 1")</f>
        <v>20-25</v>
      </c>
      <c r="I2597">
        <v>2</v>
      </c>
      <c r="J2597">
        <v>4</v>
      </c>
      <c r="K2597" s="6">
        <v>5</v>
      </c>
      <c r="L2597" s="2">
        <v>1.99</v>
      </c>
      <c r="M2597" s="6">
        <v>38</v>
      </c>
      <c r="N2597" t="str" cm="1">
        <f t="array" ref="N2597">_xlfn.IFS(M2597&gt;=50,"50-60 Days", M2597&gt;=40,"40-50 Days", M2597&gt;=30, "30-40 Days", M2597&gt;=20, "20-30 Days", M2597&gt;=10, "10-20 Days", M2597&gt;=0, "0-10 Days")</f>
        <v>30-40 Days</v>
      </c>
    </row>
    <row r="2598" spans="1:14">
      <c r="A2598">
        <v>2597</v>
      </c>
      <c r="B2598" t="s">
        <v>29</v>
      </c>
      <c r="C2598" s="5">
        <v>45345</v>
      </c>
      <c r="D2598" s="8">
        <v>45345</v>
      </c>
      <c r="E2598" s="8" t="str">
        <f>IF(B2598="Inactive", EDATE(D2598,K2598), "")</f>
        <v/>
      </c>
      <c r="F2598" t="s">
        <v>14</v>
      </c>
      <c r="G2598">
        <v>23.3</v>
      </c>
      <c r="H2598" t="str" cm="1">
        <f t="array" ref="H2598">_xlfn.IFS(G2598&gt;=20,"20-25", G2598&gt;=15,"15-20", G2598&gt;=10,"10-15", G2598&gt;=5,"5-10", G2598&gt;=1,"1-5", G2598&lt;1,"Less than 1")</f>
        <v>20-25</v>
      </c>
      <c r="I2598">
        <v>4</v>
      </c>
      <c r="J2598">
        <v>3</v>
      </c>
      <c r="K2598" s="6">
        <v>1</v>
      </c>
      <c r="L2598" s="2">
        <v>3.99</v>
      </c>
      <c r="M2598" s="6">
        <v>8</v>
      </c>
      <c r="N2598" t="str" cm="1">
        <f t="array" ref="N2598">_xlfn.IFS(M2598&gt;=50,"50-60 Days", M2598&gt;=40,"40-50 Days", M2598&gt;=30, "30-40 Days", M2598&gt;=20, "20-30 Days", M2598&gt;=10, "10-20 Days", M2598&gt;=0, "0-10 Days")</f>
        <v>0-10 Days</v>
      </c>
    </row>
    <row r="2599" spans="1:14">
      <c r="A2599">
        <v>2598</v>
      </c>
      <c r="B2599" t="s">
        <v>29</v>
      </c>
      <c r="C2599" s="5">
        <v>45095</v>
      </c>
      <c r="D2599" s="8">
        <v>45095</v>
      </c>
      <c r="E2599" s="8" t="str">
        <f>IF(B2599="Inactive", EDATE(D2599,K2599), "")</f>
        <v/>
      </c>
      <c r="F2599" t="s">
        <v>14</v>
      </c>
      <c r="G2599">
        <v>16.100000000000001</v>
      </c>
      <c r="H2599" t="str" cm="1">
        <f t="array" ref="H2599">_xlfn.IFS(G2599&gt;=20,"20-25", G2599&gt;=15,"15-20", G2599&gt;=10,"10-15", G2599&gt;=5,"5-10", G2599&gt;=1,"1-5", G2599&lt;1,"Less than 1")</f>
        <v>15-20</v>
      </c>
      <c r="I2599">
        <v>6</v>
      </c>
      <c r="J2599">
        <v>0</v>
      </c>
      <c r="K2599" s="6">
        <v>4</v>
      </c>
      <c r="L2599" s="2">
        <v>3.99</v>
      </c>
      <c r="M2599" s="6">
        <v>9</v>
      </c>
      <c r="N2599" t="str" cm="1">
        <f t="array" ref="N2599">_xlfn.IFS(M2599&gt;=50,"50-60 Days", M2599&gt;=40,"40-50 Days", M2599&gt;=30, "30-40 Days", M2599&gt;=20, "20-30 Days", M2599&gt;=10, "10-20 Days", M2599&gt;=0, "0-10 Days")</f>
        <v>0-10 Days</v>
      </c>
    </row>
    <row r="2600" spans="1:14">
      <c r="A2600">
        <v>2599</v>
      </c>
      <c r="B2600" t="s">
        <v>29</v>
      </c>
      <c r="C2600" s="5">
        <v>45277</v>
      </c>
      <c r="D2600" s="8">
        <v>45277</v>
      </c>
      <c r="E2600" s="8" t="str">
        <f>IF(B2600="Inactive", EDATE(D2600,K2600), "")</f>
        <v/>
      </c>
      <c r="F2600" t="s">
        <v>12</v>
      </c>
      <c r="G2600">
        <v>13.5</v>
      </c>
      <c r="H2600" t="str" cm="1">
        <f t="array" ref="H2600">_xlfn.IFS(G2600&gt;=20,"20-25", G2600&gt;=15,"15-20", G2600&gt;=10,"10-15", G2600&gt;=5,"5-10", G2600&gt;=1,"1-5", G2600&lt;1,"Less than 1")</f>
        <v>10-15</v>
      </c>
      <c r="I2600">
        <v>3</v>
      </c>
      <c r="J2600">
        <v>5</v>
      </c>
      <c r="K2600" s="6">
        <v>5</v>
      </c>
      <c r="L2600" s="2">
        <v>1.99</v>
      </c>
      <c r="M2600" s="6">
        <v>48</v>
      </c>
      <c r="N2600" t="str" cm="1">
        <f t="array" ref="N2600">_xlfn.IFS(M2600&gt;=50,"50-60 Days", M2600&gt;=40,"40-50 Days", M2600&gt;=30, "30-40 Days", M2600&gt;=20, "20-30 Days", M2600&gt;=10, "10-20 Days", M2600&gt;=0, "0-10 Days")</f>
        <v>40-50 Days</v>
      </c>
    </row>
    <row r="2601" spans="1:14">
      <c r="A2601">
        <v>2600</v>
      </c>
      <c r="B2601" t="s">
        <v>28</v>
      </c>
      <c r="C2601" s="5">
        <v>45285</v>
      </c>
      <c r="D2601" s="8">
        <v>45285</v>
      </c>
      <c r="E2601" s="8">
        <f>IF(B2601="Inactive", EDATE(D2601,K2601), "")</f>
        <v>45590</v>
      </c>
      <c r="F2601" t="s">
        <v>12</v>
      </c>
      <c r="G2601">
        <v>9</v>
      </c>
      <c r="H2601" t="str" cm="1">
        <f t="array" ref="H2601">_xlfn.IFS(G2601&gt;=20,"20-25", G2601&gt;=15,"15-20", G2601&gt;=10,"10-15", G2601&gt;=5,"5-10", G2601&gt;=1,"1-5", G2601&lt;1,"Less than 1")</f>
        <v>5-10</v>
      </c>
      <c r="I2601">
        <v>6</v>
      </c>
      <c r="J2601">
        <v>4</v>
      </c>
      <c r="K2601" s="6">
        <v>10</v>
      </c>
      <c r="L2601" s="2">
        <v>1.99</v>
      </c>
      <c r="M2601" s="6">
        <v>3</v>
      </c>
      <c r="N2601" t="str" cm="1">
        <f t="array" ref="N2601">_xlfn.IFS(M2601&gt;=50,"50-60 Days", M2601&gt;=40,"40-50 Days", M2601&gt;=30, "30-40 Days", M2601&gt;=20, "20-30 Days", M2601&gt;=10, "10-20 Days", M2601&gt;=0, "0-10 Days")</f>
        <v>0-10 Days</v>
      </c>
    </row>
    <row r="2602" spans="1:14">
      <c r="A2602">
        <v>2601</v>
      </c>
      <c r="B2602" t="s">
        <v>28</v>
      </c>
      <c r="C2602" s="5">
        <v>45053</v>
      </c>
      <c r="D2602" s="8">
        <v>45053</v>
      </c>
      <c r="E2602" s="8">
        <f>IF(B2602="Inactive", EDATE(D2602,K2602), "")</f>
        <v>45176</v>
      </c>
      <c r="F2602" t="s">
        <v>10</v>
      </c>
      <c r="G2602">
        <v>9.5</v>
      </c>
      <c r="H2602" t="str" cm="1">
        <f t="array" ref="H2602">_xlfn.IFS(G2602&gt;=20,"20-25", G2602&gt;=15,"15-20", G2602&gt;=10,"10-15", G2602&gt;=5,"5-10", G2602&gt;=1,"1-5", G2602&lt;1,"Less than 1")</f>
        <v>5-10</v>
      </c>
      <c r="I2602">
        <v>4</v>
      </c>
      <c r="J2602">
        <v>4</v>
      </c>
      <c r="K2602" s="6">
        <v>4</v>
      </c>
      <c r="L2602" s="2">
        <v>6.99</v>
      </c>
      <c r="M2602" s="6">
        <v>11</v>
      </c>
      <c r="N2602" t="str" cm="1">
        <f t="array" ref="N2602">_xlfn.IFS(M2602&gt;=50,"50-60 Days", M2602&gt;=40,"40-50 Days", M2602&gt;=30, "30-40 Days", M2602&gt;=20, "20-30 Days", M2602&gt;=10, "10-20 Days", M2602&gt;=0, "0-10 Days")</f>
        <v>10-20 Days</v>
      </c>
    </row>
    <row r="2603" spans="1:14">
      <c r="A2603">
        <v>2602</v>
      </c>
      <c r="B2603" t="s">
        <v>29</v>
      </c>
      <c r="C2603" s="5">
        <v>45297</v>
      </c>
      <c r="D2603" s="8">
        <v>45297</v>
      </c>
      <c r="E2603" s="8" t="str">
        <f>IF(B2603="Inactive", EDATE(D2603,K2603), "")</f>
        <v/>
      </c>
      <c r="F2603" t="s">
        <v>10</v>
      </c>
      <c r="G2603">
        <v>17.5</v>
      </c>
      <c r="H2603" t="str" cm="1">
        <f t="array" ref="H2603">_xlfn.IFS(G2603&gt;=20,"20-25", G2603&gt;=15,"15-20", G2603&gt;=10,"10-15", G2603&gt;=5,"5-10", G2603&gt;=1,"1-5", G2603&lt;1,"Less than 1")</f>
        <v>15-20</v>
      </c>
      <c r="I2603">
        <v>3</v>
      </c>
      <c r="J2603">
        <v>4</v>
      </c>
      <c r="K2603" s="6">
        <v>12</v>
      </c>
      <c r="L2603" s="2">
        <v>6.99</v>
      </c>
      <c r="M2603" s="6">
        <v>20</v>
      </c>
      <c r="N2603" t="str" cm="1">
        <f t="array" ref="N2603">_xlfn.IFS(M2603&gt;=50,"50-60 Days", M2603&gt;=40,"40-50 Days", M2603&gt;=30, "30-40 Days", M2603&gt;=20, "20-30 Days", M2603&gt;=10, "10-20 Days", M2603&gt;=0, "0-10 Days")</f>
        <v>20-30 Days</v>
      </c>
    </row>
    <row r="2604" spans="1:14">
      <c r="A2604">
        <v>2603</v>
      </c>
      <c r="B2604" t="s">
        <v>28</v>
      </c>
      <c r="C2604" s="5">
        <v>45219</v>
      </c>
      <c r="D2604" s="8">
        <v>45219</v>
      </c>
      <c r="E2604" s="8">
        <f>IF(B2604="Inactive", EDATE(D2604,K2604), "")</f>
        <v>45280</v>
      </c>
      <c r="F2604" t="s">
        <v>14</v>
      </c>
      <c r="G2604">
        <v>1.3</v>
      </c>
      <c r="H2604" t="str" cm="1">
        <f t="array" ref="H2604">_xlfn.IFS(G2604&gt;=20,"20-25", G2604&gt;=15,"15-20", G2604&gt;=10,"10-15", G2604&gt;=5,"5-10", G2604&gt;=1,"1-5", G2604&lt;1,"Less than 1")</f>
        <v>1-5</v>
      </c>
      <c r="I2604">
        <v>6</v>
      </c>
      <c r="J2604">
        <v>2</v>
      </c>
      <c r="K2604" s="6">
        <v>2</v>
      </c>
      <c r="L2604" s="2">
        <v>3.99</v>
      </c>
      <c r="M2604" s="6">
        <v>19</v>
      </c>
      <c r="N2604" t="str" cm="1">
        <f t="array" ref="N2604">_xlfn.IFS(M2604&gt;=50,"50-60 Days", M2604&gt;=40,"40-50 Days", M2604&gt;=30, "30-40 Days", M2604&gt;=20, "20-30 Days", M2604&gt;=10, "10-20 Days", M2604&gt;=0, "0-10 Days")</f>
        <v>10-20 Days</v>
      </c>
    </row>
    <row r="2605" spans="1:14">
      <c r="A2605">
        <v>2604</v>
      </c>
      <c r="B2605" t="s">
        <v>29</v>
      </c>
      <c r="C2605" s="5">
        <v>45041</v>
      </c>
      <c r="D2605" s="8">
        <v>45041</v>
      </c>
      <c r="E2605" s="8" t="str">
        <f>IF(B2605="Inactive", EDATE(D2605,K2605), "")</f>
        <v/>
      </c>
      <c r="F2605" t="s">
        <v>10</v>
      </c>
      <c r="G2605">
        <v>8.8000000000000007</v>
      </c>
      <c r="H2605" t="str" cm="1">
        <f t="array" ref="H2605">_xlfn.IFS(G2605&gt;=20,"20-25", G2605&gt;=15,"15-20", G2605&gt;=10,"10-15", G2605&gt;=5,"5-10", G2605&gt;=1,"1-5", G2605&lt;1,"Less than 1")</f>
        <v>5-10</v>
      </c>
      <c r="I2605">
        <v>2</v>
      </c>
      <c r="J2605">
        <v>1</v>
      </c>
      <c r="K2605" s="6">
        <v>10</v>
      </c>
      <c r="L2605" s="2">
        <v>6.99</v>
      </c>
      <c r="M2605" s="6">
        <v>54</v>
      </c>
      <c r="N2605" t="str" cm="1">
        <f t="array" ref="N2605">_xlfn.IFS(M2605&gt;=50,"50-60 Days", M2605&gt;=40,"40-50 Days", M2605&gt;=30, "30-40 Days", M2605&gt;=20, "20-30 Days", M2605&gt;=10, "10-20 Days", M2605&gt;=0, "0-10 Days")</f>
        <v>50-60 Days</v>
      </c>
    </row>
    <row r="2606" spans="1:14">
      <c r="A2606">
        <v>2605</v>
      </c>
      <c r="B2606" t="s">
        <v>28</v>
      </c>
      <c r="C2606" s="5">
        <v>45430</v>
      </c>
      <c r="D2606" s="8">
        <v>45430</v>
      </c>
      <c r="E2606" s="8">
        <f>IF(B2606="Inactive", EDATE(D2606,K2606), "")</f>
        <v>45583</v>
      </c>
      <c r="F2606" t="s">
        <v>12</v>
      </c>
      <c r="G2606">
        <v>4.3</v>
      </c>
      <c r="H2606" t="str" cm="1">
        <f t="array" ref="H2606">_xlfn.IFS(G2606&gt;=20,"20-25", G2606&gt;=15,"15-20", G2606&gt;=10,"10-15", G2606&gt;=5,"5-10", G2606&gt;=1,"1-5", G2606&lt;1,"Less than 1")</f>
        <v>1-5</v>
      </c>
      <c r="I2606">
        <v>7</v>
      </c>
      <c r="J2606">
        <v>2</v>
      </c>
      <c r="K2606" s="6">
        <v>5</v>
      </c>
      <c r="L2606" s="2">
        <v>1.99</v>
      </c>
      <c r="M2606" s="6">
        <v>49</v>
      </c>
      <c r="N2606" t="str" cm="1">
        <f t="array" ref="N2606">_xlfn.IFS(M2606&gt;=50,"50-60 Days", M2606&gt;=40,"40-50 Days", M2606&gt;=30, "30-40 Days", M2606&gt;=20, "20-30 Days", M2606&gt;=10, "10-20 Days", M2606&gt;=0, "0-10 Days")</f>
        <v>40-50 Days</v>
      </c>
    </row>
    <row r="2607" spans="1:14">
      <c r="A2607">
        <v>2606</v>
      </c>
      <c r="B2607" t="s">
        <v>29</v>
      </c>
      <c r="C2607" s="5">
        <v>45587</v>
      </c>
      <c r="D2607" s="8">
        <v>45587</v>
      </c>
      <c r="E2607" s="8" t="str">
        <f>IF(B2607="Inactive", EDATE(D2607,K2607), "")</f>
        <v/>
      </c>
      <c r="F2607" t="s">
        <v>10</v>
      </c>
      <c r="G2607">
        <v>11.5</v>
      </c>
      <c r="H2607" t="str" cm="1">
        <f t="array" ref="H2607">_xlfn.IFS(G2607&gt;=20,"20-25", G2607&gt;=15,"15-20", G2607&gt;=10,"10-15", G2607&gt;=5,"5-10", G2607&gt;=1,"1-5", G2607&lt;1,"Less than 1")</f>
        <v>10-15</v>
      </c>
      <c r="I2607">
        <v>6</v>
      </c>
      <c r="J2607">
        <v>1</v>
      </c>
      <c r="K2607" s="6">
        <v>2</v>
      </c>
      <c r="L2607" s="2">
        <v>6.99</v>
      </c>
      <c r="M2607" s="6">
        <v>15</v>
      </c>
      <c r="N2607" t="str" cm="1">
        <f t="array" ref="N2607">_xlfn.IFS(M2607&gt;=50,"50-60 Days", M2607&gt;=40,"40-50 Days", M2607&gt;=30, "30-40 Days", M2607&gt;=20, "20-30 Days", M2607&gt;=10, "10-20 Days", M2607&gt;=0, "0-10 Days")</f>
        <v>10-20 Days</v>
      </c>
    </row>
    <row r="2608" spans="1:14">
      <c r="A2608">
        <v>2607</v>
      </c>
      <c r="B2608" t="s">
        <v>29</v>
      </c>
      <c r="C2608" s="5">
        <v>45478</v>
      </c>
      <c r="D2608" s="8">
        <v>45478</v>
      </c>
      <c r="E2608" s="8" t="str">
        <f>IF(B2608="Inactive", EDATE(D2608,K2608), "")</f>
        <v/>
      </c>
      <c r="F2608" t="s">
        <v>10</v>
      </c>
      <c r="G2608">
        <v>12.5</v>
      </c>
      <c r="H2608" t="str" cm="1">
        <f t="array" ref="H2608">_xlfn.IFS(G2608&gt;=20,"20-25", G2608&gt;=15,"15-20", G2608&gt;=10,"10-15", G2608&gt;=5,"5-10", G2608&gt;=1,"1-5", G2608&lt;1,"Less than 1")</f>
        <v>10-15</v>
      </c>
      <c r="I2608">
        <v>0</v>
      </c>
      <c r="J2608">
        <v>1</v>
      </c>
      <c r="K2608" s="6">
        <v>4</v>
      </c>
      <c r="L2608" s="2">
        <v>6.99</v>
      </c>
      <c r="M2608" s="6">
        <v>55</v>
      </c>
      <c r="N2608" t="str" cm="1">
        <f t="array" ref="N2608">_xlfn.IFS(M2608&gt;=50,"50-60 Days", M2608&gt;=40,"40-50 Days", M2608&gt;=30, "30-40 Days", M2608&gt;=20, "20-30 Days", M2608&gt;=10, "10-20 Days", M2608&gt;=0, "0-10 Days")</f>
        <v>50-60 Days</v>
      </c>
    </row>
    <row r="2609" spans="1:14">
      <c r="A2609">
        <v>2608</v>
      </c>
      <c r="B2609" t="s">
        <v>28</v>
      </c>
      <c r="C2609" s="5">
        <v>45482</v>
      </c>
      <c r="D2609" s="8">
        <v>45482</v>
      </c>
      <c r="E2609" s="8">
        <f>IF(B2609="Inactive", EDATE(D2609,K2609), "")</f>
        <v>45605</v>
      </c>
      <c r="F2609" t="s">
        <v>14</v>
      </c>
      <c r="G2609">
        <v>20.6</v>
      </c>
      <c r="H2609" t="str" cm="1">
        <f t="array" ref="H2609">_xlfn.IFS(G2609&gt;=20,"20-25", G2609&gt;=15,"15-20", G2609&gt;=10,"10-15", G2609&gt;=5,"5-10", G2609&gt;=1,"1-5", G2609&lt;1,"Less than 1")</f>
        <v>20-25</v>
      </c>
      <c r="I2609">
        <v>7</v>
      </c>
      <c r="J2609">
        <v>2</v>
      </c>
      <c r="K2609" s="6">
        <v>4</v>
      </c>
      <c r="L2609" s="2">
        <v>3.99</v>
      </c>
      <c r="M2609" s="6">
        <v>45</v>
      </c>
      <c r="N2609" t="str" cm="1">
        <f t="array" ref="N2609">_xlfn.IFS(M2609&gt;=50,"50-60 Days", M2609&gt;=40,"40-50 Days", M2609&gt;=30, "30-40 Days", M2609&gt;=20, "20-30 Days", M2609&gt;=10, "10-20 Days", M2609&gt;=0, "0-10 Days")</f>
        <v>40-50 Days</v>
      </c>
    </row>
    <row r="2610" spans="1:14">
      <c r="A2610">
        <v>2609</v>
      </c>
      <c r="B2610" t="s">
        <v>28</v>
      </c>
      <c r="C2610" s="5">
        <v>45263</v>
      </c>
      <c r="D2610" s="8">
        <v>45263</v>
      </c>
      <c r="E2610" s="8">
        <f>IF(B2610="Inactive", EDATE(D2610,K2610), "")</f>
        <v>45325</v>
      </c>
      <c r="F2610" t="s">
        <v>12</v>
      </c>
      <c r="G2610">
        <v>15.4</v>
      </c>
      <c r="H2610" t="str" cm="1">
        <f t="array" ref="H2610">_xlfn.IFS(G2610&gt;=20,"20-25", G2610&gt;=15,"15-20", G2610&gt;=10,"10-15", G2610&gt;=5,"5-10", G2610&gt;=1,"1-5", G2610&lt;1,"Less than 1")</f>
        <v>15-20</v>
      </c>
      <c r="I2610">
        <v>6</v>
      </c>
      <c r="J2610">
        <v>1</v>
      </c>
      <c r="K2610" s="6">
        <v>2</v>
      </c>
      <c r="L2610" s="2">
        <v>1.99</v>
      </c>
      <c r="M2610" s="6">
        <v>52</v>
      </c>
      <c r="N2610" t="str" cm="1">
        <f t="array" ref="N2610">_xlfn.IFS(M2610&gt;=50,"50-60 Days", M2610&gt;=40,"40-50 Days", M2610&gt;=30, "30-40 Days", M2610&gt;=20, "20-30 Days", M2610&gt;=10, "10-20 Days", M2610&gt;=0, "0-10 Days")</f>
        <v>50-60 Days</v>
      </c>
    </row>
    <row r="2611" spans="1:14">
      <c r="A2611">
        <v>2610</v>
      </c>
      <c r="B2611" t="s">
        <v>28</v>
      </c>
      <c r="C2611" s="5">
        <v>45075</v>
      </c>
      <c r="D2611" s="8">
        <v>45075</v>
      </c>
      <c r="E2611" s="8">
        <f>IF(B2611="Inactive", EDATE(D2611,K2611), "")</f>
        <v>45228</v>
      </c>
      <c r="F2611" t="s">
        <v>10</v>
      </c>
      <c r="G2611">
        <v>1.3</v>
      </c>
      <c r="H2611" t="str" cm="1">
        <f t="array" ref="H2611">_xlfn.IFS(G2611&gt;=20,"20-25", G2611&gt;=15,"15-20", G2611&gt;=10,"10-15", G2611&gt;=5,"5-10", G2611&gt;=1,"1-5", G2611&lt;1,"Less than 1")</f>
        <v>1-5</v>
      </c>
      <c r="I2611">
        <v>3</v>
      </c>
      <c r="J2611">
        <v>2</v>
      </c>
      <c r="K2611" s="6">
        <v>5</v>
      </c>
      <c r="L2611" s="2">
        <v>6.99</v>
      </c>
      <c r="M2611" s="6">
        <v>46</v>
      </c>
      <c r="N2611" t="str" cm="1">
        <f t="array" ref="N2611">_xlfn.IFS(M2611&gt;=50,"50-60 Days", M2611&gt;=40,"40-50 Days", M2611&gt;=30, "30-40 Days", M2611&gt;=20, "20-30 Days", M2611&gt;=10, "10-20 Days", M2611&gt;=0, "0-10 Days")</f>
        <v>40-50 Days</v>
      </c>
    </row>
    <row r="2612" spans="1:14">
      <c r="A2612">
        <v>2611</v>
      </c>
      <c r="B2612" t="s">
        <v>28</v>
      </c>
      <c r="C2612" s="5">
        <v>45643</v>
      </c>
      <c r="D2612" s="8">
        <v>45643</v>
      </c>
      <c r="E2612" s="8">
        <f>IF(B2612="Inactive", EDATE(D2612,K2612), "")</f>
        <v>45794</v>
      </c>
      <c r="F2612" t="s">
        <v>14</v>
      </c>
      <c r="G2612">
        <v>8.6</v>
      </c>
      <c r="H2612" t="str" cm="1">
        <f t="array" ref="H2612">_xlfn.IFS(G2612&gt;=20,"20-25", G2612&gt;=15,"15-20", G2612&gt;=10,"10-15", G2612&gt;=5,"5-10", G2612&gt;=1,"1-5", G2612&lt;1,"Less than 1")</f>
        <v>5-10</v>
      </c>
      <c r="I2612">
        <v>3</v>
      </c>
      <c r="J2612">
        <v>2</v>
      </c>
      <c r="K2612" s="6">
        <v>5</v>
      </c>
      <c r="L2612" s="2">
        <v>3.99</v>
      </c>
      <c r="M2612" s="6">
        <v>0</v>
      </c>
      <c r="N2612" t="str" cm="1">
        <f t="array" ref="N2612">_xlfn.IFS(M2612&gt;=50,"50-60 Days", M2612&gt;=40,"40-50 Days", M2612&gt;=30, "30-40 Days", M2612&gt;=20, "20-30 Days", M2612&gt;=10, "10-20 Days", M2612&gt;=0, "0-10 Days")</f>
        <v>0-10 Days</v>
      </c>
    </row>
    <row r="2613" spans="1:14">
      <c r="A2613">
        <v>2612</v>
      </c>
      <c r="B2613" t="s">
        <v>28</v>
      </c>
      <c r="C2613" s="5">
        <v>45453</v>
      </c>
      <c r="D2613" s="8">
        <v>45453</v>
      </c>
      <c r="E2613" s="8">
        <f>IF(B2613="Inactive", EDATE(D2613,K2613), "")</f>
        <v>45545</v>
      </c>
      <c r="F2613" t="s">
        <v>10</v>
      </c>
      <c r="G2613">
        <v>13.1</v>
      </c>
      <c r="H2613" t="str" cm="1">
        <f t="array" ref="H2613">_xlfn.IFS(G2613&gt;=20,"20-25", G2613&gt;=15,"15-20", G2613&gt;=10,"10-15", G2613&gt;=5,"5-10", G2613&gt;=1,"1-5", G2613&lt;1,"Less than 1")</f>
        <v>10-15</v>
      </c>
      <c r="I2613">
        <v>6</v>
      </c>
      <c r="J2613">
        <v>3</v>
      </c>
      <c r="K2613" s="6">
        <v>3</v>
      </c>
      <c r="L2613" s="2">
        <v>6.99</v>
      </c>
      <c r="M2613" s="6">
        <v>30</v>
      </c>
      <c r="N2613" t="str" cm="1">
        <f t="array" ref="N2613">_xlfn.IFS(M2613&gt;=50,"50-60 Days", M2613&gt;=40,"40-50 Days", M2613&gt;=30, "30-40 Days", M2613&gt;=20, "20-30 Days", M2613&gt;=10, "10-20 Days", M2613&gt;=0, "0-10 Days")</f>
        <v>30-40 Days</v>
      </c>
    </row>
    <row r="2614" spans="1:14">
      <c r="A2614">
        <v>2613</v>
      </c>
      <c r="B2614" t="s">
        <v>28</v>
      </c>
      <c r="C2614" s="5">
        <v>45613</v>
      </c>
      <c r="D2614" s="8">
        <v>45613</v>
      </c>
      <c r="E2614" s="8">
        <f>IF(B2614="Inactive", EDATE(D2614,K2614), "")</f>
        <v>45917</v>
      </c>
      <c r="F2614" t="s">
        <v>12</v>
      </c>
      <c r="G2614">
        <v>9</v>
      </c>
      <c r="H2614" t="str" cm="1">
        <f t="array" ref="H2614">_xlfn.IFS(G2614&gt;=20,"20-25", G2614&gt;=15,"15-20", G2614&gt;=10,"10-15", G2614&gt;=5,"5-10", G2614&gt;=1,"1-5", G2614&lt;1,"Less than 1")</f>
        <v>5-10</v>
      </c>
      <c r="I2614">
        <v>2</v>
      </c>
      <c r="J2614">
        <v>2</v>
      </c>
      <c r="K2614" s="6">
        <v>10</v>
      </c>
      <c r="L2614" s="2">
        <v>1.99</v>
      </c>
      <c r="M2614" s="6">
        <v>16</v>
      </c>
      <c r="N2614" t="str" cm="1">
        <f t="array" ref="N2614">_xlfn.IFS(M2614&gt;=50,"50-60 Days", M2614&gt;=40,"40-50 Days", M2614&gt;=30, "30-40 Days", M2614&gt;=20, "20-30 Days", M2614&gt;=10, "10-20 Days", M2614&gt;=0, "0-10 Days")</f>
        <v>10-20 Days</v>
      </c>
    </row>
    <row r="2615" spans="1:14">
      <c r="A2615">
        <v>2614</v>
      </c>
      <c r="B2615" t="s">
        <v>29</v>
      </c>
      <c r="C2615" s="5">
        <v>45297</v>
      </c>
      <c r="D2615" s="8">
        <v>45297</v>
      </c>
      <c r="E2615" s="8" t="str">
        <f>IF(B2615="Inactive", EDATE(D2615,K2615), "")</f>
        <v/>
      </c>
      <c r="F2615" t="s">
        <v>14</v>
      </c>
      <c r="G2615">
        <v>6.9</v>
      </c>
      <c r="H2615" t="str" cm="1">
        <f t="array" ref="H2615">_xlfn.IFS(G2615&gt;=20,"20-25", G2615&gt;=15,"15-20", G2615&gt;=10,"10-15", G2615&gt;=5,"5-10", G2615&gt;=1,"1-5", G2615&lt;1,"Less than 1")</f>
        <v>5-10</v>
      </c>
      <c r="I2615">
        <v>0</v>
      </c>
      <c r="J2615">
        <v>4</v>
      </c>
      <c r="K2615" s="6">
        <v>6</v>
      </c>
      <c r="L2615" s="2">
        <v>3.99</v>
      </c>
      <c r="M2615" s="6">
        <v>13</v>
      </c>
      <c r="N2615" t="str" cm="1">
        <f t="array" ref="N2615">_xlfn.IFS(M2615&gt;=50,"50-60 Days", M2615&gt;=40,"40-50 Days", M2615&gt;=30, "30-40 Days", M2615&gt;=20, "20-30 Days", M2615&gt;=10, "10-20 Days", M2615&gt;=0, "0-10 Days")</f>
        <v>10-20 Days</v>
      </c>
    </row>
    <row r="2616" spans="1:14">
      <c r="A2616">
        <v>2615</v>
      </c>
      <c r="B2616" t="s">
        <v>29</v>
      </c>
      <c r="C2616" s="5">
        <v>45036</v>
      </c>
      <c r="D2616" s="8">
        <v>45036</v>
      </c>
      <c r="E2616" s="8" t="str">
        <f>IF(B2616="Inactive", EDATE(D2616,K2616), "")</f>
        <v/>
      </c>
      <c r="F2616" t="s">
        <v>10</v>
      </c>
      <c r="G2616">
        <v>12.1</v>
      </c>
      <c r="H2616" t="str" cm="1">
        <f t="array" ref="H2616">_xlfn.IFS(G2616&gt;=20,"20-25", G2616&gt;=15,"15-20", G2616&gt;=10,"10-15", G2616&gt;=5,"5-10", G2616&gt;=1,"1-5", G2616&lt;1,"Less than 1")</f>
        <v>10-15</v>
      </c>
      <c r="I2616">
        <v>3</v>
      </c>
      <c r="J2616">
        <v>3</v>
      </c>
      <c r="K2616" s="6">
        <v>2</v>
      </c>
      <c r="L2616" s="2">
        <v>6.99</v>
      </c>
      <c r="M2616" s="6">
        <v>45</v>
      </c>
      <c r="N2616" t="str" cm="1">
        <f t="array" ref="N2616">_xlfn.IFS(M2616&gt;=50,"50-60 Days", M2616&gt;=40,"40-50 Days", M2616&gt;=30, "30-40 Days", M2616&gt;=20, "20-30 Days", M2616&gt;=10, "10-20 Days", M2616&gt;=0, "0-10 Days")</f>
        <v>40-50 Days</v>
      </c>
    </row>
    <row r="2617" spans="1:14">
      <c r="A2617">
        <v>2616</v>
      </c>
      <c r="B2617" t="s">
        <v>29</v>
      </c>
      <c r="C2617" s="5">
        <v>45441</v>
      </c>
      <c r="D2617" s="8">
        <v>45441</v>
      </c>
      <c r="E2617" s="8" t="str">
        <f>IF(B2617="Inactive", EDATE(D2617,K2617), "")</f>
        <v/>
      </c>
      <c r="F2617" t="s">
        <v>12</v>
      </c>
      <c r="G2617">
        <v>6.4</v>
      </c>
      <c r="H2617" t="str" cm="1">
        <f t="array" ref="H2617">_xlfn.IFS(G2617&gt;=20,"20-25", G2617&gt;=15,"15-20", G2617&gt;=10,"10-15", G2617&gt;=5,"5-10", G2617&gt;=1,"1-5", G2617&lt;1,"Less than 1")</f>
        <v>5-10</v>
      </c>
      <c r="I2617">
        <v>1</v>
      </c>
      <c r="J2617">
        <v>1</v>
      </c>
      <c r="K2617" s="6">
        <v>7</v>
      </c>
      <c r="L2617" s="2">
        <v>1.99</v>
      </c>
      <c r="M2617" s="6">
        <v>34</v>
      </c>
      <c r="N2617" t="str" cm="1">
        <f t="array" ref="N2617">_xlfn.IFS(M2617&gt;=50,"50-60 Days", M2617&gt;=40,"40-50 Days", M2617&gt;=30, "30-40 Days", M2617&gt;=20, "20-30 Days", M2617&gt;=10, "10-20 Days", M2617&gt;=0, "0-10 Days")</f>
        <v>30-40 Days</v>
      </c>
    </row>
    <row r="2618" spans="1:14">
      <c r="A2618">
        <v>2617</v>
      </c>
      <c r="B2618" t="s">
        <v>28</v>
      </c>
      <c r="C2618" s="5">
        <v>45527</v>
      </c>
      <c r="D2618" s="8">
        <v>45527</v>
      </c>
      <c r="E2618" s="8">
        <f>IF(B2618="Inactive", EDATE(D2618,K2618), "")</f>
        <v>45711</v>
      </c>
      <c r="F2618" t="s">
        <v>10</v>
      </c>
      <c r="G2618">
        <v>21.9</v>
      </c>
      <c r="H2618" t="str" cm="1">
        <f t="array" ref="H2618">_xlfn.IFS(G2618&gt;=20,"20-25", G2618&gt;=15,"15-20", G2618&gt;=10,"10-15", G2618&gt;=5,"5-10", G2618&gt;=1,"1-5", G2618&lt;1,"Less than 1")</f>
        <v>20-25</v>
      </c>
      <c r="I2618">
        <v>6</v>
      </c>
      <c r="J2618">
        <v>4</v>
      </c>
      <c r="K2618" s="6">
        <v>6</v>
      </c>
      <c r="L2618" s="2">
        <v>6.99</v>
      </c>
      <c r="M2618" s="6">
        <v>36</v>
      </c>
      <c r="N2618" t="str" cm="1">
        <f t="array" ref="N2618">_xlfn.IFS(M2618&gt;=50,"50-60 Days", M2618&gt;=40,"40-50 Days", M2618&gt;=30, "30-40 Days", M2618&gt;=20, "20-30 Days", M2618&gt;=10, "10-20 Days", M2618&gt;=0, "0-10 Days")</f>
        <v>30-40 Days</v>
      </c>
    </row>
    <row r="2619" spans="1:14">
      <c r="A2619">
        <v>2618</v>
      </c>
      <c r="B2619" t="s">
        <v>29</v>
      </c>
      <c r="C2619" s="5">
        <v>45646</v>
      </c>
      <c r="D2619" s="8">
        <v>45646</v>
      </c>
      <c r="E2619" s="8" t="str">
        <f>IF(B2619="Inactive", EDATE(D2619,K2619), "")</f>
        <v/>
      </c>
      <c r="F2619" t="s">
        <v>10</v>
      </c>
      <c r="G2619">
        <v>19.5</v>
      </c>
      <c r="H2619" t="str" cm="1">
        <f t="array" ref="H2619">_xlfn.IFS(G2619&gt;=20,"20-25", G2619&gt;=15,"15-20", G2619&gt;=10,"10-15", G2619&gt;=5,"5-10", G2619&gt;=1,"1-5", G2619&lt;1,"Less than 1")</f>
        <v>15-20</v>
      </c>
      <c r="I2619">
        <v>0</v>
      </c>
      <c r="J2619">
        <v>2</v>
      </c>
      <c r="K2619" s="6">
        <v>11</v>
      </c>
      <c r="L2619" s="2">
        <v>6.99</v>
      </c>
      <c r="M2619" s="6">
        <v>20</v>
      </c>
      <c r="N2619" t="str" cm="1">
        <f t="array" ref="N2619">_xlfn.IFS(M2619&gt;=50,"50-60 Days", M2619&gt;=40,"40-50 Days", M2619&gt;=30, "30-40 Days", M2619&gt;=20, "20-30 Days", M2619&gt;=10, "10-20 Days", M2619&gt;=0, "0-10 Days")</f>
        <v>20-30 Days</v>
      </c>
    </row>
    <row r="2620" spans="1:14">
      <c r="A2620">
        <v>2619</v>
      </c>
      <c r="B2620" t="s">
        <v>28</v>
      </c>
      <c r="C2620" s="5">
        <v>45165</v>
      </c>
      <c r="D2620" s="8">
        <v>45165</v>
      </c>
      <c r="E2620" s="8">
        <f>IF(B2620="Inactive", EDATE(D2620,K2620), "")</f>
        <v>45500</v>
      </c>
      <c r="F2620" t="s">
        <v>12</v>
      </c>
      <c r="G2620">
        <v>3.1</v>
      </c>
      <c r="H2620" t="str" cm="1">
        <f t="array" ref="H2620">_xlfn.IFS(G2620&gt;=20,"20-25", G2620&gt;=15,"15-20", G2620&gt;=10,"10-15", G2620&gt;=5,"5-10", G2620&gt;=1,"1-5", G2620&lt;1,"Less than 1")</f>
        <v>1-5</v>
      </c>
      <c r="I2620">
        <v>7</v>
      </c>
      <c r="J2620">
        <v>5</v>
      </c>
      <c r="K2620" s="6">
        <v>11</v>
      </c>
      <c r="L2620" s="2">
        <v>1.99</v>
      </c>
      <c r="M2620" s="6">
        <v>8</v>
      </c>
      <c r="N2620" t="str" cm="1">
        <f t="array" ref="N2620">_xlfn.IFS(M2620&gt;=50,"50-60 Days", M2620&gt;=40,"40-50 Days", M2620&gt;=30, "30-40 Days", M2620&gt;=20, "20-30 Days", M2620&gt;=10, "10-20 Days", M2620&gt;=0, "0-10 Days")</f>
        <v>0-10 Days</v>
      </c>
    </row>
    <row r="2621" spans="1:14">
      <c r="A2621">
        <v>2620</v>
      </c>
      <c r="B2621" t="s">
        <v>28</v>
      </c>
      <c r="C2621" s="5">
        <v>45106</v>
      </c>
      <c r="D2621" s="8">
        <v>45106</v>
      </c>
      <c r="E2621" s="8">
        <f>IF(B2621="Inactive", EDATE(D2621,K2621), "")</f>
        <v>45167</v>
      </c>
      <c r="F2621" t="s">
        <v>12</v>
      </c>
      <c r="G2621">
        <v>21.6</v>
      </c>
      <c r="H2621" t="str" cm="1">
        <f t="array" ref="H2621">_xlfn.IFS(G2621&gt;=20,"20-25", G2621&gt;=15,"15-20", G2621&gt;=10,"10-15", G2621&gt;=5,"5-10", G2621&gt;=1,"1-5", G2621&lt;1,"Less than 1")</f>
        <v>20-25</v>
      </c>
      <c r="I2621">
        <v>8</v>
      </c>
      <c r="J2621">
        <v>5</v>
      </c>
      <c r="K2621" s="6">
        <v>2</v>
      </c>
      <c r="L2621" s="2">
        <v>1.99</v>
      </c>
      <c r="M2621" s="6">
        <v>24</v>
      </c>
      <c r="N2621" t="str" cm="1">
        <f t="array" ref="N2621">_xlfn.IFS(M2621&gt;=50,"50-60 Days", M2621&gt;=40,"40-50 Days", M2621&gt;=30, "30-40 Days", M2621&gt;=20, "20-30 Days", M2621&gt;=10, "10-20 Days", M2621&gt;=0, "0-10 Days")</f>
        <v>20-30 Days</v>
      </c>
    </row>
    <row r="2622" spans="1:14">
      <c r="A2622">
        <v>2621</v>
      </c>
      <c r="B2622" t="s">
        <v>29</v>
      </c>
      <c r="C2622" s="5">
        <v>45093</v>
      </c>
      <c r="D2622" s="8">
        <v>45093</v>
      </c>
      <c r="E2622" s="8" t="str">
        <f>IF(B2622="Inactive", EDATE(D2622,K2622), "")</f>
        <v/>
      </c>
      <c r="F2622" t="s">
        <v>14</v>
      </c>
      <c r="G2622">
        <v>22.7</v>
      </c>
      <c r="H2622" t="str" cm="1">
        <f t="array" ref="H2622">_xlfn.IFS(G2622&gt;=20,"20-25", G2622&gt;=15,"15-20", G2622&gt;=10,"10-15", G2622&gt;=5,"5-10", G2622&gt;=1,"1-5", G2622&lt;1,"Less than 1")</f>
        <v>20-25</v>
      </c>
      <c r="I2622">
        <v>8</v>
      </c>
      <c r="J2622">
        <v>5</v>
      </c>
      <c r="K2622" s="6">
        <v>3</v>
      </c>
      <c r="L2622" s="2">
        <v>3.99</v>
      </c>
      <c r="M2622" s="6">
        <v>14</v>
      </c>
      <c r="N2622" t="str" cm="1">
        <f t="array" ref="N2622">_xlfn.IFS(M2622&gt;=50,"50-60 Days", M2622&gt;=40,"40-50 Days", M2622&gt;=30, "30-40 Days", M2622&gt;=20, "20-30 Days", M2622&gt;=10, "10-20 Days", M2622&gt;=0, "0-10 Days")</f>
        <v>10-20 Days</v>
      </c>
    </row>
    <row r="2623" spans="1:14">
      <c r="A2623">
        <v>2622</v>
      </c>
      <c r="B2623" t="s">
        <v>29</v>
      </c>
      <c r="C2623" s="5">
        <v>45602</v>
      </c>
      <c r="D2623" s="8">
        <v>45602</v>
      </c>
      <c r="E2623" s="8" t="str">
        <f>IF(B2623="Inactive", EDATE(D2623,K2623), "")</f>
        <v/>
      </c>
      <c r="F2623" t="s">
        <v>10</v>
      </c>
      <c r="G2623">
        <v>6.3</v>
      </c>
      <c r="H2623" t="str" cm="1">
        <f t="array" ref="H2623">_xlfn.IFS(G2623&gt;=20,"20-25", G2623&gt;=15,"15-20", G2623&gt;=10,"10-15", G2623&gt;=5,"5-10", G2623&gt;=1,"1-5", G2623&lt;1,"Less than 1")</f>
        <v>5-10</v>
      </c>
      <c r="I2623">
        <v>1</v>
      </c>
      <c r="J2623">
        <v>1</v>
      </c>
      <c r="K2623" s="6">
        <v>6</v>
      </c>
      <c r="L2623" s="2">
        <v>6.99</v>
      </c>
      <c r="M2623" s="6">
        <v>7</v>
      </c>
      <c r="N2623" t="str" cm="1">
        <f t="array" ref="N2623">_xlfn.IFS(M2623&gt;=50,"50-60 Days", M2623&gt;=40,"40-50 Days", M2623&gt;=30, "30-40 Days", M2623&gt;=20, "20-30 Days", M2623&gt;=10, "10-20 Days", M2623&gt;=0, "0-10 Days")</f>
        <v>0-10 Days</v>
      </c>
    </row>
    <row r="2624" spans="1:14">
      <c r="A2624">
        <v>2623</v>
      </c>
      <c r="B2624" t="s">
        <v>29</v>
      </c>
      <c r="C2624" s="5">
        <v>45456</v>
      </c>
      <c r="D2624" s="8">
        <v>45456</v>
      </c>
      <c r="E2624" s="8" t="str">
        <f>IF(B2624="Inactive", EDATE(D2624,K2624), "")</f>
        <v/>
      </c>
      <c r="F2624" t="s">
        <v>10</v>
      </c>
      <c r="G2624">
        <v>1.2</v>
      </c>
      <c r="H2624" t="str" cm="1">
        <f t="array" ref="H2624">_xlfn.IFS(G2624&gt;=20,"20-25", G2624&gt;=15,"15-20", G2624&gt;=10,"10-15", G2624&gt;=5,"5-10", G2624&gt;=1,"1-5", G2624&lt;1,"Less than 1")</f>
        <v>1-5</v>
      </c>
      <c r="I2624">
        <v>2</v>
      </c>
      <c r="J2624">
        <v>4</v>
      </c>
      <c r="K2624" s="6">
        <v>11</v>
      </c>
      <c r="L2624" s="2">
        <v>6.99</v>
      </c>
      <c r="M2624" s="6">
        <v>13</v>
      </c>
      <c r="N2624" t="str" cm="1">
        <f t="array" ref="N2624">_xlfn.IFS(M2624&gt;=50,"50-60 Days", M2624&gt;=40,"40-50 Days", M2624&gt;=30, "30-40 Days", M2624&gt;=20, "20-30 Days", M2624&gt;=10, "10-20 Days", M2624&gt;=0, "0-10 Days")</f>
        <v>10-20 Days</v>
      </c>
    </row>
    <row r="2625" spans="1:14">
      <c r="A2625">
        <v>2624</v>
      </c>
      <c r="B2625" t="s">
        <v>28</v>
      </c>
      <c r="C2625" s="5">
        <v>44972</v>
      </c>
      <c r="D2625" s="8">
        <v>44972</v>
      </c>
      <c r="E2625" s="8">
        <f>IF(B2625="Inactive", EDATE(D2625,K2625), "")</f>
        <v>45031</v>
      </c>
      <c r="F2625" t="s">
        <v>10</v>
      </c>
      <c r="G2625">
        <v>17.899999999999999</v>
      </c>
      <c r="H2625" t="str" cm="1">
        <f t="array" ref="H2625">_xlfn.IFS(G2625&gt;=20,"20-25", G2625&gt;=15,"15-20", G2625&gt;=10,"10-15", G2625&gt;=5,"5-10", G2625&gt;=1,"1-5", G2625&lt;1,"Less than 1")</f>
        <v>15-20</v>
      </c>
      <c r="I2625">
        <v>8</v>
      </c>
      <c r="J2625">
        <v>1</v>
      </c>
      <c r="K2625" s="6">
        <v>2</v>
      </c>
      <c r="L2625" s="2">
        <v>6.99</v>
      </c>
      <c r="M2625" s="6">
        <v>10</v>
      </c>
      <c r="N2625" t="str" cm="1">
        <f t="array" ref="N2625">_xlfn.IFS(M2625&gt;=50,"50-60 Days", M2625&gt;=40,"40-50 Days", M2625&gt;=30, "30-40 Days", M2625&gt;=20, "20-30 Days", M2625&gt;=10, "10-20 Days", M2625&gt;=0, "0-10 Days")</f>
        <v>10-20 Days</v>
      </c>
    </row>
    <row r="2626" spans="1:14">
      <c r="A2626">
        <v>2625</v>
      </c>
      <c r="B2626" t="s">
        <v>28</v>
      </c>
      <c r="C2626" s="5">
        <v>45461</v>
      </c>
      <c r="D2626" s="8">
        <v>45461</v>
      </c>
      <c r="E2626" s="8">
        <f>IF(B2626="Inactive", EDATE(D2626,K2626), "")</f>
        <v>45491</v>
      </c>
      <c r="F2626" t="s">
        <v>12</v>
      </c>
      <c r="G2626">
        <v>5</v>
      </c>
      <c r="H2626" t="str" cm="1">
        <f t="array" ref="H2626">_xlfn.IFS(G2626&gt;=20,"20-25", G2626&gt;=15,"15-20", G2626&gt;=10,"10-15", G2626&gt;=5,"5-10", G2626&gt;=1,"1-5", G2626&lt;1,"Less than 1")</f>
        <v>5-10</v>
      </c>
      <c r="I2626">
        <v>2</v>
      </c>
      <c r="J2626">
        <v>0</v>
      </c>
      <c r="K2626" s="6">
        <v>1</v>
      </c>
      <c r="L2626" s="2">
        <v>1.99</v>
      </c>
      <c r="M2626" s="6">
        <v>1</v>
      </c>
      <c r="N2626" t="str" cm="1">
        <f t="array" ref="N2626">_xlfn.IFS(M2626&gt;=50,"50-60 Days", M2626&gt;=40,"40-50 Days", M2626&gt;=30, "30-40 Days", M2626&gt;=20, "20-30 Days", M2626&gt;=10, "10-20 Days", M2626&gt;=0, "0-10 Days")</f>
        <v>0-10 Days</v>
      </c>
    </row>
    <row r="2627" spans="1:14">
      <c r="A2627">
        <v>2626</v>
      </c>
      <c r="B2627" t="s">
        <v>28</v>
      </c>
      <c r="C2627" s="5">
        <v>45573</v>
      </c>
      <c r="D2627" s="8">
        <v>45573</v>
      </c>
      <c r="E2627" s="8">
        <f>IF(B2627="Inactive", EDATE(D2627,K2627), "")</f>
        <v>45877</v>
      </c>
      <c r="F2627" t="s">
        <v>14</v>
      </c>
      <c r="G2627">
        <v>11.1</v>
      </c>
      <c r="H2627" t="str" cm="1">
        <f t="array" ref="H2627">_xlfn.IFS(G2627&gt;=20,"20-25", G2627&gt;=15,"15-20", G2627&gt;=10,"10-15", G2627&gt;=5,"5-10", G2627&gt;=1,"1-5", G2627&lt;1,"Less than 1")</f>
        <v>10-15</v>
      </c>
      <c r="I2627">
        <v>1</v>
      </c>
      <c r="J2627">
        <v>0</v>
      </c>
      <c r="K2627" s="6">
        <v>10</v>
      </c>
      <c r="L2627" s="2">
        <v>3.99</v>
      </c>
      <c r="M2627" s="6">
        <v>58</v>
      </c>
      <c r="N2627" t="str" cm="1">
        <f t="array" ref="N2627">_xlfn.IFS(M2627&gt;=50,"50-60 Days", M2627&gt;=40,"40-50 Days", M2627&gt;=30, "30-40 Days", M2627&gt;=20, "20-30 Days", M2627&gt;=10, "10-20 Days", M2627&gt;=0, "0-10 Days")</f>
        <v>50-60 Days</v>
      </c>
    </row>
    <row r="2628" spans="1:14">
      <c r="A2628">
        <v>2627</v>
      </c>
      <c r="B2628" t="s">
        <v>28</v>
      </c>
      <c r="C2628" s="5">
        <v>45487</v>
      </c>
      <c r="D2628" s="8">
        <v>45487</v>
      </c>
      <c r="E2628" s="8">
        <f>IF(B2628="Inactive", EDATE(D2628,K2628), "")</f>
        <v>45852</v>
      </c>
      <c r="F2628" t="s">
        <v>10</v>
      </c>
      <c r="G2628">
        <v>23</v>
      </c>
      <c r="H2628" t="str" cm="1">
        <f t="array" ref="H2628">_xlfn.IFS(G2628&gt;=20,"20-25", G2628&gt;=15,"15-20", G2628&gt;=10,"10-15", G2628&gt;=5,"5-10", G2628&gt;=1,"1-5", G2628&lt;1,"Less than 1")</f>
        <v>20-25</v>
      </c>
      <c r="I2628">
        <v>7</v>
      </c>
      <c r="J2628">
        <v>5</v>
      </c>
      <c r="K2628" s="6">
        <v>12</v>
      </c>
      <c r="L2628" s="2">
        <v>6.99</v>
      </c>
      <c r="M2628" s="6">
        <v>24</v>
      </c>
      <c r="N2628" t="str" cm="1">
        <f t="array" ref="N2628">_xlfn.IFS(M2628&gt;=50,"50-60 Days", M2628&gt;=40,"40-50 Days", M2628&gt;=30, "30-40 Days", M2628&gt;=20, "20-30 Days", M2628&gt;=10, "10-20 Days", M2628&gt;=0, "0-10 Days")</f>
        <v>20-30 Days</v>
      </c>
    </row>
    <row r="2629" spans="1:14">
      <c r="A2629">
        <v>2628</v>
      </c>
      <c r="B2629" t="s">
        <v>28</v>
      </c>
      <c r="C2629" s="5">
        <v>45167</v>
      </c>
      <c r="D2629" s="8">
        <v>45167</v>
      </c>
      <c r="E2629" s="8">
        <f>IF(B2629="Inactive", EDATE(D2629,K2629), "")</f>
        <v>45380</v>
      </c>
      <c r="F2629" t="s">
        <v>12</v>
      </c>
      <c r="G2629">
        <v>5.0999999999999996</v>
      </c>
      <c r="H2629" t="str" cm="1">
        <f t="array" ref="H2629">_xlfn.IFS(G2629&gt;=20,"20-25", G2629&gt;=15,"15-20", G2629&gt;=10,"10-15", G2629&gt;=5,"5-10", G2629&gt;=1,"1-5", G2629&lt;1,"Less than 1")</f>
        <v>5-10</v>
      </c>
      <c r="I2629">
        <v>6</v>
      </c>
      <c r="J2629">
        <v>0</v>
      </c>
      <c r="K2629" s="6">
        <v>7</v>
      </c>
      <c r="L2629" s="2">
        <v>1.99</v>
      </c>
      <c r="M2629" s="6">
        <v>18</v>
      </c>
      <c r="N2629" t="str" cm="1">
        <f t="array" ref="N2629">_xlfn.IFS(M2629&gt;=50,"50-60 Days", M2629&gt;=40,"40-50 Days", M2629&gt;=30, "30-40 Days", M2629&gt;=20, "20-30 Days", M2629&gt;=10, "10-20 Days", M2629&gt;=0, "0-10 Days")</f>
        <v>10-20 Days</v>
      </c>
    </row>
    <row r="2630" spans="1:14">
      <c r="A2630">
        <v>2629</v>
      </c>
      <c r="B2630" t="s">
        <v>28</v>
      </c>
      <c r="C2630" s="5">
        <v>45449</v>
      </c>
      <c r="D2630" s="8">
        <v>45449</v>
      </c>
      <c r="E2630" s="8">
        <f>IF(B2630="Inactive", EDATE(D2630,K2630), "")</f>
        <v>45663</v>
      </c>
      <c r="F2630" t="s">
        <v>10</v>
      </c>
      <c r="G2630">
        <v>23.2</v>
      </c>
      <c r="H2630" t="str" cm="1">
        <f t="array" ref="H2630">_xlfn.IFS(G2630&gt;=20,"20-25", G2630&gt;=15,"15-20", G2630&gt;=10,"10-15", G2630&gt;=5,"5-10", G2630&gt;=1,"1-5", G2630&lt;1,"Less than 1")</f>
        <v>20-25</v>
      </c>
      <c r="I2630">
        <v>3</v>
      </c>
      <c r="J2630">
        <v>5</v>
      </c>
      <c r="K2630" s="6">
        <v>7</v>
      </c>
      <c r="L2630" s="2">
        <v>6.99</v>
      </c>
      <c r="M2630" s="6">
        <v>60</v>
      </c>
      <c r="N2630" t="str" cm="1">
        <f t="array" ref="N2630">_xlfn.IFS(M2630&gt;=50,"50-60 Days", M2630&gt;=40,"40-50 Days", M2630&gt;=30, "30-40 Days", M2630&gt;=20, "20-30 Days", M2630&gt;=10, "10-20 Days", M2630&gt;=0, "0-10 Days")</f>
        <v>50-60 Days</v>
      </c>
    </row>
    <row r="2631" spans="1:14">
      <c r="A2631">
        <v>2630</v>
      </c>
      <c r="B2631" t="s">
        <v>28</v>
      </c>
      <c r="C2631" s="5">
        <v>45243</v>
      </c>
      <c r="D2631" s="8">
        <v>45243</v>
      </c>
      <c r="E2631" s="8">
        <f>IF(B2631="Inactive", EDATE(D2631,K2631), "")</f>
        <v>45578</v>
      </c>
      <c r="F2631" t="s">
        <v>12</v>
      </c>
      <c r="G2631">
        <v>7.3</v>
      </c>
      <c r="H2631" t="str" cm="1">
        <f t="array" ref="H2631">_xlfn.IFS(G2631&gt;=20,"20-25", G2631&gt;=15,"15-20", G2631&gt;=10,"10-15", G2631&gt;=5,"5-10", G2631&gt;=1,"1-5", G2631&lt;1,"Less than 1")</f>
        <v>5-10</v>
      </c>
      <c r="I2631">
        <v>8</v>
      </c>
      <c r="J2631">
        <v>5</v>
      </c>
      <c r="K2631" s="6">
        <v>11</v>
      </c>
      <c r="L2631" s="2">
        <v>1.99</v>
      </c>
      <c r="M2631" s="6">
        <v>8</v>
      </c>
      <c r="N2631" t="str" cm="1">
        <f t="array" ref="N2631">_xlfn.IFS(M2631&gt;=50,"50-60 Days", M2631&gt;=40,"40-50 Days", M2631&gt;=30, "30-40 Days", M2631&gt;=20, "20-30 Days", M2631&gt;=10, "10-20 Days", M2631&gt;=0, "0-10 Days")</f>
        <v>0-10 Days</v>
      </c>
    </row>
    <row r="2632" spans="1:14">
      <c r="A2632">
        <v>2631</v>
      </c>
      <c r="B2632" t="s">
        <v>29</v>
      </c>
      <c r="C2632" s="5">
        <v>44944</v>
      </c>
      <c r="D2632" s="8">
        <v>44944</v>
      </c>
      <c r="E2632" s="8" t="str">
        <f>IF(B2632="Inactive", EDATE(D2632,K2632), "")</f>
        <v/>
      </c>
      <c r="F2632" t="s">
        <v>14</v>
      </c>
      <c r="G2632">
        <v>20.9</v>
      </c>
      <c r="H2632" t="str" cm="1">
        <f t="array" ref="H2632">_xlfn.IFS(G2632&gt;=20,"20-25", G2632&gt;=15,"15-20", G2632&gt;=10,"10-15", G2632&gt;=5,"5-10", G2632&gt;=1,"1-5", G2632&lt;1,"Less than 1")</f>
        <v>20-25</v>
      </c>
      <c r="I2632">
        <v>1</v>
      </c>
      <c r="J2632">
        <v>0</v>
      </c>
      <c r="K2632" s="6">
        <v>7</v>
      </c>
      <c r="L2632" s="2">
        <v>3.99</v>
      </c>
      <c r="M2632" s="6">
        <v>0</v>
      </c>
      <c r="N2632" t="str" cm="1">
        <f t="array" ref="N2632">_xlfn.IFS(M2632&gt;=50,"50-60 Days", M2632&gt;=40,"40-50 Days", M2632&gt;=30, "30-40 Days", M2632&gt;=20, "20-30 Days", M2632&gt;=10, "10-20 Days", M2632&gt;=0, "0-10 Days")</f>
        <v>0-10 Days</v>
      </c>
    </row>
    <row r="2633" spans="1:14">
      <c r="A2633">
        <v>2632</v>
      </c>
      <c r="B2633" t="s">
        <v>29</v>
      </c>
      <c r="C2633" s="5">
        <v>45264</v>
      </c>
      <c r="D2633" s="8">
        <v>45264</v>
      </c>
      <c r="E2633" s="8" t="str">
        <f>IF(B2633="Inactive", EDATE(D2633,K2633), "")</f>
        <v/>
      </c>
      <c r="F2633" t="s">
        <v>14</v>
      </c>
      <c r="G2633">
        <v>22.9</v>
      </c>
      <c r="H2633" t="str" cm="1">
        <f t="array" ref="H2633">_xlfn.IFS(G2633&gt;=20,"20-25", G2633&gt;=15,"15-20", G2633&gt;=10,"10-15", G2633&gt;=5,"5-10", G2633&gt;=1,"1-5", G2633&lt;1,"Less than 1")</f>
        <v>20-25</v>
      </c>
      <c r="I2633">
        <v>0</v>
      </c>
      <c r="J2633">
        <v>2</v>
      </c>
      <c r="K2633" s="6">
        <v>9</v>
      </c>
      <c r="L2633" s="2">
        <v>3.99</v>
      </c>
      <c r="M2633" s="6">
        <v>52</v>
      </c>
      <c r="N2633" t="str" cm="1">
        <f t="array" ref="N2633">_xlfn.IFS(M2633&gt;=50,"50-60 Days", M2633&gt;=40,"40-50 Days", M2633&gt;=30, "30-40 Days", M2633&gt;=20, "20-30 Days", M2633&gt;=10, "10-20 Days", M2633&gt;=0, "0-10 Days")</f>
        <v>50-60 Days</v>
      </c>
    </row>
    <row r="2634" spans="1:14">
      <c r="A2634">
        <v>2633</v>
      </c>
      <c r="B2634" t="s">
        <v>29</v>
      </c>
      <c r="C2634" s="5">
        <v>44974</v>
      </c>
      <c r="D2634" s="8">
        <v>44974</v>
      </c>
      <c r="E2634" s="8" t="str">
        <f>IF(B2634="Inactive", EDATE(D2634,K2634), "")</f>
        <v/>
      </c>
      <c r="F2634" t="s">
        <v>10</v>
      </c>
      <c r="G2634">
        <v>11.2</v>
      </c>
      <c r="H2634" t="str" cm="1">
        <f t="array" ref="H2634">_xlfn.IFS(G2634&gt;=20,"20-25", G2634&gt;=15,"15-20", G2634&gt;=10,"10-15", G2634&gt;=5,"5-10", G2634&gt;=1,"1-5", G2634&lt;1,"Less than 1")</f>
        <v>10-15</v>
      </c>
      <c r="I2634">
        <v>1</v>
      </c>
      <c r="J2634">
        <v>2</v>
      </c>
      <c r="K2634" s="6">
        <v>9</v>
      </c>
      <c r="L2634" s="2">
        <v>6.99</v>
      </c>
      <c r="M2634" s="6">
        <v>1</v>
      </c>
      <c r="N2634" t="str" cm="1">
        <f t="array" ref="N2634">_xlfn.IFS(M2634&gt;=50,"50-60 Days", M2634&gt;=40,"40-50 Days", M2634&gt;=30, "30-40 Days", M2634&gt;=20, "20-30 Days", M2634&gt;=10, "10-20 Days", M2634&gt;=0, "0-10 Days")</f>
        <v>0-10 Days</v>
      </c>
    </row>
    <row r="2635" spans="1:14">
      <c r="A2635">
        <v>2634</v>
      </c>
      <c r="B2635" t="s">
        <v>28</v>
      </c>
      <c r="C2635" s="5">
        <v>44940</v>
      </c>
      <c r="D2635" s="8">
        <v>44940</v>
      </c>
      <c r="E2635" s="8">
        <f>IF(B2635="Inactive", EDATE(D2635,K2635), "")</f>
        <v>45244</v>
      </c>
      <c r="F2635" t="s">
        <v>14</v>
      </c>
      <c r="G2635">
        <v>24.3</v>
      </c>
      <c r="H2635" t="str" cm="1">
        <f t="array" ref="H2635">_xlfn.IFS(G2635&gt;=20,"20-25", G2635&gt;=15,"15-20", G2635&gt;=10,"10-15", G2635&gt;=5,"5-10", G2635&gt;=1,"1-5", G2635&lt;1,"Less than 1")</f>
        <v>20-25</v>
      </c>
      <c r="I2635">
        <v>6</v>
      </c>
      <c r="J2635">
        <v>3</v>
      </c>
      <c r="K2635" s="6">
        <v>10</v>
      </c>
      <c r="L2635" s="2">
        <v>3.99</v>
      </c>
      <c r="M2635" s="6">
        <v>17</v>
      </c>
      <c r="N2635" t="str" cm="1">
        <f t="array" ref="N2635">_xlfn.IFS(M2635&gt;=50,"50-60 Days", M2635&gt;=40,"40-50 Days", M2635&gt;=30, "30-40 Days", M2635&gt;=20, "20-30 Days", M2635&gt;=10, "10-20 Days", M2635&gt;=0, "0-10 Days")</f>
        <v>10-20 Days</v>
      </c>
    </row>
    <row r="2636" spans="1:14">
      <c r="A2636">
        <v>2635</v>
      </c>
      <c r="B2636" t="s">
        <v>28</v>
      </c>
      <c r="C2636" s="5">
        <v>45157</v>
      </c>
      <c r="D2636" s="8">
        <v>45157</v>
      </c>
      <c r="E2636" s="8">
        <f>IF(B2636="Inactive", EDATE(D2636,K2636), "")</f>
        <v>45431</v>
      </c>
      <c r="F2636" t="s">
        <v>10</v>
      </c>
      <c r="G2636">
        <v>22.9</v>
      </c>
      <c r="H2636" t="str" cm="1">
        <f t="array" ref="H2636">_xlfn.IFS(G2636&gt;=20,"20-25", G2636&gt;=15,"15-20", G2636&gt;=10,"10-15", G2636&gt;=5,"5-10", G2636&gt;=1,"1-5", G2636&lt;1,"Less than 1")</f>
        <v>20-25</v>
      </c>
      <c r="I2636">
        <v>4</v>
      </c>
      <c r="J2636">
        <v>0</v>
      </c>
      <c r="K2636" s="6">
        <v>9</v>
      </c>
      <c r="L2636" s="2">
        <v>6.99</v>
      </c>
      <c r="M2636" s="6">
        <v>45</v>
      </c>
      <c r="N2636" t="str" cm="1">
        <f t="array" ref="N2636">_xlfn.IFS(M2636&gt;=50,"50-60 Days", M2636&gt;=40,"40-50 Days", M2636&gt;=30, "30-40 Days", M2636&gt;=20, "20-30 Days", M2636&gt;=10, "10-20 Days", M2636&gt;=0, "0-10 Days")</f>
        <v>40-50 Days</v>
      </c>
    </row>
    <row r="2637" spans="1:14">
      <c r="A2637">
        <v>2636</v>
      </c>
      <c r="B2637" t="s">
        <v>28</v>
      </c>
      <c r="C2637" s="5">
        <v>45532</v>
      </c>
      <c r="D2637" s="8">
        <v>45532</v>
      </c>
      <c r="E2637" s="8">
        <f>IF(B2637="Inactive", EDATE(D2637,K2637), "")</f>
        <v>45563</v>
      </c>
      <c r="F2637" t="s">
        <v>14</v>
      </c>
      <c r="G2637">
        <v>20.3</v>
      </c>
      <c r="H2637" t="str" cm="1">
        <f t="array" ref="H2637">_xlfn.IFS(G2637&gt;=20,"20-25", G2637&gt;=15,"15-20", G2637&gt;=10,"10-15", G2637&gt;=5,"5-10", G2637&gt;=1,"1-5", G2637&lt;1,"Less than 1")</f>
        <v>20-25</v>
      </c>
      <c r="I2637">
        <v>8</v>
      </c>
      <c r="J2637">
        <v>2</v>
      </c>
      <c r="K2637" s="6">
        <v>1</v>
      </c>
      <c r="L2637" s="2">
        <v>3.99</v>
      </c>
      <c r="M2637" s="6">
        <v>6</v>
      </c>
      <c r="N2637" t="str" cm="1">
        <f t="array" ref="N2637">_xlfn.IFS(M2637&gt;=50,"50-60 Days", M2637&gt;=40,"40-50 Days", M2637&gt;=30, "30-40 Days", M2637&gt;=20, "20-30 Days", M2637&gt;=10, "10-20 Days", M2637&gt;=0, "0-10 Days")</f>
        <v>0-10 Days</v>
      </c>
    </row>
    <row r="2638" spans="1:14">
      <c r="A2638">
        <v>2637</v>
      </c>
      <c r="B2638" t="s">
        <v>28</v>
      </c>
      <c r="C2638" s="5">
        <v>45126</v>
      </c>
      <c r="D2638" s="8">
        <v>45126</v>
      </c>
      <c r="E2638" s="8">
        <f>IF(B2638="Inactive", EDATE(D2638,K2638), "")</f>
        <v>45462</v>
      </c>
      <c r="F2638" t="s">
        <v>14</v>
      </c>
      <c r="G2638">
        <v>1.5</v>
      </c>
      <c r="H2638" t="str" cm="1">
        <f t="array" ref="H2638">_xlfn.IFS(G2638&gt;=20,"20-25", G2638&gt;=15,"15-20", G2638&gt;=10,"10-15", G2638&gt;=5,"5-10", G2638&gt;=1,"1-5", G2638&lt;1,"Less than 1")</f>
        <v>1-5</v>
      </c>
      <c r="I2638">
        <v>0</v>
      </c>
      <c r="J2638">
        <v>2</v>
      </c>
      <c r="K2638" s="6">
        <v>11</v>
      </c>
      <c r="L2638" s="2">
        <v>3.99</v>
      </c>
      <c r="M2638" s="6">
        <v>49</v>
      </c>
      <c r="N2638" t="str" cm="1">
        <f t="array" ref="N2638">_xlfn.IFS(M2638&gt;=50,"50-60 Days", M2638&gt;=40,"40-50 Days", M2638&gt;=30, "30-40 Days", M2638&gt;=20, "20-30 Days", M2638&gt;=10, "10-20 Days", M2638&gt;=0, "0-10 Days")</f>
        <v>40-50 Days</v>
      </c>
    </row>
    <row r="2639" spans="1:14">
      <c r="A2639">
        <v>2638</v>
      </c>
      <c r="B2639" t="s">
        <v>28</v>
      </c>
      <c r="C2639" s="5">
        <v>45508</v>
      </c>
      <c r="D2639" s="8">
        <v>45508</v>
      </c>
      <c r="E2639" s="8">
        <f>IF(B2639="Inactive", EDATE(D2639,K2639), "")</f>
        <v>45781</v>
      </c>
      <c r="F2639" t="s">
        <v>14</v>
      </c>
      <c r="G2639">
        <v>13.9</v>
      </c>
      <c r="H2639" t="str" cm="1">
        <f t="array" ref="H2639">_xlfn.IFS(G2639&gt;=20,"20-25", G2639&gt;=15,"15-20", G2639&gt;=10,"10-15", G2639&gt;=5,"5-10", G2639&gt;=1,"1-5", G2639&lt;1,"Less than 1")</f>
        <v>10-15</v>
      </c>
      <c r="I2639">
        <v>4</v>
      </c>
      <c r="J2639">
        <v>4</v>
      </c>
      <c r="K2639" s="6">
        <v>9</v>
      </c>
      <c r="L2639" s="2">
        <v>3.99</v>
      </c>
      <c r="M2639" s="6">
        <v>9</v>
      </c>
      <c r="N2639" t="str" cm="1">
        <f t="array" ref="N2639">_xlfn.IFS(M2639&gt;=50,"50-60 Days", M2639&gt;=40,"40-50 Days", M2639&gt;=30, "30-40 Days", M2639&gt;=20, "20-30 Days", M2639&gt;=10, "10-20 Days", M2639&gt;=0, "0-10 Days")</f>
        <v>0-10 Days</v>
      </c>
    </row>
    <row r="2640" spans="1:14">
      <c r="A2640">
        <v>2639</v>
      </c>
      <c r="B2640" t="s">
        <v>28</v>
      </c>
      <c r="C2640" s="5">
        <v>45370</v>
      </c>
      <c r="D2640" s="8">
        <v>45370</v>
      </c>
      <c r="E2640" s="8">
        <f>IF(B2640="Inactive", EDATE(D2640,K2640), "")</f>
        <v>45645</v>
      </c>
      <c r="F2640" t="s">
        <v>10</v>
      </c>
      <c r="G2640">
        <v>4.4000000000000004</v>
      </c>
      <c r="H2640" t="str" cm="1">
        <f t="array" ref="H2640">_xlfn.IFS(G2640&gt;=20,"20-25", G2640&gt;=15,"15-20", G2640&gt;=10,"10-15", G2640&gt;=5,"5-10", G2640&gt;=1,"1-5", G2640&lt;1,"Less than 1")</f>
        <v>1-5</v>
      </c>
      <c r="I2640">
        <v>7</v>
      </c>
      <c r="J2640">
        <v>0</v>
      </c>
      <c r="K2640" s="6">
        <v>9</v>
      </c>
      <c r="L2640" s="2">
        <v>6.99</v>
      </c>
      <c r="M2640" s="6">
        <v>33</v>
      </c>
      <c r="N2640" t="str" cm="1">
        <f t="array" ref="N2640">_xlfn.IFS(M2640&gt;=50,"50-60 Days", M2640&gt;=40,"40-50 Days", M2640&gt;=30, "30-40 Days", M2640&gt;=20, "20-30 Days", M2640&gt;=10, "10-20 Days", M2640&gt;=0, "0-10 Days")</f>
        <v>30-40 Days</v>
      </c>
    </row>
    <row r="2641" spans="1:14">
      <c r="A2641">
        <v>2640</v>
      </c>
      <c r="B2641" t="s">
        <v>29</v>
      </c>
      <c r="C2641" s="5">
        <v>45603</v>
      </c>
      <c r="D2641" s="8">
        <v>45603</v>
      </c>
      <c r="E2641" s="8" t="str">
        <f>IF(B2641="Inactive", EDATE(D2641,K2641), "")</f>
        <v/>
      </c>
      <c r="F2641" t="s">
        <v>10</v>
      </c>
      <c r="G2641">
        <v>13.2</v>
      </c>
      <c r="H2641" t="str" cm="1">
        <f t="array" ref="H2641">_xlfn.IFS(G2641&gt;=20,"20-25", G2641&gt;=15,"15-20", G2641&gt;=10,"10-15", G2641&gt;=5,"5-10", G2641&gt;=1,"1-5", G2641&lt;1,"Less than 1")</f>
        <v>10-15</v>
      </c>
      <c r="I2641">
        <v>1</v>
      </c>
      <c r="J2641">
        <v>3</v>
      </c>
      <c r="K2641" s="6">
        <v>12</v>
      </c>
      <c r="L2641" s="2">
        <v>6.99</v>
      </c>
      <c r="M2641" s="6">
        <v>33</v>
      </c>
      <c r="N2641" t="str" cm="1">
        <f t="array" ref="N2641">_xlfn.IFS(M2641&gt;=50,"50-60 Days", M2641&gt;=40,"40-50 Days", M2641&gt;=30, "30-40 Days", M2641&gt;=20, "20-30 Days", M2641&gt;=10, "10-20 Days", M2641&gt;=0, "0-10 Days")</f>
        <v>30-40 Days</v>
      </c>
    </row>
    <row r="2642" spans="1:14">
      <c r="A2642">
        <v>2641</v>
      </c>
      <c r="B2642" t="s">
        <v>29</v>
      </c>
      <c r="C2642" s="5">
        <v>45532</v>
      </c>
      <c r="D2642" s="8">
        <v>45532</v>
      </c>
      <c r="E2642" s="8" t="str">
        <f>IF(B2642="Inactive", EDATE(D2642,K2642), "")</f>
        <v/>
      </c>
      <c r="F2642" t="s">
        <v>10</v>
      </c>
      <c r="G2642">
        <v>19.600000000000001</v>
      </c>
      <c r="H2642" t="str" cm="1">
        <f t="array" ref="H2642">_xlfn.IFS(G2642&gt;=20,"20-25", G2642&gt;=15,"15-20", G2642&gt;=10,"10-15", G2642&gt;=5,"5-10", G2642&gt;=1,"1-5", G2642&lt;1,"Less than 1")</f>
        <v>15-20</v>
      </c>
      <c r="I2642">
        <v>1</v>
      </c>
      <c r="J2642">
        <v>2</v>
      </c>
      <c r="K2642" s="6">
        <v>11</v>
      </c>
      <c r="L2642" s="2">
        <v>6.99</v>
      </c>
      <c r="M2642" s="6">
        <v>1</v>
      </c>
      <c r="N2642" t="str" cm="1">
        <f t="array" ref="N2642">_xlfn.IFS(M2642&gt;=50,"50-60 Days", M2642&gt;=40,"40-50 Days", M2642&gt;=30, "30-40 Days", M2642&gt;=20, "20-30 Days", M2642&gt;=10, "10-20 Days", M2642&gt;=0, "0-10 Days")</f>
        <v>0-10 Days</v>
      </c>
    </row>
    <row r="2643" spans="1:14">
      <c r="A2643">
        <v>2642</v>
      </c>
      <c r="B2643" t="s">
        <v>29</v>
      </c>
      <c r="C2643" s="5">
        <v>44950</v>
      </c>
      <c r="D2643" s="8">
        <v>44950</v>
      </c>
      <c r="E2643" s="8" t="str">
        <f>IF(B2643="Inactive", EDATE(D2643,K2643), "")</f>
        <v/>
      </c>
      <c r="F2643" t="s">
        <v>14</v>
      </c>
      <c r="G2643">
        <v>9.4</v>
      </c>
      <c r="H2643" t="str" cm="1">
        <f t="array" ref="H2643">_xlfn.IFS(G2643&gt;=20,"20-25", G2643&gt;=15,"15-20", G2643&gt;=10,"10-15", G2643&gt;=5,"5-10", G2643&gt;=1,"1-5", G2643&lt;1,"Less than 1")</f>
        <v>5-10</v>
      </c>
      <c r="I2643">
        <v>1</v>
      </c>
      <c r="J2643">
        <v>4</v>
      </c>
      <c r="K2643" s="6">
        <v>4</v>
      </c>
      <c r="L2643" s="2">
        <v>3.99</v>
      </c>
      <c r="M2643" s="6">
        <v>29</v>
      </c>
      <c r="N2643" t="str" cm="1">
        <f t="array" ref="N2643">_xlfn.IFS(M2643&gt;=50,"50-60 Days", M2643&gt;=40,"40-50 Days", M2643&gt;=30, "30-40 Days", M2643&gt;=20, "20-30 Days", M2643&gt;=10, "10-20 Days", M2643&gt;=0, "0-10 Days")</f>
        <v>20-30 Days</v>
      </c>
    </row>
    <row r="2644" spans="1:14">
      <c r="A2644">
        <v>2643</v>
      </c>
      <c r="B2644" t="s">
        <v>29</v>
      </c>
      <c r="C2644" s="5">
        <v>45294</v>
      </c>
      <c r="D2644" s="8">
        <v>45294</v>
      </c>
      <c r="E2644" s="8" t="str">
        <f>IF(B2644="Inactive", EDATE(D2644,K2644), "")</f>
        <v/>
      </c>
      <c r="F2644" t="s">
        <v>10</v>
      </c>
      <c r="G2644">
        <v>3.6</v>
      </c>
      <c r="H2644" t="str" cm="1">
        <f t="array" ref="H2644">_xlfn.IFS(G2644&gt;=20,"20-25", G2644&gt;=15,"15-20", G2644&gt;=10,"10-15", G2644&gt;=5,"5-10", G2644&gt;=1,"1-5", G2644&lt;1,"Less than 1")</f>
        <v>1-5</v>
      </c>
      <c r="I2644">
        <v>1</v>
      </c>
      <c r="J2644">
        <v>1</v>
      </c>
      <c r="K2644" s="6">
        <v>6</v>
      </c>
      <c r="L2644" s="2">
        <v>6.99</v>
      </c>
      <c r="M2644" s="6">
        <v>27</v>
      </c>
      <c r="N2644" t="str" cm="1">
        <f t="array" ref="N2644">_xlfn.IFS(M2644&gt;=50,"50-60 Days", M2644&gt;=40,"40-50 Days", M2644&gt;=30, "30-40 Days", M2644&gt;=20, "20-30 Days", M2644&gt;=10, "10-20 Days", M2644&gt;=0, "0-10 Days")</f>
        <v>20-30 Days</v>
      </c>
    </row>
    <row r="2645" spans="1:14">
      <c r="A2645">
        <v>2644</v>
      </c>
      <c r="B2645" t="s">
        <v>28</v>
      </c>
      <c r="C2645" s="5">
        <v>45007</v>
      </c>
      <c r="D2645" s="8">
        <v>45007</v>
      </c>
      <c r="E2645" s="8">
        <f>IF(B2645="Inactive", EDATE(D2645,K2645), "")</f>
        <v>45373</v>
      </c>
      <c r="F2645" t="s">
        <v>14</v>
      </c>
      <c r="G2645">
        <v>14.6</v>
      </c>
      <c r="H2645" t="str" cm="1">
        <f t="array" ref="H2645">_xlfn.IFS(G2645&gt;=20,"20-25", G2645&gt;=15,"15-20", G2645&gt;=10,"10-15", G2645&gt;=5,"5-10", G2645&gt;=1,"1-5", G2645&lt;1,"Less than 1")</f>
        <v>10-15</v>
      </c>
      <c r="I2645">
        <v>2</v>
      </c>
      <c r="J2645">
        <v>3</v>
      </c>
      <c r="K2645" s="6">
        <v>12</v>
      </c>
      <c r="L2645" s="2">
        <v>3.99</v>
      </c>
      <c r="M2645" s="6">
        <v>0</v>
      </c>
      <c r="N2645" t="str" cm="1">
        <f t="array" ref="N2645">_xlfn.IFS(M2645&gt;=50,"50-60 Days", M2645&gt;=40,"40-50 Days", M2645&gt;=30, "30-40 Days", M2645&gt;=20, "20-30 Days", M2645&gt;=10, "10-20 Days", M2645&gt;=0, "0-10 Days")</f>
        <v>0-10 Days</v>
      </c>
    </row>
    <row r="2646" spans="1:14">
      <c r="A2646">
        <v>2645</v>
      </c>
      <c r="B2646" t="s">
        <v>28</v>
      </c>
      <c r="C2646" s="5">
        <v>45399</v>
      </c>
      <c r="D2646" s="8">
        <v>45399</v>
      </c>
      <c r="E2646" s="8">
        <f>IF(B2646="Inactive", EDATE(D2646,K2646), "")</f>
        <v>45429</v>
      </c>
      <c r="F2646" t="s">
        <v>10</v>
      </c>
      <c r="G2646">
        <v>19.100000000000001</v>
      </c>
      <c r="H2646" t="str" cm="1">
        <f t="array" ref="H2646">_xlfn.IFS(G2646&gt;=20,"20-25", G2646&gt;=15,"15-20", G2646&gt;=10,"10-15", G2646&gt;=5,"5-10", G2646&gt;=1,"1-5", G2646&lt;1,"Less than 1")</f>
        <v>15-20</v>
      </c>
      <c r="I2646">
        <v>5</v>
      </c>
      <c r="J2646">
        <v>1</v>
      </c>
      <c r="K2646" s="6">
        <v>1</v>
      </c>
      <c r="L2646" s="2">
        <v>6.99</v>
      </c>
      <c r="M2646" s="6">
        <v>60</v>
      </c>
      <c r="N2646" t="str" cm="1">
        <f t="array" ref="N2646">_xlfn.IFS(M2646&gt;=50,"50-60 Days", M2646&gt;=40,"40-50 Days", M2646&gt;=30, "30-40 Days", M2646&gt;=20, "20-30 Days", M2646&gt;=10, "10-20 Days", M2646&gt;=0, "0-10 Days")</f>
        <v>50-60 Days</v>
      </c>
    </row>
    <row r="2647" spans="1:14">
      <c r="A2647">
        <v>2646</v>
      </c>
      <c r="B2647" t="s">
        <v>28</v>
      </c>
      <c r="C2647" s="5">
        <v>45650</v>
      </c>
      <c r="D2647" s="8">
        <v>45650</v>
      </c>
      <c r="E2647" s="8">
        <f>IF(B2647="Inactive", EDATE(D2647,K2647), "")</f>
        <v>45893</v>
      </c>
      <c r="F2647" t="s">
        <v>14</v>
      </c>
      <c r="G2647">
        <v>13</v>
      </c>
      <c r="H2647" t="str" cm="1">
        <f t="array" ref="H2647">_xlfn.IFS(G2647&gt;=20,"20-25", G2647&gt;=15,"15-20", G2647&gt;=10,"10-15", G2647&gt;=5,"5-10", G2647&gt;=1,"1-5", G2647&lt;1,"Less than 1")</f>
        <v>10-15</v>
      </c>
      <c r="I2647">
        <v>1</v>
      </c>
      <c r="J2647">
        <v>3</v>
      </c>
      <c r="K2647" s="6">
        <v>8</v>
      </c>
      <c r="L2647" s="2">
        <v>3.99</v>
      </c>
      <c r="M2647" s="6">
        <v>31</v>
      </c>
      <c r="N2647" t="str" cm="1">
        <f t="array" ref="N2647">_xlfn.IFS(M2647&gt;=50,"50-60 Days", M2647&gt;=40,"40-50 Days", M2647&gt;=30, "30-40 Days", M2647&gt;=20, "20-30 Days", M2647&gt;=10, "10-20 Days", M2647&gt;=0, "0-10 Days")</f>
        <v>30-40 Days</v>
      </c>
    </row>
    <row r="2648" spans="1:14">
      <c r="A2648">
        <v>2647</v>
      </c>
      <c r="B2648" t="s">
        <v>29</v>
      </c>
      <c r="C2648" s="5">
        <v>45025</v>
      </c>
      <c r="D2648" s="8">
        <v>45025</v>
      </c>
      <c r="E2648" s="8" t="str">
        <f>IF(B2648="Inactive", EDATE(D2648,K2648), "")</f>
        <v/>
      </c>
      <c r="F2648" t="s">
        <v>12</v>
      </c>
      <c r="G2648">
        <v>12.5</v>
      </c>
      <c r="H2648" t="str" cm="1">
        <f t="array" ref="H2648">_xlfn.IFS(G2648&gt;=20,"20-25", G2648&gt;=15,"15-20", G2648&gt;=10,"10-15", G2648&gt;=5,"5-10", G2648&gt;=1,"1-5", G2648&lt;1,"Less than 1")</f>
        <v>10-15</v>
      </c>
      <c r="I2648">
        <v>6</v>
      </c>
      <c r="J2648">
        <v>4</v>
      </c>
      <c r="K2648" s="6">
        <v>3</v>
      </c>
      <c r="L2648" s="2">
        <v>1.99</v>
      </c>
      <c r="M2648" s="6">
        <v>11</v>
      </c>
      <c r="N2648" t="str" cm="1">
        <f t="array" ref="N2648">_xlfn.IFS(M2648&gt;=50,"50-60 Days", M2648&gt;=40,"40-50 Days", M2648&gt;=30, "30-40 Days", M2648&gt;=20, "20-30 Days", M2648&gt;=10, "10-20 Days", M2648&gt;=0, "0-10 Days")</f>
        <v>10-20 Days</v>
      </c>
    </row>
    <row r="2649" spans="1:14">
      <c r="A2649">
        <v>2648</v>
      </c>
      <c r="B2649" t="s">
        <v>28</v>
      </c>
      <c r="C2649" s="5">
        <v>45068</v>
      </c>
      <c r="D2649" s="8">
        <v>45068</v>
      </c>
      <c r="E2649" s="8">
        <f>IF(B2649="Inactive", EDATE(D2649,K2649), "")</f>
        <v>45434</v>
      </c>
      <c r="F2649" t="s">
        <v>10</v>
      </c>
      <c r="G2649">
        <v>4</v>
      </c>
      <c r="H2649" t="str" cm="1">
        <f t="array" ref="H2649">_xlfn.IFS(G2649&gt;=20,"20-25", G2649&gt;=15,"15-20", G2649&gt;=10,"10-15", G2649&gt;=5,"5-10", G2649&gt;=1,"1-5", G2649&lt;1,"Less than 1")</f>
        <v>1-5</v>
      </c>
      <c r="I2649">
        <v>1</v>
      </c>
      <c r="J2649">
        <v>4</v>
      </c>
      <c r="K2649" s="6">
        <v>12</v>
      </c>
      <c r="L2649" s="2">
        <v>6.99</v>
      </c>
      <c r="M2649" s="6">
        <v>45</v>
      </c>
      <c r="N2649" t="str" cm="1">
        <f t="array" ref="N2649">_xlfn.IFS(M2649&gt;=50,"50-60 Days", M2649&gt;=40,"40-50 Days", M2649&gt;=30, "30-40 Days", M2649&gt;=20, "20-30 Days", M2649&gt;=10, "10-20 Days", M2649&gt;=0, "0-10 Days")</f>
        <v>40-50 Days</v>
      </c>
    </row>
    <row r="2650" spans="1:14">
      <c r="A2650">
        <v>2649</v>
      </c>
      <c r="B2650" t="s">
        <v>28</v>
      </c>
      <c r="C2650" s="5">
        <v>45451</v>
      </c>
      <c r="D2650" s="8">
        <v>45451</v>
      </c>
      <c r="E2650" s="8">
        <f>IF(B2650="Inactive", EDATE(D2650,K2650), "")</f>
        <v>45634</v>
      </c>
      <c r="F2650" t="s">
        <v>14</v>
      </c>
      <c r="G2650">
        <v>4.8</v>
      </c>
      <c r="H2650" t="str" cm="1">
        <f t="array" ref="H2650">_xlfn.IFS(G2650&gt;=20,"20-25", G2650&gt;=15,"15-20", G2650&gt;=10,"10-15", G2650&gt;=5,"5-10", G2650&gt;=1,"1-5", G2650&lt;1,"Less than 1")</f>
        <v>1-5</v>
      </c>
      <c r="I2650">
        <v>2</v>
      </c>
      <c r="J2650">
        <v>4</v>
      </c>
      <c r="K2650" s="6">
        <v>6</v>
      </c>
      <c r="L2650" s="2">
        <v>3.99</v>
      </c>
      <c r="M2650" s="6">
        <v>60</v>
      </c>
      <c r="N2650" t="str" cm="1">
        <f t="array" ref="N2650">_xlfn.IFS(M2650&gt;=50,"50-60 Days", M2650&gt;=40,"40-50 Days", M2650&gt;=30, "30-40 Days", M2650&gt;=20, "20-30 Days", M2650&gt;=10, "10-20 Days", M2650&gt;=0, "0-10 Days")</f>
        <v>50-60 Days</v>
      </c>
    </row>
    <row r="2651" spans="1:14">
      <c r="A2651">
        <v>2650</v>
      </c>
      <c r="B2651" t="s">
        <v>28</v>
      </c>
      <c r="C2651" s="5">
        <v>45062</v>
      </c>
      <c r="D2651" s="8">
        <v>45062</v>
      </c>
      <c r="E2651" s="8">
        <f>IF(B2651="Inactive", EDATE(D2651,K2651), "")</f>
        <v>45123</v>
      </c>
      <c r="F2651" t="s">
        <v>10</v>
      </c>
      <c r="G2651">
        <v>11.5</v>
      </c>
      <c r="H2651" t="str" cm="1">
        <f t="array" ref="H2651">_xlfn.IFS(G2651&gt;=20,"20-25", G2651&gt;=15,"15-20", G2651&gt;=10,"10-15", G2651&gt;=5,"5-10", G2651&gt;=1,"1-5", G2651&lt;1,"Less than 1")</f>
        <v>10-15</v>
      </c>
      <c r="I2651">
        <v>4</v>
      </c>
      <c r="J2651">
        <v>5</v>
      </c>
      <c r="K2651" s="6">
        <v>2</v>
      </c>
      <c r="L2651" s="2">
        <v>6.99</v>
      </c>
      <c r="M2651" s="6">
        <v>46</v>
      </c>
      <c r="N2651" t="str" cm="1">
        <f t="array" ref="N2651">_xlfn.IFS(M2651&gt;=50,"50-60 Days", M2651&gt;=40,"40-50 Days", M2651&gt;=30, "30-40 Days", M2651&gt;=20, "20-30 Days", M2651&gt;=10, "10-20 Days", M2651&gt;=0, "0-10 Days")</f>
        <v>40-50 Days</v>
      </c>
    </row>
    <row r="2652" spans="1:14">
      <c r="A2652">
        <v>2651</v>
      </c>
      <c r="B2652" t="s">
        <v>29</v>
      </c>
      <c r="C2652" s="5">
        <v>44973</v>
      </c>
      <c r="D2652" s="8">
        <v>44973</v>
      </c>
      <c r="E2652" s="8" t="str">
        <f>IF(B2652="Inactive", EDATE(D2652,K2652), "")</f>
        <v/>
      </c>
      <c r="F2652" t="s">
        <v>12</v>
      </c>
      <c r="G2652">
        <v>9</v>
      </c>
      <c r="H2652" t="str" cm="1">
        <f t="array" ref="H2652">_xlfn.IFS(G2652&gt;=20,"20-25", G2652&gt;=15,"15-20", G2652&gt;=10,"10-15", G2652&gt;=5,"5-10", G2652&gt;=1,"1-5", G2652&lt;1,"Less than 1")</f>
        <v>5-10</v>
      </c>
      <c r="I2652">
        <v>4</v>
      </c>
      <c r="J2652">
        <v>2</v>
      </c>
      <c r="K2652" s="6">
        <v>12</v>
      </c>
      <c r="L2652" s="2">
        <v>1.99</v>
      </c>
      <c r="M2652" s="6">
        <v>31</v>
      </c>
      <c r="N2652" t="str" cm="1">
        <f t="array" ref="N2652">_xlfn.IFS(M2652&gt;=50,"50-60 Days", M2652&gt;=40,"40-50 Days", M2652&gt;=30, "30-40 Days", M2652&gt;=20, "20-30 Days", M2652&gt;=10, "10-20 Days", M2652&gt;=0, "0-10 Days")</f>
        <v>30-40 Days</v>
      </c>
    </row>
    <row r="2653" spans="1:14">
      <c r="A2653">
        <v>2652</v>
      </c>
      <c r="B2653" t="s">
        <v>29</v>
      </c>
      <c r="C2653" s="5">
        <v>45056</v>
      </c>
      <c r="D2653" s="8">
        <v>45056</v>
      </c>
      <c r="E2653" s="8" t="str">
        <f>IF(B2653="Inactive", EDATE(D2653,K2653), "")</f>
        <v/>
      </c>
      <c r="F2653" t="s">
        <v>14</v>
      </c>
      <c r="G2653">
        <v>19.600000000000001</v>
      </c>
      <c r="H2653" t="str" cm="1">
        <f t="array" ref="H2653">_xlfn.IFS(G2653&gt;=20,"20-25", G2653&gt;=15,"15-20", G2653&gt;=10,"10-15", G2653&gt;=5,"5-10", G2653&gt;=1,"1-5", G2653&lt;1,"Less than 1")</f>
        <v>15-20</v>
      </c>
      <c r="I2653">
        <v>2</v>
      </c>
      <c r="J2653">
        <v>0</v>
      </c>
      <c r="K2653" s="6">
        <v>10</v>
      </c>
      <c r="L2653" s="2">
        <v>3.99</v>
      </c>
      <c r="M2653" s="6">
        <v>54</v>
      </c>
      <c r="N2653" t="str" cm="1">
        <f t="array" ref="N2653">_xlfn.IFS(M2653&gt;=50,"50-60 Days", M2653&gt;=40,"40-50 Days", M2653&gt;=30, "30-40 Days", M2653&gt;=20, "20-30 Days", M2653&gt;=10, "10-20 Days", M2653&gt;=0, "0-10 Days")</f>
        <v>50-60 Days</v>
      </c>
    </row>
    <row r="2654" spans="1:14">
      <c r="A2654">
        <v>2653</v>
      </c>
      <c r="B2654" t="s">
        <v>28</v>
      </c>
      <c r="C2654" s="5">
        <v>45335</v>
      </c>
      <c r="D2654" s="8">
        <v>45335</v>
      </c>
      <c r="E2654" s="8">
        <f>IF(B2654="Inactive", EDATE(D2654,K2654), "")</f>
        <v>45670</v>
      </c>
      <c r="F2654" t="s">
        <v>14</v>
      </c>
      <c r="G2654">
        <v>20.8</v>
      </c>
      <c r="H2654" t="str" cm="1">
        <f t="array" ref="H2654">_xlfn.IFS(G2654&gt;=20,"20-25", G2654&gt;=15,"15-20", G2654&gt;=10,"10-15", G2654&gt;=5,"5-10", G2654&gt;=1,"1-5", G2654&lt;1,"Less than 1")</f>
        <v>20-25</v>
      </c>
      <c r="I2654">
        <v>0</v>
      </c>
      <c r="J2654">
        <v>5</v>
      </c>
      <c r="K2654" s="6">
        <v>11</v>
      </c>
      <c r="L2654" s="2">
        <v>3.99</v>
      </c>
      <c r="M2654" s="6">
        <v>3</v>
      </c>
      <c r="N2654" t="str" cm="1">
        <f t="array" ref="N2654">_xlfn.IFS(M2654&gt;=50,"50-60 Days", M2654&gt;=40,"40-50 Days", M2654&gt;=30, "30-40 Days", M2654&gt;=20, "20-30 Days", M2654&gt;=10, "10-20 Days", M2654&gt;=0, "0-10 Days")</f>
        <v>0-10 Days</v>
      </c>
    </row>
    <row r="2655" spans="1:14">
      <c r="A2655">
        <v>2654</v>
      </c>
      <c r="B2655" t="s">
        <v>28</v>
      </c>
      <c r="C2655" s="5">
        <v>45066</v>
      </c>
      <c r="D2655" s="8">
        <v>45066</v>
      </c>
      <c r="E2655" s="8">
        <f>IF(B2655="Inactive", EDATE(D2655,K2655), "")</f>
        <v>45311</v>
      </c>
      <c r="F2655" t="s">
        <v>12</v>
      </c>
      <c r="G2655">
        <v>10.5</v>
      </c>
      <c r="H2655" t="str" cm="1">
        <f t="array" ref="H2655">_xlfn.IFS(G2655&gt;=20,"20-25", G2655&gt;=15,"15-20", G2655&gt;=10,"10-15", G2655&gt;=5,"5-10", G2655&gt;=1,"1-5", G2655&lt;1,"Less than 1")</f>
        <v>10-15</v>
      </c>
      <c r="I2655">
        <v>0</v>
      </c>
      <c r="J2655">
        <v>3</v>
      </c>
      <c r="K2655" s="6">
        <v>8</v>
      </c>
      <c r="L2655" s="2">
        <v>1.99</v>
      </c>
      <c r="M2655" s="6">
        <v>10</v>
      </c>
      <c r="N2655" t="str" cm="1">
        <f t="array" ref="N2655">_xlfn.IFS(M2655&gt;=50,"50-60 Days", M2655&gt;=40,"40-50 Days", M2655&gt;=30, "30-40 Days", M2655&gt;=20, "20-30 Days", M2655&gt;=10, "10-20 Days", M2655&gt;=0, "0-10 Days")</f>
        <v>10-20 Days</v>
      </c>
    </row>
    <row r="2656" spans="1:14">
      <c r="A2656">
        <v>2655</v>
      </c>
      <c r="B2656" t="s">
        <v>29</v>
      </c>
      <c r="C2656" s="5">
        <v>45262</v>
      </c>
      <c r="D2656" s="8">
        <v>45262</v>
      </c>
      <c r="E2656" s="8" t="str">
        <f>IF(B2656="Inactive", EDATE(D2656,K2656), "")</f>
        <v/>
      </c>
      <c r="F2656" t="s">
        <v>14</v>
      </c>
      <c r="G2656">
        <v>24.8</v>
      </c>
      <c r="H2656" t="str" cm="1">
        <f t="array" ref="H2656">_xlfn.IFS(G2656&gt;=20,"20-25", G2656&gt;=15,"15-20", G2656&gt;=10,"10-15", G2656&gt;=5,"5-10", G2656&gt;=1,"1-5", G2656&lt;1,"Less than 1")</f>
        <v>20-25</v>
      </c>
      <c r="I2656">
        <v>8</v>
      </c>
      <c r="J2656">
        <v>1</v>
      </c>
      <c r="K2656" s="6">
        <v>11</v>
      </c>
      <c r="L2656" s="2">
        <v>3.99</v>
      </c>
      <c r="M2656" s="6">
        <v>58</v>
      </c>
      <c r="N2656" t="str" cm="1">
        <f t="array" ref="N2656">_xlfn.IFS(M2656&gt;=50,"50-60 Days", M2656&gt;=40,"40-50 Days", M2656&gt;=30, "30-40 Days", M2656&gt;=20, "20-30 Days", M2656&gt;=10, "10-20 Days", M2656&gt;=0, "0-10 Days")</f>
        <v>50-60 Days</v>
      </c>
    </row>
    <row r="2657" spans="1:14">
      <c r="A2657">
        <v>2656</v>
      </c>
      <c r="B2657" t="s">
        <v>28</v>
      </c>
      <c r="C2657" s="5">
        <v>45456</v>
      </c>
      <c r="D2657" s="8">
        <v>45456</v>
      </c>
      <c r="E2657" s="8">
        <f>IF(B2657="Inactive", EDATE(D2657,K2657), "")</f>
        <v>45639</v>
      </c>
      <c r="F2657" t="s">
        <v>10</v>
      </c>
      <c r="G2657">
        <v>0.6</v>
      </c>
      <c r="H2657" t="str" cm="1">
        <f t="array" ref="H2657">_xlfn.IFS(G2657&gt;=20,"20-25", G2657&gt;=15,"15-20", G2657&gt;=10,"10-15", G2657&gt;=5,"5-10", G2657&gt;=1,"1-5", G2657&lt;1,"Less than 1")</f>
        <v>Less than 1</v>
      </c>
      <c r="I2657">
        <v>1</v>
      </c>
      <c r="J2657">
        <v>3</v>
      </c>
      <c r="K2657" s="6">
        <v>6</v>
      </c>
      <c r="L2657" s="2">
        <v>6.99</v>
      </c>
      <c r="M2657" s="6">
        <v>33</v>
      </c>
      <c r="N2657" t="str" cm="1">
        <f t="array" ref="N2657">_xlfn.IFS(M2657&gt;=50,"50-60 Days", M2657&gt;=40,"40-50 Days", M2657&gt;=30, "30-40 Days", M2657&gt;=20, "20-30 Days", M2657&gt;=10, "10-20 Days", M2657&gt;=0, "0-10 Days")</f>
        <v>30-40 Days</v>
      </c>
    </row>
    <row r="2658" spans="1:14">
      <c r="A2658">
        <v>2657</v>
      </c>
      <c r="B2658" t="s">
        <v>28</v>
      </c>
      <c r="C2658" s="5">
        <v>45356</v>
      </c>
      <c r="D2658" s="8">
        <v>45356</v>
      </c>
      <c r="E2658" s="8">
        <f>IF(B2658="Inactive", EDATE(D2658,K2658), "")</f>
        <v>45478</v>
      </c>
      <c r="F2658" t="s">
        <v>12</v>
      </c>
      <c r="G2658">
        <v>17.399999999999999</v>
      </c>
      <c r="H2658" t="str" cm="1">
        <f t="array" ref="H2658">_xlfn.IFS(G2658&gt;=20,"20-25", G2658&gt;=15,"15-20", G2658&gt;=10,"10-15", G2658&gt;=5,"5-10", G2658&gt;=1,"1-5", G2658&lt;1,"Less than 1")</f>
        <v>15-20</v>
      </c>
      <c r="I2658">
        <v>7</v>
      </c>
      <c r="J2658">
        <v>1</v>
      </c>
      <c r="K2658" s="6">
        <v>4</v>
      </c>
      <c r="L2658" s="2">
        <v>1.99</v>
      </c>
      <c r="M2658" s="6">
        <v>5</v>
      </c>
      <c r="N2658" t="str" cm="1">
        <f t="array" ref="N2658">_xlfn.IFS(M2658&gt;=50,"50-60 Days", M2658&gt;=40,"40-50 Days", M2658&gt;=30, "30-40 Days", M2658&gt;=20, "20-30 Days", M2658&gt;=10, "10-20 Days", M2658&gt;=0, "0-10 Days")</f>
        <v>0-10 Days</v>
      </c>
    </row>
    <row r="2659" spans="1:14">
      <c r="A2659">
        <v>2658</v>
      </c>
      <c r="B2659" t="s">
        <v>28</v>
      </c>
      <c r="C2659" s="5">
        <v>44987</v>
      </c>
      <c r="D2659" s="8">
        <v>44987</v>
      </c>
      <c r="E2659" s="8">
        <f>IF(B2659="Inactive", EDATE(D2659,K2659), "")</f>
        <v>45262</v>
      </c>
      <c r="F2659" t="s">
        <v>12</v>
      </c>
      <c r="G2659">
        <v>23.6</v>
      </c>
      <c r="H2659" t="str" cm="1">
        <f t="array" ref="H2659">_xlfn.IFS(G2659&gt;=20,"20-25", G2659&gt;=15,"15-20", G2659&gt;=10,"10-15", G2659&gt;=5,"5-10", G2659&gt;=1,"1-5", G2659&lt;1,"Less than 1")</f>
        <v>20-25</v>
      </c>
      <c r="I2659">
        <v>8</v>
      </c>
      <c r="J2659">
        <v>2</v>
      </c>
      <c r="K2659" s="6">
        <v>9</v>
      </c>
      <c r="L2659" s="2">
        <v>1.99</v>
      </c>
      <c r="M2659" s="6">
        <v>0</v>
      </c>
      <c r="N2659" t="str" cm="1">
        <f t="array" ref="N2659">_xlfn.IFS(M2659&gt;=50,"50-60 Days", M2659&gt;=40,"40-50 Days", M2659&gt;=30, "30-40 Days", M2659&gt;=20, "20-30 Days", M2659&gt;=10, "10-20 Days", M2659&gt;=0, "0-10 Days")</f>
        <v>0-10 Days</v>
      </c>
    </row>
    <row r="2660" spans="1:14">
      <c r="A2660">
        <v>2659</v>
      </c>
      <c r="B2660" t="s">
        <v>29</v>
      </c>
      <c r="C2660" s="5">
        <v>44928</v>
      </c>
      <c r="D2660" s="8">
        <v>44928</v>
      </c>
      <c r="E2660" s="8" t="str">
        <f>IF(B2660="Inactive", EDATE(D2660,K2660), "")</f>
        <v/>
      </c>
      <c r="F2660" t="s">
        <v>14</v>
      </c>
      <c r="G2660">
        <v>16.2</v>
      </c>
      <c r="H2660" t="str" cm="1">
        <f t="array" ref="H2660">_xlfn.IFS(G2660&gt;=20,"20-25", G2660&gt;=15,"15-20", G2660&gt;=10,"10-15", G2660&gt;=5,"5-10", G2660&gt;=1,"1-5", G2660&lt;1,"Less than 1")</f>
        <v>15-20</v>
      </c>
      <c r="I2660">
        <v>0</v>
      </c>
      <c r="J2660">
        <v>0</v>
      </c>
      <c r="K2660" s="6">
        <v>12</v>
      </c>
      <c r="L2660" s="2">
        <v>3.99</v>
      </c>
      <c r="M2660" s="6">
        <v>7</v>
      </c>
      <c r="N2660" t="str" cm="1">
        <f t="array" ref="N2660">_xlfn.IFS(M2660&gt;=50,"50-60 Days", M2660&gt;=40,"40-50 Days", M2660&gt;=30, "30-40 Days", M2660&gt;=20, "20-30 Days", M2660&gt;=10, "10-20 Days", M2660&gt;=0, "0-10 Days")</f>
        <v>0-10 Days</v>
      </c>
    </row>
    <row r="2661" spans="1:14">
      <c r="A2661">
        <v>2660</v>
      </c>
      <c r="B2661" t="s">
        <v>28</v>
      </c>
      <c r="C2661" s="5">
        <v>45364</v>
      </c>
      <c r="D2661" s="8">
        <v>45364</v>
      </c>
      <c r="E2661" s="8">
        <f>IF(B2661="Inactive", EDATE(D2661,K2661), "")</f>
        <v>45486</v>
      </c>
      <c r="F2661" t="s">
        <v>10</v>
      </c>
      <c r="G2661">
        <v>21.2</v>
      </c>
      <c r="H2661" t="str" cm="1">
        <f t="array" ref="H2661">_xlfn.IFS(G2661&gt;=20,"20-25", G2661&gt;=15,"15-20", G2661&gt;=10,"10-15", G2661&gt;=5,"5-10", G2661&gt;=1,"1-5", G2661&lt;1,"Less than 1")</f>
        <v>20-25</v>
      </c>
      <c r="I2661">
        <v>1</v>
      </c>
      <c r="J2661">
        <v>5</v>
      </c>
      <c r="K2661" s="6">
        <v>4</v>
      </c>
      <c r="L2661" s="2">
        <v>6.99</v>
      </c>
      <c r="M2661" s="6">
        <v>5</v>
      </c>
      <c r="N2661" t="str" cm="1">
        <f t="array" ref="N2661">_xlfn.IFS(M2661&gt;=50,"50-60 Days", M2661&gt;=40,"40-50 Days", M2661&gt;=30, "30-40 Days", M2661&gt;=20, "20-30 Days", M2661&gt;=10, "10-20 Days", M2661&gt;=0, "0-10 Days")</f>
        <v>0-10 Days</v>
      </c>
    </row>
    <row r="2662" spans="1:14">
      <c r="A2662">
        <v>2661</v>
      </c>
      <c r="B2662" t="s">
        <v>29</v>
      </c>
      <c r="C2662" s="5">
        <v>45066</v>
      </c>
      <c r="D2662" s="8">
        <v>45066</v>
      </c>
      <c r="E2662" s="8" t="str">
        <f>IF(B2662="Inactive", EDATE(D2662,K2662), "")</f>
        <v/>
      </c>
      <c r="F2662" t="s">
        <v>12</v>
      </c>
      <c r="G2662">
        <v>18.7</v>
      </c>
      <c r="H2662" t="str" cm="1">
        <f t="array" ref="H2662">_xlfn.IFS(G2662&gt;=20,"20-25", G2662&gt;=15,"15-20", G2662&gt;=10,"10-15", G2662&gt;=5,"5-10", G2662&gt;=1,"1-5", G2662&lt;1,"Less than 1")</f>
        <v>15-20</v>
      </c>
      <c r="I2662">
        <v>3</v>
      </c>
      <c r="J2662">
        <v>3</v>
      </c>
      <c r="K2662" s="6">
        <v>1</v>
      </c>
      <c r="L2662" s="2">
        <v>1.99</v>
      </c>
      <c r="M2662" s="6">
        <v>3</v>
      </c>
      <c r="N2662" t="str" cm="1">
        <f t="array" ref="N2662">_xlfn.IFS(M2662&gt;=50,"50-60 Days", M2662&gt;=40,"40-50 Days", M2662&gt;=30, "30-40 Days", M2662&gt;=20, "20-30 Days", M2662&gt;=10, "10-20 Days", M2662&gt;=0, "0-10 Days")</f>
        <v>0-10 Days</v>
      </c>
    </row>
    <row r="2663" spans="1:14">
      <c r="A2663">
        <v>2662</v>
      </c>
      <c r="B2663" t="s">
        <v>28</v>
      </c>
      <c r="C2663" s="5">
        <v>44942</v>
      </c>
      <c r="D2663" s="8">
        <v>44942</v>
      </c>
      <c r="E2663" s="8">
        <f>IF(B2663="Inactive", EDATE(D2663,K2663), "")</f>
        <v>44973</v>
      </c>
      <c r="F2663" t="s">
        <v>12</v>
      </c>
      <c r="G2663">
        <v>1.3</v>
      </c>
      <c r="H2663" t="str" cm="1">
        <f t="array" ref="H2663">_xlfn.IFS(G2663&gt;=20,"20-25", G2663&gt;=15,"15-20", G2663&gt;=10,"10-15", G2663&gt;=5,"5-10", G2663&gt;=1,"1-5", G2663&lt;1,"Less than 1")</f>
        <v>1-5</v>
      </c>
      <c r="I2663">
        <v>1</v>
      </c>
      <c r="J2663">
        <v>3</v>
      </c>
      <c r="K2663" s="6">
        <v>1</v>
      </c>
      <c r="L2663" s="2">
        <v>1.99</v>
      </c>
      <c r="M2663" s="6">
        <v>37</v>
      </c>
      <c r="N2663" t="str" cm="1">
        <f t="array" ref="N2663">_xlfn.IFS(M2663&gt;=50,"50-60 Days", M2663&gt;=40,"40-50 Days", M2663&gt;=30, "30-40 Days", M2663&gt;=20, "20-30 Days", M2663&gt;=10, "10-20 Days", M2663&gt;=0, "0-10 Days")</f>
        <v>30-40 Days</v>
      </c>
    </row>
    <row r="2664" spans="1:14">
      <c r="A2664">
        <v>2663</v>
      </c>
      <c r="B2664" t="s">
        <v>29</v>
      </c>
      <c r="C2664" s="5">
        <v>45502</v>
      </c>
      <c r="D2664" s="8">
        <v>45502</v>
      </c>
      <c r="E2664" s="8" t="str">
        <f>IF(B2664="Inactive", EDATE(D2664,K2664), "")</f>
        <v/>
      </c>
      <c r="F2664" t="s">
        <v>12</v>
      </c>
      <c r="G2664">
        <v>6.8</v>
      </c>
      <c r="H2664" t="str" cm="1">
        <f t="array" ref="H2664">_xlfn.IFS(G2664&gt;=20,"20-25", G2664&gt;=15,"15-20", G2664&gt;=10,"10-15", G2664&gt;=5,"5-10", G2664&gt;=1,"1-5", G2664&lt;1,"Less than 1")</f>
        <v>5-10</v>
      </c>
      <c r="I2664">
        <v>1</v>
      </c>
      <c r="J2664">
        <v>4</v>
      </c>
      <c r="K2664" s="6">
        <v>11</v>
      </c>
      <c r="L2664" s="2">
        <v>1.99</v>
      </c>
      <c r="M2664" s="6">
        <v>36</v>
      </c>
      <c r="N2664" t="str" cm="1">
        <f t="array" ref="N2664">_xlfn.IFS(M2664&gt;=50,"50-60 Days", M2664&gt;=40,"40-50 Days", M2664&gt;=30, "30-40 Days", M2664&gt;=20, "20-30 Days", M2664&gt;=10, "10-20 Days", M2664&gt;=0, "0-10 Days")</f>
        <v>30-40 Days</v>
      </c>
    </row>
    <row r="2665" spans="1:14">
      <c r="A2665">
        <v>2664</v>
      </c>
      <c r="B2665" t="s">
        <v>29</v>
      </c>
      <c r="C2665" s="5">
        <v>45461</v>
      </c>
      <c r="D2665" s="8">
        <v>45461</v>
      </c>
      <c r="E2665" s="8" t="str">
        <f>IF(B2665="Inactive", EDATE(D2665,K2665), "")</f>
        <v/>
      </c>
      <c r="F2665" t="s">
        <v>10</v>
      </c>
      <c r="G2665">
        <v>17.600000000000001</v>
      </c>
      <c r="H2665" t="str" cm="1">
        <f t="array" ref="H2665">_xlfn.IFS(G2665&gt;=20,"20-25", G2665&gt;=15,"15-20", G2665&gt;=10,"10-15", G2665&gt;=5,"5-10", G2665&gt;=1,"1-5", G2665&lt;1,"Less than 1")</f>
        <v>15-20</v>
      </c>
      <c r="I2665">
        <v>3</v>
      </c>
      <c r="J2665">
        <v>5</v>
      </c>
      <c r="K2665" s="6">
        <v>7</v>
      </c>
      <c r="L2665" s="2">
        <v>6.99</v>
      </c>
      <c r="M2665" s="6">
        <v>9</v>
      </c>
      <c r="N2665" t="str" cm="1">
        <f t="array" ref="N2665">_xlfn.IFS(M2665&gt;=50,"50-60 Days", M2665&gt;=40,"40-50 Days", M2665&gt;=30, "30-40 Days", M2665&gt;=20, "20-30 Days", M2665&gt;=10, "10-20 Days", M2665&gt;=0, "0-10 Days")</f>
        <v>0-10 Days</v>
      </c>
    </row>
    <row r="2666" spans="1:14">
      <c r="A2666">
        <v>2665</v>
      </c>
      <c r="B2666" t="s">
        <v>28</v>
      </c>
      <c r="C2666" s="5">
        <v>45190</v>
      </c>
      <c r="D2666" s="8">
        <v>45190</v>
      </c>
      <c r="E2666" s="8">
        <f>IF(B2666="Inactive", EDATE(D2666,K2666), "")</f>
        <v>45464</v>
      </c>
      <c r="F2666" t="s">
        <v>14</v>
      </c>
      <c r="G2666">
        <v>15</v>
      </c>
      <c r="H2666" t="str" cm="1">
        <f t="array" ref="H2666">_xlfn.IFS(G2666&gt;=20,"20-25", G2666&gt;=15,"15-20", G2666&gt;=10,"10-15", G2666&gt;=5,"5-10", G2666&gt;=1,"1-5", G2666&lt;1,"Less than 1")</f>
        <v>15-20</v>
      </c>
      <c r="I2666">
        <v>3</v>
      </c>
      <c r="J2666">
        <v>3</v>
      </c>
      <c r="K2666" s="6">
        <v>9</v>
      </c>
      <c r="L2666" s="2">
        <v>3.99</v>
      </c>
      <c r="M2666" s="6">
        <v>22</v>
      </c>
      <c r="N2666" t="str" cm="1">
        <f t="array" ref="N2666">_xlfn.IFS(M2666&gt;=50,"50-60 Days", M2666&gt;=40,"40-50 Days", M2666&gt;=30, "30-40 Days", M2666&gt;=20, "20-30 Days", M2666&gt;=10, "10-20 Days", M2666&gt;=0, "0-10 Days")</f>
        <v>20-30 Days</v>
      </c>
    </row>
    <row r="2667" spans="1:14">
      <c r="A2667">
        <v>2666</v>
      </c>
      <c r="B2667" t="s">
        <v>29</v>
      </c>
      <c r="C2667" s="5">
        <v>45454</v>
      </c>
      <c r="D2667" s="8">
        <v>45454</v>
      </c>
      <c r="E2667" s="8" t="str">
        <f>IF(B2667="Inactive", EDATE(D2667,K2667), "")</f>
        <v/>
      </c>
      <c r="F2667" t="s">
        <v>14</v>
      </c>
      <c r="G2667">
        <v>19.3</v>
      </c>
      <c r="H2667" t="str" cm="1">
        <f t="array" ref="H2667">_xlfn.IFS(G2667&gt;=20,"20-25", G2667&gt;=15,"15-20", G2667&gt;=10,"10-15", G2667&gt;=5,"5-10", G2667&gt;=1,"1-5", G2667&lt;1,"Less than 1")</f>
        <v>15-20</v>
      </c>
      <c r="I2667">
        <v>6</v>
      </c>
      <c r="J2667">
        <v>5</v>
      </c>
      <c r="K2667" s="6">
        <v>11</v>
      </c>
      <c r="L2667" s="2">
        <v>3.99</v>
      </c>
      <c r="M2667" s="6">
        <v>5</v>
      </c>
      <c r="N2667" t="str" cm="1">
        <f t="array" ref="N2667">_xlfn.IFS(M2667&gt;=50,"50-60 Days", M2667&gt;=40,"40-50 Days", M2667&gt;=30, "30-40 Days", M2667&gt;=20, "20-30 Days", M2667&gt;=10, "10-20 Days", M2667&gt;=0, "0-10 Days")</f>
        <v>0-10 Days</v>
      </c>
    </row>
    <row r="2668" spans="1:14">
      <c r="A2668">
        <v>2667</v>
      </c>
      <c r="B2668" t="s">
        <v>28</v>
      </c>
      <c r="C2668" s="5">
        <v>44999</v>
      </c>
      <c r="D2668" s="8">
        <v>44999</v>
      </c>
      <c r="E2668" s="8">
        <f>IF(B2668="Inactive", EDATE(D2668,K2668), "")</f>
        <v>45336</v>
      </c>
      <c r="F2668" t="s">
        <v>12</v>
      </c>
      <c r="G2668">
        <v>5.5</v>
      </c>
      <c r="H2668" t="str" cm="1">
        <f t="array" ref="H2668">_xlfn.IFS(G2668&gt;=20,"20-25", G2668&gt;=15,"15-20", G2668&gt;=10,"10-15", G2668&gt;=5,"5-10", G2668&gt;=1,"1-5", G2668&lt;1,"Less than 1")</f>
        <v>5-10</v>
      </c>
      <c r="I2668">
        <v>4</v>
      </c>
      <c r="J2668">
        <v>4</v>
      </c>
      <c r="K2668" s="6">
        <v>11</v>
      </c>
      <c r="L2668" s="2">
        <v>1.99</v>
      </c>
      <c r="M2668" s="6">
        <v>5</v>
      </c>
      <c r="N2668" t="str" cm="1">
        <f t="array" ref="N2668">_xlfn.IFS(M2668&gt;=50,"50-60 Days", M2668&gt;=40,"40-50 Days", M2668&gt;=30, "30-40 Days", M2668&gt;=20, "20-30 Days", M2668&gt;=10, "10-20 Days", M2668&gt;=0, "0-10 Days")</f>
        <v>0-10 Days</v>
      </c>
    </row>
    <row r="2669" spans="1:14">
      <c r="A2669">
        <v>2668</v>
      </c>
      <c r="B2669" t="s">
        <v>28</v>
      </c>
      <c r="C2669" s="5">
        <v>45552</v>
      </c>
      <c r="D2669" s="8">
        <v>45552</v>
      </c>
      <c r="E2669" s="8">
        <f>IF(B2669="Inactive", EDATE(D2669,K2669), "")</f>
        <v>45733</v>
      </c>
      <c r="F2669" t="s">
        <v>12</v>
      </c>
      <c r="G2669">
        <v>8.6</v>
      </c>
      <c r="H2669" t="str" cm="1">
        <f t="array" ref="H2669">_xlfn.IFS(G2669&gt;=20,"20-25", G2669&gt;=15,"15-20", G2669&gt;=10,"10-15", G2669&gt;=5,"5-10", G2669&gt;=1,"1-5", G2669&lt;1,"Less than 1")</f>
        <v>5-10</v>
      </c>
      <c r="I2669">
        <v>2</v>
      </c>
      <c r="J2669">
        <v>2</v>
      </c>
      <c r="K2669" s="6">
        <v>6</v>
      </c>
      <c r="L2669" s="2">
        <v>1.99</v>
      </c>
      <c r="M2669" s="6">
        <v>49</v>
      </c>
      <c r="N2669" t="str" cm="1">
        <f t="array" ref="N2669">_xlfn.IFS(M2669&gt;=50,"50-60 Days", M2669&gt;=40,"40-50 Days", M2669&gt;=30, "30-40 Days", M2669&gt;=20, "20-30 Days", M2669&gt;=10, "10-20 Days", M2669&gt;=0, "0-10 Days")</f>
        <v>40-50 Days</v>
      </c>
    </row>
    <row r="2670" spans="1:14">
      <c r="A2670">
        <v>2669</v>
      </c>
      <c r="B2670" t="s">
        <v>28</v>
      </c>
      <c r="C2670" s="5">
        <v>45295</v>
      </c>
      <c r="D2670" s="8">
        <v>45295</v>
      </c>
      <c r="E2670" s="8">
        <f>IF(B2670="Inactive", EDATE(D2670,K2670), "")</f>
        <v>45447</v>
      </c>
      <c r="F2670" t="s">
        <v>14</v>
      </c>
      <c r="G2670">
        <v>17.3</v>
      </c>
      <c r="H2670" t="str" cm="1">
        <f t="array" ref="H2670">_xlfn.IFS(G2670&gt;=20,"20-25", G2670&gt;=15,"15-20", G2670&gt;=10,"10-15", G2670&gt;=5,"5-10", G2670&gt;=1,"1-5", G2670&lt;1,"Less than 1")</f>
        <v>15-20</v>
      </c>
      <c r="I2670">
        <v>1</v>
      </c>
      <c r="J2670">
        <v>3</v>
      </c>
      <c r="K2670" s="6">
        <v>5</v>
      </c>
      <c r="L2670" s="2">
        <v>3.99</v>
      </c>
      <c r="M2670" s="6">
        <v>57</v>
      </c>
      <c r="N2670" t="str" cm="1">
        <f t="array" ref="N2670">_xlfn.IFS(M2670&gt;=50,"50-60 Days", M2670&gt;=40,"40-50 Days", M2670&gt;=30, "30-40 Days", M2670&gt;=20, "20-30 Days", M2670&gt;=10, "10-20 Days", M2670&gt;=0, "0-10 Days")</f>
        <v>50-60 Days</v>
      </c>
    </row>
    <row r="2671" spans="1:14">
      <c r="A2671">
        <v>2670</v>
      </c>
      <c r="B2671" t="s">
        <v>29</v>
      </c>
      <c r="C2671" s="5">
        <v>45357</v>
      </c>
      <c r="D2671" s="8">
        <v>45357</v>
      </c>
      <c r="E2671" s="8" t="str">
        <f>IF(B2671="Inactive", EDATE(D2671,K2671), "")</f>
        <v/>
      </c>
      <c r="F2671" t="s">
        <v>14</v>
      </c>
      <c r="G2671">
        <v>13.3</v>
      </c>
      <c r="H2671" t="str" cm="1">
        <f t="array" ref="H2671">_xlfn.IFS(G2671&gt;=20,"20-25", G2671&gt;=15,"15-20", G2671&gt;=10,"10-15", G2671&gt;=5,"5-10", G2671&gt;=1,"1-5", G2671&lt;1,"Less than 1")</f>
        <v>10-15</v>
      </c>
      <c r="I2671">
        <v>3</v>
      </c>
      <c r="J2671">
        <v>2</v>
      </c>
      <c r="K2671" s="6">
        <v>6</v>
      </c>
      <c r="L2671" s="2">
        <v>3.99</v>
      </c>
      <c r="M2671" s="6">
        <v>55</v>
      </c>
      <c r="N2671" t="str" cm="1">
        <f t="array" ref="N2671">_xlfn.IFS(M2671&gt;=50,"50-60 Days", M2671&gt;=40,"40-50 Days", M2671&gt;=30, "30-40 Days", M2671&gt;=20, "20-30 Days", M2671&gt;=10, "10-20 Days", M2671&gt;=0, "0-10 Days")</f>
        <v>50-60 Days</v>
      </c>
    </row>
    <row r="2672" spans="1:14">
      <c r="A2672">
        <v>2671</v>
      </c>
      <c r="B2672" t="s">
        <v>28</v>
      </c>
      <c r="C2672" s="5">
        <v>45366</v>
      </c>
      <c r="D2672" s="8">
        <v>45366</v>
      </c>
      <c r="E2672" s="8">
        <f>IF(B2672="Inactive", EDATE(D2672,K2672), "")</f>
        <v>45427</v>
      </c>
      <c r="F2672" t="s">
        <v>10</v>
      </c>
      <c r="G2672">
        <v>10.4</v>
      </c>
      <c r="H2672" t="str" cm="1">
        <f t="array" ref="H2672">_xlfn.IFS(G2672&gt;=20,"20-25", G2672&gt;=15,"15-20", G2672&gt;=10,"10-15", G2672&gt;=5,"5-10", G2672&gt;=1,"1-5", G2672&lt;1,"Less than 1")</f>
        <v>10-15</v>
      </c>
      <c r="I2672">
        <v>4</v>
      </c>
      <c r="J2672">
        <v>4</v>
      </c>
      <c r="K2672" s="6">
        <v>2</v>
      </c>
      <c r="L2672" s="2">
        <v>6.99</v>
      </c>
      <c r="M2672" s="6">
        <v>27</v>
      </c>
      <c r="N2672" t="str" cm="1">
        <f t="array" ref="N2672">_xlfn.IFS(M2672&gt;=50,"50-60 Days", M2672&gt;=40,"40-50 Days", M2672&gt;=30, "30-40 Days", M2672&gt;=20, "20-30 Days", M2672&gt;=10, "10-20 Days", M2672&gt;=0, "0-10 Days")</f>
        <v>20-30 Days</v>
      </c>
    </row>
    <row r="2673" spans="1:14">
      <c r="A2673">
        <v>2672</v>
      </c>
      <c r="B2673" t="s">
        <v>29</v>
      </c>
      <c r="C2673" s="5">
        <v>45481</v>
      </c>
      <c r="D2673" s="8">
        <v>45481</v>
      </c>
      <c r="E2673" s="8" t="str">
        <f>IF(B2673="Inactive", EDATE(D2673,K2673), "")</f>
        <v/>
      </c>
      <c r="F2673" t="s">
        <v>14</v>
      </c>
      <c r="G2673">
        <v>14.9</v>
      </c>
      <c r="H2673" t="str" cm="1">
        <f t="array" ref="H2673">_xlfn.IFS(G2673&gt;=20,"20-25", G2673&gt;=15,"15-20", G2673&gt;=10,"10-15", G2673&gt;=5,"5-10", G2673&gt;=1,"1-5", G2673&lt;1,"Less than 1")</f>
        <v>10-15</v>
      </c>
      <c r="I2673">
        <v>3</v>
      </c>
      <c r="J2673">
        <v>5</v>
      </c>
      <c r="K2673" s="6">
        <v>5</v>
      </c>
      <c r="L2673" s="2">
        <v>3.99</v>
      </c>
      <c r="M2673" s="6">
        <v>16</v>
      </c>
      <c r="N2673" t="str" cm="1">
        <f t="array" ref="N2673">_xlfn.IFS(M2673&gt;=50,"50-60 Days", M2673&gt;=40,"40-50 Days", M2673&gt;=30, "30-40 Days", M2673&gt;=20, "20-30 Days", M2673&gt;=10, "10-20 Days", M2673&gt;=0, "0-10 Days")</f>
        <v>10-20 Days</v>
      </c>
    </row>
    <row r="2674" spans="1:14">
      <c r="A2674">
        <v>2673</v>
      </c>
      <c r="B2674" t="s">
        <v>28</v>
      </c>
      <c r="C2674" s="5">
        <v>45572</v>
      </c>
      <c r="D2674" s="8">
        <v>45572</v>
      </c>
      <c r="E2674" s="8">
        <f>IF(B2674="Inactive", EDATE(D2674,K2674), "")</f>
        <v>45723</v>
      </c>
      <c r="F2674" t="s">
        <v>10</v>
      </c>
      <c r="G2674">
        <v>13.9</v>
      </c>
      <c r="H2674" t="str" cm="1">
        <f t="array" ref="H2674">_xlfn.IFS(G2674&gt;=20,"20-25", G2674&gt;=15,"15-20", G2674&gt;=10,"10-15", G2674&gt;=5,"5-10", G2674&gt;=1,"1-5", G2674&lt;1,"Less than 1")</f>
        <v>10-15</v>
      </c>
      <c r="I2674">
        <v>2</v>
      </c>
      <c r="J2674">
        <v>2</v>
      </c>
      <c r="K2674" s="6">
        <v>5</v>
      </c>
      <c r="L2674" s="2">
        <v>6.99</v>
      </c>
      <c r="M2674" s="6">
        <v>51</v>
      </c>
      <c r="N2674" t="str" cm="1">
        <f t="array" ref="N2674">_xlfn.IFS(M2674&gt;=50,"50-60 Days", M2674&gt;=40,"40-50 Days", M2674&gt;=30, "30-40 Days", M2674&gt;=20, "20-30 Days", M2674&gt;=10, "10-20 Days", M2674&gt;=0, "0-10 Days")</f>
        <v>50-60 Days</v>
      </c>
    </row>
    <row r="2675" spans="1:14">
      <c r="A2675">
        <v>2674</v>
      </c>
      <c r="B2675" t="s">
        <v>28</v>
      </c>
      <c r="C2675" s="5">
        <v>45383</v>
      </c>
      <c r="D2675" s="8">
        <v>45383</v>
      </c>
      <c r="E2675" s="8">
        <f>IF(B2675="Inactive", EDATE(D2675,K2675), "")</f>
        <v>45658</v>
      </c>
      <c r="F2675" t="s">
        <v>14</v>
      </c>
      <c r="G2675">
        <v>22.9</v>
      </c>
      <c r="H2675" t="str" cm="1">
        <f t="array" ref="H2675">_xlfn.IFS(G2675&gt;=20,"20-25", G2675&gt;=15,"15-20", G2675&gt;=10,"10-15", G2675&gt;=5,"5-10", G2675&gt;=1,"1-5", G2675&lt;1,"Less than 1")</f>
        <v>20-25</v>
      </c>
      <c r="I2675">
        <v>8</v>
      </c>
      <c r="J2675">
        <v>0</v>
      </c>
      <c r="K2675" s="6">
        <v>9</v>
      </c>
      <c r="L2675" s="2">
        <v>3.99</v>
      </c>
      <c r="M2675" s="6">
        <v>21</v>
      </c>
      <c r="N2675" t="str" cm="1">
        <f t="array" ref="N2675">_xlfn.IFS(M2675&gt;=50,"50-60 Days", M2675&gt;=40,"40-50 Days", M2675&gt;=30, "30-40 Days", M2675&gt;=20, "20-30 Days", M2675&gt;=10, "10-20 Days", M2675&gt;=0, "0-10 Days")</f>
        <v>20-30 Days</v>
      </c>
    </row>
    <row r="2676" spans="1:14">
      <c r="A2676">
        <v>2675</v>
      </c>
      <c r="B2676" t="s">
        <v>28</v>
      </c>
      <c r="C2676" s="5">
        <v>45287</v>
      </c>
      <c r="D2676" s="8">
        <v>45287</v>
      </c>
      <c r="E2676" s="8">
        <f>IF(B2676="Inactive", EDATE(D2676,K2676), "")</f>
        <v>45470</v>
      </c>
      <c r="F2676" t="s">
        <v>14</v>
      </c>
      <c r="G2676">
        <v>17.8</v>
      </c>
      <c r="H2676" t="str" cm="1">
        <f t="array" ref="H2676">_xlfn.IFS(G2676&gt;=20,"20-25", G2676&gt;=15,"15-20", G2676&gt;=10,"10-15", G2676&gt;=5,"5-10", G2676&gt;=1,"1-5", G2676&lt;1,"Less than 1")</f>
        <v>15-20</v>
      </c>
      <c r="I2676">
        <v>6</v>
      </c>
      <c r="J2676">
        <v>2</v>
      </c>
      <c r="K2676" s="6">
        <v>6</v>
      </c>
      <c r="L2676" s="2">
        <v>3.99</v>
      </c>
      <c r="M2676" s="6">
        <v>28</v>
      </c>
      <c r="N2676" t="str" cm="1">
        <f t="array" ref="N2676">_xlfn.IFS(M2676&gt;=50,"50-60 Days", M2676&gt;=40,"40-50 Days", M2676&gt;=30, "30-40 Days", M2676&gt;=20, "20-30 Days", M2676&gt;=10, "10-20 Days", M2676&gt;=0, "0-10 Days")</f>
        <v>20-30 Days</v>
      </c>
    </row>
    <row r="2677" spans="1:14">
      <c r="A2677">
        <v>2676</v>
      </c>
      <c r="B2677" t="s">
        <v>28</v>
      </c>
      <c r="C2677" s="5">
        <v>44936</v>
      </c>
      <c r="D2677" s="8">
        <v>44936</v>
      </c>
      <c r="E2677" s="8">
        <f>IF(B2677="Inactive", EDATE(D2677,K2677), "")</f>
        <v>45179</v>
      </c>
      <c r="F2677" t="s">
        <v>12</v>
      </c>
      <c r="G2677">
        <v>24</v>
      </c>
      <c r="H2677" t="str" cm="1">
        <f t="array" ref="H2677">_xlfn.IFS(G2677&gt;=20,"20-25", G2677&gt;=15,"15-20", G2677&gt;=10,"10-15", G2677&gt;=5,"5-10", G2677&gt;=1,"1-5", G2677&lt;1,"Less than 1")</f>
        <v>20-25</v>
      </c>
      <c r="I2677">
        <v>2</v>
      </c>
      <c r="J2677">
        <v>1</v>
      </c>
      <c r="K2677" s="6">
        <v>8</v>
      </c>
      <c r="L2677" s="2">
        <v>1.99</v>
      </c>
      <c r="M2677" s="6">
        <v>36</v>
      </c>
      <c r="N2677" t="str" cm="1">
        <f t="array" ref="N2677">_xlfn.IFS(M2677&gt;=50,"50-60 Days", M2677&gt;=40,"40-50 Days", M2677&gt;=30, "30-40 Days", M2677&gt;=20, "20-30 Days", M2677&gt;=10, "10-20 Days", M2677&gt;=0, "0-10 Days")</f>
        <v>30-40 Days</v>
      </c>
    </row>
    <row r="2678" spans="1:14">
      <c r="A2678">
        <v>2677</v>
      </c>
      <c r="B2678" t="s">
        <v>28</v>
      </c>
      <c r="C2678" s="5">
        <v>45571</v>
      </c>
      <c r="D2678" s="8">
        <v>45571</v>
      </c>
      <c r="E2678" s="8">
        <f>IF(B2678="Inactive", EDATE(D2678,K2678), "")</f>
        <v>45602</v>
      </c>
      <c r="F2678" t="s">
        <v>10</v>
      </c>
      <c r="G2678">
        <v>13.8</v>
      </c>
      <c r="H2678" t="str" cm="1">
        <f t="array" ref="H2678">_xlfn.IFS(G2678&gt;=20,"20-25", G2678&gt;=15,"15-20", G2678&gt;=10,"10-15", G2678&gt;=5,"5-10", G2678&gt;=1,"1-5", G2678&lt;1,"Less than 1")</f>
        <v>10-15</v>
      </c>
      <c r="I2678">
        <v>5</v>
      </c>
      <c r="J2678">
        <v>2</v>
      </c>
      <c r="K2678" s="6">
        <v>1</v>
      </c>
      <c r="L2678" s="2">
        <v>6.99</v>
      </c>
      <c r="M2678" s="6">
        <v>6</v>
      </c>
      <c r="N2678" t="str" cm="1">
        <f t="array" ref="N2678">_xlfn.IFS(M2678&gt;=50,"50-60 Days", M2678&gt;=40,"40-50 Days", M2678&gt;=30, "30-40 Days", M2678&gt;=20, "20-30 Days", M2678&gt;=10, "10-20 Days", M2678&gt;=0, "0-10 Days")</f>
        <v>0-10 Days</v>
      </c>
    </row>
    <row r="2679" spans="1:14">
      <c r="A2679">
        <v>2678</v>
      </c>
      <c r="B2679" t="s">
        <v>29</v>
      </c>
      <c r="C2679" s="5">
        <v>45029</v>
      </c>
      <c r="D2679" s="8">
        <v>45029</v>
      </c>
      <c r="E2679" s="8" t="str">
        <f>IF(B2679="Inactive", EDATE(D2679,K2679), "")</f>
        <v/>
      </c>
      <c r="F2679" t="s">
        <v>10</v>
      </c>
      <c r="G2679">
        <v>18.399999999999999</v>
      </c>
      <c r="H2679" t="str" cm="1">
        <f t="array" ref="H2679">_xlfn.IFS(G2679&gt;=20,"20-25", G2679&gt;=15,"15-20", G2679&gt;=10,"10-15", G2679&gt;=5,"5-10", G2679&gt;=1,"1-5", G2679&lt;1,"Less than 1")</f>
        <v>15-20</v>
      </c>
      <c r="I2679">
        <v>1</v>
      </c>
      <c r="J2679">
        <v>1</v>
      </c>
      <c r="K2679" s="6">
        <v>7</v>
      </c>
      <c r="L2679" s="2">
        <v>6.99</v>
      </c>
      <c r="M2679" s="6">
        <v>6</v>
      </c>
      <c r="N2679" t="str" cm="1">
        <f t="array" ref="N2679">_xlfn.IFS(M2679&gt;=50,"50-60 Days", M2679&gt;=40,"40-50 Days", M2679&gt;=30, "30-40 Days", M2679&gt;=20, "20-30 Days", M2679&gt;=10, "10-20 Days", M2679&gt;=0, "0-10 Days")</f>
        <v>0-10 Days</v>
      </c>
    </row>
    <row r="2680" spans="1:14">
      <c r="A2680">
        <v>2679</v>
      </c>
      <c r="B2680" t="s">
        <v>28</v>
      </c>
      <c r="C2680" s="5">
        <v>45263</v>
      </c>
      <c r="D2680" s="8">
        <v>45263</v>
      </c>
      <c r="E2680" s="8">
        <f>IF(B2680="Inactive", EDATE(D2680,K2680), "")</f>
        <v>45599</v>
      </c>
      <c r="F2680" t="s">
        <v>14</v>
      </c>
      <c r="G2680">
        <v>23.6</v>
      </c>
      <c r="H2680" t="str" cm="1">
        <f t="array" ref="H2680">_xlfn.IFS(G2680&gt;=20,"20-25", G2680&gt;=15,"15-20", G2680&gt;=10,"10-15", G2680&gt;=5,"5-10", G2680&gt;=1,"1-5", G2680&lt;1,"Less than 1")</f>
        <v>20-25</v>
      </c>
      <c r="I2680">
        <v>1</v>
      </c>
      <c r="J2680">
        <v>4</v>
      </c>
      <c r="K2680" s="6">
        <v>11</v>
      </c>
      <c r="L2680" s="2">
        <v>3.99</v>
      </c>
      <c r="M2680" s="6">
        <v>43</v>
      </c>
      <c r="N2680" t="str" cm="1">
        <f t="array" ref="N2680">_xlfn.IFS(M2680&gt;=50,"50-60 Days", M2680&gt;=40,"40-50 Days", M2680&gt;=30, "30-40 Days", M2680&gt;=20, "20-30 Days", M2680&gt;=10, "10-20 Days", M2680&gt;=0, "0-10 Days")</f>
        <v>40-50 Days</v>
      </c>
    </row>
    <row r="2681" spans="1:14">
      <c r="A2681">
        <v>2680</v>
      </c>
      <c r="B2681" t="s">
        <v>28</v>
      </c>
      <c r="C2681" s="5">
        <v>45576</v>
      </c>
      <c r="D2681" s="8">
        <v>45576</v>
      </c>
      <c r="E2681" s="8">
        <f>IF(B2681="Inactive", EDATE(D2681,K2681), "")</f>
        <v>45880</v>
      </c>
      <c r="F2681" t="s">
        <v>14</v>
      </c>
      <c r="G2681">
        <v>17.2</v>
      </c>
      <c r="H2681" t="str" cm="1">
        <f t="array" ref="H2681">_xlfn.IFS(G2681&gt;=20,"20-25", G2681&gt;=15,"15-20", G2681&gt;=10,"10-15", G2681&gt;=5,"5-10", G2681&gt;=1,"1-5", G2681&lt;1,"Less than 1")</f>
        <v>15-20</v>
      </c>
      <c r="I2681">
        <v>0</v>
      </c>
      <c r="J2681">
        <v>5</v>
      </c>
      <c r="K2681" s="6">
        <v>10</v>
      </c>
      <c r="L2681" s="2">
        <v>3.99</v>
      </c>
      <c r="M2681" s="6">
        <v>44</v>
      </c>
      <c r="N2681" t="str" cm="1">
        <f t="array" ref="N2681">_xlfn.IFS(M2681&gt;=50,"50-60 Days", M2681&gt;=40,"40-50 Days", M2681&gt;=30, "30-40 Days", M2681&gt;=20, "20-30 Days", M2681&gt;=10, "10-20 Days", M2681&gt;=0, "0-10 Days")</f>
        <v>40-50 Days</v>
      </c>
    </row>
    <row r="2682" spans="1:14">
      <c r="A2682">
        <v>2681</v>
      </c>
      <c r="B2682" t="s">
        <v>29</v>
      </c>
      <c r="C2682" s="5">
        <v>45201</v>
      </c>
      <c r="D2682" s="8">
        <v>45201</v>
      </c>
      <c r="E2682" s="8" t="str">
        <f>IF(B2682="Inactive", EDATE(D2682,K2682), "")</f>
        <v/>
      </c>
      <c r="F2682" t="s">
        <v>12</v>
      </c>
      <c r="G2682">
        <v>18.100000000000001</v>
      </c>
      <c r="H2682" t="str" cm="1">
        <f t="array" ref="H2682">_xlfn.IFS(G2682&gt;=20,"20-25", G2682&gt;=15,"15-20", G2682&gt;=10,"10-15", G2682&gt;=5,"5-10", G2682&gt;=1,"1-5", G2682&lt;1,"Less than 1")</f>
        <v>15-20</v>
      </c>
      <c r="I2682">
        <v>5</v>
      </c>
      <c r="J2682">
        <v>1</v>
      </c>
      <c r="K2682" s="6">
        <v>9</v>
      </c>
      <c r="L2682" s="2">
        <v>1.99</v>
      </c>
      <c r="M2682" s="6">
        <v>20</v>
      </c>
      <c r="N2682" t="str" cm="1">
        <f t="array" ref="N2682">_xlfn.IFS(M2682&gt;=50,"50-60 Days", M2682&gt;=40,"40-50 Days", M2682&gt;=30, "30-40 Days", M2682&gt;=20, "20-30 Days", M2682&gt;=10, "10-20 Days", M2682&gt;=0, "0-10 Days")</f>
        <v>20-30 Days</v>
      </c>
    </row>
    <row r="2683" spans="1:14">
      <c r="A2683">
        <v>2682</v>
      </c>
      <c r="B2683" t="s">
        <v>28</v>
      </c>
      <c r="C2683" s="5">
        <v>45375</v>
      </c>
      <c r="D2683" s="8">
        <v>45375</v>
      </c>
      <c r="E2683" s="8">
        <f>IF(B2683="Inactive", EDATE(D2683,K2683), "")</f>
        <v>45436</v>
      </c>
      <c r="F2683" t="s">
        <v>10</v>
      </c>
      <c r="G2683">
        <v>17.2</v>
      </c>
      <c r="H2683" t="str" cm="1">
        <f t="array" ref="H2683">_xlfn.IFS(G2683&gt;=20,"20-25", G2683&gt;=15,"15-20", G2683&gt;=10,"10-15", G2683&gt;=5,"5-10", G2683&gt;=1,"1-5", G2683&lt;1,"Less than 1")</f>
        <v>15-20</v>
      </c>
      <c r="I2683">
        <v>0</v>
      </c>
      <c r="J2683">
        <v>0</v>
      </c>
      <c r="K2683" s="6">
        <v>2</v>
      </c>
      <c r="L2683" s="2">
        <v>6.99</v>
      </c>
      <c r="M2683" s="6">
        <v>42</v>
      </c>
      <c r="N2683" t="str" cm="1">
        <f t="array" ref="N2683">_xlfn.IFS(M2683&gt;=50,"50-60 Days", M2683&gt;=40,"40-50 Days", M2683&gt;=30, "30-40 Days", M2683&gt;=20, "20-30 Days", M2683&gt;=10, "10-20 Days", M2683&gt;=0, "0-10 Days")</f>
        <v>40-50 Days</v>
      </c>
    </row>
    <row r="2684" spans="1:14">
      <c r="A2684">
        <v>2683</v>
      </c>
      <c r="B2684" t="s">
        <v>29</v>
      </c>
      <c r="C2684" s="5">
        <v>45643</v>
      </c>
      <c r="D2684" s="8">
        <v>45643</v>
      </c>
      <c r="E2684" s="8" t="str">
        <f>IF(B2684="Inactive", EDATE(D2684,K2684), "")</f>
        <v/>
      </c>
      <c r="F2684" t="s">
        <v>14</v>
      </c>
      <c r="G2684">
        <v>21.9</v>
      </c>
      <c r="H2684" t="str" cm="1">
        <f t="array" ref="H2684">_xlfn.IFS(G2684&gt;=20,"20-25", G2684&gt;=15,"15-20", G2684&gt;=10,"10-15", G2684&gt;=5,"5-10", G2684&gt;=1,"1-5", G2684&lt;1,"Less than 1")</f>
        <v>20-25</v>
      </c>
      <c r="I2684">
        <v>0</v>
      </c>
      <c r="J2684">
        <v>0</v>
      </c>
      <c r="K2684" s="6">
        <v>8</v>
      </c>
      <c r="L2684" s="2">
        <v>3.99</v>
      </c>
      <c r="M2684" s="6">
        <v>10</v>
      </c>
      <c r="N2684" t="str" cm="1">
        <f t="array" ref="N2684">_xlfn.IFS(M2684&gt;=50,"50-60 Days", M2684&gt;=40,"40-50 Days", M2684&gt;=30, "30-40 Days", M2684&gt;=20, "20-30 Days", M2684&gt;=10, "10-20 Days", M2684&gt;=0, "0-10 Days")</f>
        <v>10-20 Days</v>
      </c>
    </row>
    <row r="2685" spans="1:14">
      <c r="A2685">
        <v>2684</v>
      </c>
      <c r="B2685" t="s">
        <v>29</v>
      </c>
      <c r="C2685" s="5">
        <v>45114</v>
      </c>
      <c r="D2685" s="8">
        <v>45114</v>
      </c>
      <c r="E2685" s="8" t="str">
        <f>IF(B2685="Inactive", EDATE(D2685,K2685), "")</f>
        <v/>
      </c>
      <c r="F2685" t="s">
        <v>12</v>
      </c>
      <c r="G2685">
        <v>8.3000000000000007</v>
      </c>
      <c r="H2685" t="str" cm="1">
        <f t="array" ref="H2685">_xlfn.IFS(G2685&gt;=20,"20-25", G2685&gt;=15,"15-20", G2685&gt;=10,"10-15", G2685&gt;=5,"5-10", G2685&gt;=1,"1-5", G2685&lt;1,"Less than 1")</f>
        <v>5-10</v>
      </c>
      <c r="I2685">
        <v>5</v>
      </c>
      <c r="J2685">
        <v>1</v>
      </c>
      <c r="K2685" s="6">
        <v>2</v>
      </c>
      <c r="L2685" s="2">
        <v>1.99</v>
      </c>
      <c r="M2685" s="6">
        <v>55</v>
      </c>
      <c r="N2685" t="str" cm="1">
        <f t="array" ref="N2685">_xlfn.IFS(M2685&gt;=50,"50-60 Days", M2685&gt;=40,"40-50 Days", M2685&gt;=30, "30-40 Days", M2685&gt;=20, "20-30 Days", M2685&gt;=10, "10-20 Days", M2685&gt;=0, "0-10 Days")</f>
        <v>50-60 Days</v>
      </c>
    </row>
    <row r="2686" spans="1:14">
      <c r="A2686">
        <v>2685</v>
      </c>
      <c r="B2686" t="s">
        <v>28</v>
      </c>
      <c r="C2686" s="5">
        <v>45431</v>
      </c>
      <c r="D2686" s="8">
        <v>45431</v>
      </c>
      <c r="E2686" s="8">
        <f>IF(B2686="Inactive", EDATE(D2686,K2686), "")</f>
        <v>45615</v>
      </c>
      <c r="F2686" t="s">
        <v>14</v>
      </c>
      <c r="G2686">
        <v>11.3</v>
      </c>
      <c r="H2686" t="str" cm="1">
        <f t="array" ref="H2686">_xlfn.IFS(G2686&gt;=20,"20-25", G2686&gt;=15,"15-20", G2686&gt;=10,"10-15", G2686&gt;=5,"5-10", G2686&gt;=1,"1-5", G2686&lt;1,"Less than 1")</f>
        <v>10-15</v>
      </c>
      <c r="I2686">
        <v>5</v>
      </c>
      <c r="J2686">
        <v>0</v>
      </c>
      <c r="K2686" s="6">
        <v>6</v>
      </c>
      <c r="L2686" s="2">
        <v>3.99</v>
      </c>
      <c r="M2686" s="6">
        <v>28</v>
      </c>
      <c r="N2686" t="str" cm="1">
        <f t="array" ref="N2686">_xlfn.IFS(M2686&gt;=50,"50-60 Days", M2686&gt;=40,"40-50 Days", M2686&gt;=30, "30-40 Days", M2686&gt;=20, "20-30 Days", M2686&gt;=10, "10-20 Days", M2686&gt;=0, "0-10 Days")</f>
        <v>20-30 Days</v>
      </c>
    </row>
    <row r="2687" spans="1:14">
      <c r="A2687">
        <v>2686</v>
      </c>
      <c r="B2687" t="s">
        <v>28</v>
      </c>
      <c r="C2687" s="5">
        <v>45289</v>
      </c>
      <c r="D2687" s="8">
        <v>45289</v>
      </c>
      <c r="E2687" s="8">
        <f>IF(B2687="Inactive", EDATE(D2687,K2687), "")</f>
        <v>45594</v>
      </c>
      <c r="F2687" t="s">
        <v>12</v>
      </c>
      <c r="G2687">
        <v>17.8</v>
      </c>
      <c r="H2687" t="str" cm="1">
        <f t="array" ref="H2687">_xlfn.IFS(G2687&gt;=20,"20-25", G2687&gt;=15,"15-20", G2687&gt;=10,"10-15", G2687&gt;=5,"5-10", G2687&gt;=1,"1-5", G2687&lt;1,"Less than 1")</f>
        <v>15-20</v>
      </c>
      <c r="I2687">
        <v>2</v>
      </c>
      <c r="J2687">
        <v>3</v>
      </c>
      <c r="K2687" s="6">
        <v>10</v>
      </c>
      <c r="L2687" s="2">
        <v>1.99</v>
      </c>
      <c r="M2687" s="6">
        <v>38</v>
      </c>
      <c r="N2687" t="str" cm="1">
        <f t="array" ref="N2687">_xlfn.IFS(M2687&gt;=50,"50-60 Days", M2687&gt;=40,"40-50 Days", M2687&gt;=30, "30-40 Days", M2687&gt;=20, "20-30 Days", M2687&gt;=10, "10-20 Days", M2687&gt;=0, "0-10 Days")</f>
        <v>30-40 Days</v>
      </c>
    </row>
    <row r="2688" spans="1:14">
      <c r="A2688">
        <v>2687</v>
      </c>
      <c r="B2688" t="s">
        <v>29</v>
      </c>
      <c r="C2688" s="5">
        <v>44976</v>
      </c>
      <c r="D2688" s="8">
        <v>44976</v>
      </c>
      <c r="E2688" s="8" t="str">
        <f>IF(B2688="Inactive", EDATE(D2688,K2688), "")</f>
        <v/>
      </c>
      <c r="F2688" t="s">
        <v>10</v>
      </c>
      <c r="G2688">
        <v>16.3</v>
      </c>
      <c r="H2688" t="str" cm="1">
        <f t="array" ref="H2688">_xlfn.IFS(G2688&gt;=20,"20-25", G2688&gt;=15,"15-20", G2688&gt;=10,"10-15", G2688&gt;=5,"5-10", G2688&gt;=1,"1-5", G2688&lt;1,"Less than 1")</f>
        <v>15-20</v>
      </c>
      <c r="I2688">
        <v>3</v>
      </c>
      <c r="J2688">
        <v>5</v>
      </c>
      <c r="K2688" s="6">
        <v>8</v>
      </c>
      <c r="L2688" s="2">
        <v>6.99</v>
      </c>
      <c r="M2688" s="6">
        <v>48</v>
      </c>
      <c r="N2688" t="str" cm="1">
        <f t="array" ref="N2688">_xlfn.IFS(M2688&gt;=50,"50-60 Days", M2688&gt;=40,"40-50 Days", M2688&gt;=30, "30-40 Days", M2688&gt;=20, "20-30 Days", M2688&gt;=10, "10-20 Days", M2688&gt;=0, "0-10 Days")</f>
        <v>40-50 Days</v>
      </c>
    </row>
    <row r="2689" spans="1:14">
      <c r="A2689">
        <v>2688</v>
      </c>
      <c r="B2689" t="s">
        <v>29</v>
      </c>
      <c r="C2689" s="5">
        <v>45135</v>
      </c>
      <c r="D2689" s="8">
        <v>45135</v>
      </c>
      <c r="E2689" s="8" t="str">
        <f>IF(B2689="Inactive", EDATE(D2689,K2689), "")</f>
        <v/>
      </c>
      <c r="F2689" t="s">
        <v>12</v>
      </c>
      <c r="G2689">
        <v>7.6</v>
      </c>
      <c r="H2689" t="str" cm="1">
        <f t="array" ref="H2689">_xlfn.IFS(G2689&gt;=20,"20-25", G2689&gt;=15,"15-20", G2689&gt;=10,"10-15", G2689&gt;=5,"5-10", G2689&gt;=1,"1-5", G2689&lt;1,"Less than 1")</f>
        <v>5-10</v>
      </c>
      <c r="I2689">
        <v>3</v>
      </c>
      <c r="J2689">
        <v>2</v>
      </c>
      <c r="K2689" s="6">
        <v>9</v>
      </c>
      <c r="L2689" s="2">
        <v>1.99</v>
      </c>
      <c r="M2689" s="6">
        <v>49</v>
      </c>
      <c r="N2689" t="str" cm="1">
        <f t="array" ref="N2689">_xlfn.IFS(M2689&gt;=50,"50-60 Days", M2689&gt;=40,"40-50 Days", M2689&gt;=30, "30-40 Days", M2689&gt;=20, "20-30 Days", M2689&gt;=10, "10-20 Days", M2689&gt;=0, "0-10 Days")</f>
        <v>40-50 Days</v>
      </c>
    </row>
    <row r="2690" spans="1:14">
      <c r="A2690">
        <v>2689</v>
      </c>
      <c r="B2690" t="s">
        <v>28</v>
      </c>
      <c r="C2690" s="5">
        <v>45146</v>
      </c>
      <c r="D2690" s="8">
        <v>45146</v>
      </c>
      <c r="E2690" s="8">
        <f>IF(B2690="Inactive", EDATE(D2690,K2690), "")</f>
        <v>45238</v>
      </c>
      <c r="F2690" t="s">
        <v>10</v>
      </c>
      <c r="G2690">
        <v>0.6</v>
      </c>
      <c r="H2690" t="str" cm="1">
        <f t="array" ref="H2690">_xlfn.IFS(G2690&gt;=20,"20-25", G2690&gt;=15,"15-20", G2690&gt;=10,"10-15", G2690&gt;=5,"5-10", G2690&gt;=1,"1-5", G2690&lt;1,"Less than 1")</f>
        <v>Less than 1</v>
      </c>
      <c r="I2690">
        <v>5</v>
      </c>
      <c r="J2690">
        <v>1</v>
      </c>
      <c r="K2690" s="6">
        <v>3</v>
      </c>
      <c r="L2690" s="2">
        <v>6.99</v>
      </c>
      <c r="M2690" s="6">
        <v>60</v>
      </c>
      <c r="N2690" t="str" cm="1">
        <f t="array" ref="N2690">_xlfn.IFS(M2690&gt;=50,"50-60 Days", M2690&gt;=40,"40-50 Days", M2690&gt;=30, "30-40 Days", M2690&gt;=20, "20-30 Days", M2690&gt;=10, "10-20 Days", M2690&gt;=0, "0-10 Days")</f>
        <v>50-60 Days</v>
      </c>
    </row>
    <row r="2691" spans="1:14">
      <c r="A2691">
        <v>2690</v>
      </c>
      <c r="B2691" t="s">
        <v>29</v>
      </c>
      <c r="C2691" s="5">
        <v>45568</v>
      </c>
      <c r="D2691" s="8">
        <v>45568</v>
      </c>
      <c r="E2691" s="8" t="str">
        <f>IF(B2691="Inactive", EDATE(D2691,K2691), "")</f>
        <v/>
      </c>
      <c r="F2691" t="s">
        <v>14</v>
      </c>
      <c r="G2691">
        <v>12.9</v>
      </c>
      <c r="H2691" t="str" cm="1">
        <f t="array" ref="H2691">_xlfn.IFS(G2691&gt;=20,"20-25", G2691&gt;=15,"15-20", G2691&gt;=10,"10-15", G2691&gt;=5,"5-10", G2691&gt;=1,"1-5", G2691&lt;1,"Less than 1")</f>
        <v>10-15</v>
      </c>
      <c r="I2691">
        <v>4</v>
      </c>
      <c r="J2691">
        <v>0</v>
      </c>
      <c r="K2691" s="6">
        <v>1</v>
      </c>
      <c r="L2691" s="2">
        <v>3.99</v>
      </c>
      <c r="M2691" s="6">
        <v>4</v>
      </c>
      <c r="N2691" t="str" cm="1">
        <f t="array" ref="N2691">_xlfn.IFS(M2691&gt;=50,"50-60 Days", M2691&gt;=40,"40-50 Days", M2691&gt;=30, "30-40 Days", M2691&gt;=20, "20-30 Days", M2691&gt;=10, "10-20 Days", M2691&gt;=0, "0-10 Days")</f>
        <v>0-10 Days</v>
      </c>
    </row>
    <row r="2692" spans="1:14">
      <c r="A2692">
        <v>2691</v>
      </c>
      <c r="B2692" t="s">
        <v>29</v>
      </c>
      <c r="C2692" s="5">
        <v>45485</v>
      </c>
      <c r="D2692" s="8">
        <v>45485</v>
      </c>
      <c r="E2692" s="8" t="str">
        <f>IF(B2692="Inactive", EDATE(D2692,K2692), "")</f>
        <v/>
      </c>
      <c r="F2692" t="s">
        <v>10</v>
      </c>
      <c r="G2692">
        <v>23.9</v>
      </c>
      <c r="H2692" t="str" cm="1">
        <f t="array" ref="H2692">_xlfn.IFS(G2692&gt;=20,"20-25", G2692&gt;=15,"15-20", G2692&gt;=10,"10-15", G2692&gt;=5,"5-10", G2692&gt;=1,"1-5", G2692&lt;1,"Less than 1")</f>
        <v>20-25</v>
      </c>
      <c r="I2692">
        <v>5</v>
      </c>
      <c r="J2692">
        <v>4</v>
      </c>
      <c r="K2692" s="6">
        <v>3</v>
      </c>
      <c r="L2692" s="2">
        <v>6.99</v>
      </c>
      <c r="M2692" s="6">
        <v>39</v>
      </c>
      <c r="N2692" t="str" cm="1">
        <f t="array" ref="N2692">_xlfn.IFS(M2692&gt;=50,"50-60 Days", M2692&gt;=40,"40-50 Days", M2692&gt;=30, "30-40 Days", M2692&gt;=20, "20-30 Days", M2692&gt;=10, "10-20 Days", M2692&gt;=0, "0-10 Days")</f>
        <v>30-40 Days</v>
      </c>
    </row>
    <row r="2693" spans="1:14">
      <c r="A2693">
        <v>2692</v>
      </c>
      <c r="B2693" t="s">
        <v>28</v>
      </c>
      <c r="C2693" s="5">
        <v>45077</v>
      </c>
      <c r="D2693" s="8">
        <v>45077</v>
      </c>
      <c r="E2693" s="8">
        <f>IF(B2693="Inactive", EDATE(D2693,K2693), "")</f>
        <v>45322</v>
      </c>
      <c r="F2693" t="s">
        <v>14</v>
      </c>
      <c r="G2693">
        <v>19.100000000000001</v>
      </c>
      <c r="H2693" t="str" cm="1">
        <f t="array" ref="H2693">_xlfn.IFS(G2693&gt;=20,"20-25", G2693&gt;=15,"15-20", G2693&gt;=10,"10-15", G2693&gt;=5,"5-10", G2693&gt;=1,"1-5", G2693&lt;1,"Less than 1")</f>
        <v>15-20</v>
      </c>
      <c r="I2693">
        <v>3</v>
      </c>
      <c r="J2693">
        <v>2</v>
      </c>
      <c r="K2693" s="6">
        <v>8</v>
      </c>
      <c r="L2693" s="2">
        <v>3.99</v>
      </c>
      <c r="M2693" s="6">
        <v>43</v>
      </c>
      <c r="N2693" t="str" cm="1">
        <f t="array" ref="N2693">_xlfn.IFS(M2693&gt;=50,"50-60 Days", M2693&gt;=40,"40-50 Days", M2693&gt;=30, "30-40 Days", M2693&gt;=20, "20-30 Days", M2693&gt;=10, "10-20 Days", M2693&gt;=0, "0-10 Days")</f>
        <v>40-50 Days</v>
      </c>
    </row>
    <row r="2694" spans="1:14">
      <c r="A2694">
        <v>2693</v>
      </c>
      <c r="B2694" t="s">
        <v>29</v>
      </c>
      <c r="C2694" s="5">
        <v>45510</v>
      </c>
      <c r="D2694" s="8">
        <v>45510</v>
      </c>
      <c r="E2694" s="8" t="str">
        <f>IF(B2694="Inactive", EDATE(D2694,K2694), "")</f>
        <v/>
      </c>
      <c r="F2694" t="s">
        <v>12</v>
      </c>
      <c r="G2694">
        <v>10</v>
      </c>
      <c r="H2694" t="str" cm="1">
        <f t="array" ref="H2694">_xlfn.IFS(G2694&gt;=20,"20-25", G2694&gt;=15,"15-20", G2694&gt;=10,"10-15", G2694&gt;=5,"5-10", G2694&gt;=1,"1-5", G2694&lt;1,"Less than 1")</f>
        <v>10-15</v>
      </c>
      <c r="I2694">
        <v>0</v>
      </c>
      <c r="J2694">
        <v>0</v>
      </c>
      <c r="K2694" s="6">
        <v>8</v>
      </c>
      <c r="L2694" s="2">
        <v>1.99</v>
      </c>
      <c r="M2694" s="6">
        <v>26</v>
      </c>
      <c r="N2694" t="str" cm="1">
        <f t="array" ref="N2694">_xlfn.IFS(M2694&gt;=50,"50-60 Days", M2694&gt;=40,"40-50 Days", M2694&gt;=30, "30-40 Days", M2694&gt;=20, "20-30 Days", M2694&gt;=10, "10-20 Days", M2694&gt;=0, "0-10 Days")</f>
        <v>20-30 Days</v>
      </c>
    </row>
    <row r="2695" spans="1:14">
      <c r="A2695">
        <v>2694</v>
      </c>
      <c r="B2695" t="s">
        <v>29</v>
      </c>
      <c r="C2695" s="5">
        <v>45487</v>
      </c>
      <c r="D2695" s="8">
        <v>45487</v>
      </c>
      <c r="E2695" s="8" t="str">
        <f>IF(B2695="Inactive", EDATE(D2695,K2695), "")</f>
        <v/>
      </c>
      <c r="F2695" t="s">
        <v>10</v>
      </c>
      <c r="G2695">
        <v>16.3</v>
      </c>
      <c r="H2695" t="str" cm="1">
        <f t="array" ref="H2695">_xlfn.IFS(G2695&gt;=20,"20-25", G2695&gt;=15,"15-20", G2695&gt;=10,"10-15", G2695&gt;=5,"5-10", G2695&gt;=1,"1-5", G2695&lt;1,"Less than 1")</f>
        <v>15-20</v>
      </c>
      <c r="I2695">
        <v>6</v>
      </c>
      <c r="J2695">
        <v>4</v>
      </c>
      <c r="K2695" s="6">
        <v>1</v>
      </c>
      <c r="L2695" s="2">
        <v>6.99</v>
      </c>
      <c r="M2695" s="6">
        <v>27</v>
      </c>
      <c r="N2695" t="str" cm="1">
        <f t="array" ref="N2695">_xlfn.IFS(M2695&gt;=50,"50-60 Days", M2695&gt;=40,"40-50 Days", M2695&gt;=30, "30-40 Days", M2695&gt;=20, "20-30 Days", M2695&gt;=10, "10-20 Days", M2695&gt;=0, "0-10 Days")</f>
        <v>20-30 Days</v>
      </c>
    </row>
    <row r="2696" spans="1:14">
      <c r="A2696">
        <v>2695</v>
      </c>
      <c r="B2696" t="s">
        <v>28</v>
      </c>
      <c r="C2696" s="5">
        <v>45639</v>
      </c>
      <c r="D2696" s="8">
        <v>45639</v>
      </c>
      <c r="E2696" s="8">
        <f>IF(B2696="Inactive", EDATE(D2696,K2696), "")</f>
        <v>45701</v>
      </c>
      <c r="F2696" t="s">
        <v>12</v>
      </c>
      <c r="G2696">
        <v>13.9</v>
      </c>
      <c r="H2696" t="str" cm="1">
        <f t="array" ref="H2696">_xlfn.IFS(G2696&gt;=20,"20-25", G2696&gt;=15,"15-20", G2696&gt;=10,"10-15", G2696&gt;=5,"5-10", G2696&gt;=1,"1-5", G2696&lt;1,"Less than 1")</f>
        <v>10-15</v>
      </c>
      <c r="I2696">
        <v>7</v>
      </c>
      <c r="J2696">
        <v>3</v>
      </c>
      <c r="K2696" s="6">
        <v>2</v>
      </c>
      <c r="L2696" s="2">
        <v>1.99</v>
      </c>
      <c r="M2696" s="6">
        <v>16</v>
      </c>
      <c r="N2696" t="str" cm="1">
        <f t="array" ref="N2696">_xlfn.IFS(M2696&gt;=50,"50-60 Days", M2696&gt;=40,"40-50 Days", M2696&gt;=30, "30-40 Days", M2696&gt;=20, "20-30 Days", M2696&gt;=10, "10-20 Days", M2696&gt;=0, "0-10 Days")</f>
        <v>10-20 Days</v>
      </c>
    </row>
    <row r="2697" spans="1:14">
      <c r="A2697">
        <v>2696</v>
      </c>
      <c r="B2697" t="s">
        <v>29</v>
      </c>
      <c r="C2697" s="5">
        <v>45605</v>
      </c>
      <c r="D2697" s="8">
        <v>45605</v>
      </c>
      <c r="E2697" s="8" t="str">
        <f>IF(B2697="Inactive", EDATE(D2697,K2697), "")</f>
        <v/>
      </c>
      <c r="F2697" t="s">
        <v>12</v>
      </c>
      <c r="G2697">
        <v>12.8</v>
      </c>
      <c r="H2697" t="str" cm="1">
        <f t="array" ref="H2697">_xlfn.IFS(G2697&gt;=20,"20-25", G2697&gt;=15,"15-20", G2697&gt;=10,"10-15", G2697&gt;=5,"5-10", G2697&gt;=1,"1-5", G2697&lt;1,"Less than 1")</f>
        <v>10-15</v>
      </c>
      <c r="I2697">
        <v>2</v>
      </c>
      <c r="J2697">
        <v>5</v>
      </c>
      <c r="K2697" s="6">
        <v>11</v>
      </c>
      <c r="L2697" s="2">
        <v>1.99</v>
      </c>
      <c r="M2697" s="6">
        <v>56</v>
      </c>
      <c r="N2697" t="str" cm="1">
        <f t="array" ref="N2697">_xlfn.IFS(M2697&gt;=50,"50-60 Days", M2697&gt;=40,"40-50 Days", M2697&gt;=30, "30-40 Days", M2697&gt;=20, "20-30 Days", M2697&gt;=10, "10-20 Days", M2697&gt;=0, "0-10 Days")</f>
        <v>50-60 Days</v>
      </c>
    </row>
    <row r="2698" spans="1:14">
      <c r="A2698">
        <v>2697</v>
      </c>
      <c r="B2698" t="s">
        <v>28</v>
      </c>
      <c r="C2698" s="5">
        <v>45429</v>
      </c>
      <c r="D2698" s="8">
        <v>45429</v>
      </c>
      <c r="E2698" s="8">
        <f>IF(B2698="Inactive", EDATE(D2698,K2698), "")</f>
        <v>45643</v>
      </c>
      <c r="F2698" t="s">
        <v>12</v>
      </c>
      <c r="G2698">
        <v>8</v>
      </c>
      <c r="H2698" t="str" cm="1">
        <f t="array" ref="H2698">_xlfn.IFS(G2698&gt;=20,"20-25", G2698&gt;=15,"15-20", G2698&gt;=10,"10-15", G2698&gt;=5,"5-10", G2698&gt;=1,"1-5", G2698&lt;1,"Less than 1")</f>
        <v>5-10</v>
      </c>
      <c r="I2698">
        <v>5</v>
      </c>
      <c r="J2698">
        <v>1</v>
      </c>
      <c r="K2698" s="6">
        <v>7</v>
      </c>
      <c r="L2698" s="2">
        <v>1.99</v>
      </c>
      <c r="M2698" s="6">
        <v>1</v>
      </c>
      <c r="N2698" t="str" cm="1">
        <f t="array" ref="N2698">_xlfn.IFS(M2698&gt;=50,"50-60 Days", M2698&gt;=40,"40-50 Days", M2698&gt;=30, "30-40 Days", M2698&gt;=20, "20-30 Days", M2698&gt;=10, "10-20 Days", M2698&gt;=0, "0-10 Days")</f>
        <v>0-10 Days</v>
      </c>
    </row>
    <row r="2699" spans="1:14">
      <c r="A2699">
        <v>2698</v>
      </c>
      <c r="B2699" t="s">
        <v>28</v>
      </c>
      <c r="C2699" s="5">
        <v>45091</v>
      </c>
      <c r="D2699" s="8">
        <v>45091</v>
      </c>
      <c r="E2699" s="8">
        <f>IF(B2699="Inactive", EDATE(D2699,K2699), "")</f>
        <v>45365</v>
      </c>
      <c r="F2699" t="s">
        <v>14</v>
      </c>
      <c r="G2699">
        <v>19.100000000000001</v>
      </c>
      <c r="H2699" t="str" cm="1">
        <f t="array" ref="H2699">_xlfn.IFS(G2699&gt;=20,"20-25", G2699&gt;=15,"15-20", G2699&gt;=10,"10-15", G2699&gt;=5,"5-10", G2699&gt;=1,"1-5", G2699&lt;1,"Less than 1")</f>
        <v>15-20</v>
      </c>
      <c r="I2699">
        <v>2</v>
      </c>
      <c r="J2699">
        <v>2</v>
      </c>
      <c r="K2699" s="6">
        <v>9</v>
      </c>
      <c r="L2699" s="2">
        <v>3.99</v>
      </c>
      <c r="M2699" s="6">
        <v>20</v>
      </c>
      <c r="N2699" t="str" cm="1">
        <f t="array" ref="N2699">_xlfn.IFS(M2699&gt;=50,"50-60 Days", M2699&gt;=40,"40-50 Days", M2699&gt;=30, "30-40 Days", M2699&gt;=20, "20-30 Days", M2699&gt;=10, "10-20 Days", M2699&gt;=0, "0-10 Days")</f>
        <v>20-30 Days</v>
      </c>
    </row>
    <row r="2700" spans="1:14">
      <c r="A2700">
        <v>2699</v>
      </c>
      <c r="B2700" t="s">
        <v>29</v>
      </c>
      <c r="C2700" s="5">
        <v>45247</v>
      </c>
      <c r="D2700" s="8">
        <v>45247</v>
      </c>
      <c r="E2700" s="8" t="str">
        <f>IF(B2700="Inactive", EDATE(D2700,K2700), "")</f>
        <v/>
      </c>
      <c r="F2700" t="s">
        <v>10</v>
      </c>
      <c r="G2700">
        <v>20.8</v>
      </c>
      <c r="H2700" t="str" cm="1">
        <f t="array" ref="H2700">_xlfn.IFS(G2700&gt;=20,"20-25", G2700&gt;=15,"15-20", G2700&gt;=10,"10-15", G2700&gt;=5,"5-10", G2700&gt;=1,"1-5", G2700&lt;1,"Less than 1")</f>
        <v>20-25</v>
      </c>
      <c r="I2700">
        <v>1</v>
      </c>
      <c r="J2700">
        <v>3</v>
      </c>
      <c r="K2700" s="6">
        <v>8</v>
      </c>
      <c r="L2700" s="2">
        <v>6.99</v>
      </c>
      <c r="M2700" s="6">
        <v>13</v>
      </c>
      <c r="N2700" t="str" cm="1">
        <f t="array" ref="N2700">_xlfn.IFS(M2700&gt;=50,"50-60 Days", M2700&gt;=40,"40-50 Days", M2700&gt;=30, "30-40 Days", M2700&gt;=20, "20-30 Days", M2700&gt;=10, "10-20 Days", M2700&gt;=0, "0-10 Days")</f>
        <v>10-20 Days</v>
      </c>
    </row>
    <row r="2701" spans="1:14">
      <c r="A2701">
        <v>2700</v>
      </c>
      <c r="B2701" t="s">
        <v>29</v>
      </c>
      <c r="C2701" s="5">
        <v>45187</v>
      </c>
      <c r="D2701" s="8">
        <v>45187</v>
      </c>
      <c r="E2701" s="8" t="str">
        <f>IF(B2701="Inactive", EDATE(D2701,K2701), "")</f>
        <v/>
      </c>
      <c r="F2701" t="s">
        <v>14</v>
      </c>
      <c r="G2701">
        <v>22.5</v>
      </c>
      <c r="H2701" t="str" cm="1">
        <f t="array" ref="H2701">_xlfn.IFS(G2701&gt;=20,"20-25", G2701&gt;=15,"15-20", G2701&gt;=10,"10-15", G2701&gt;=5,"5-10", G2701&gt;=1,"1-5", G2701&lt;1,"Less than 1")</f>
        <v>20-25</v>
      </c>
      <c r="I2701">
        <v>2</v>
      </c>
      <c r="J2701">
        <v>2</v>
      </c>
      <c r="K2701" s="6">
        <v>3</v>
      </c>
      <c r="L2701" s="2">
        <v>3.99</v>
      </c>
      <c r="M2701" s="6">
        <v>6</v>
      </c>
      <c r="N2701" t="str" cm="1">
        <f t="array" ref="N2701">_xlfn.IFS(M2701&gt;=50,"50-60 Days", M2701&gt;=40,"40-50 Days", M2701&gt;=30, "30-40 Days", M2701&gt;=20, "20-30 Days", M2701&gt;=10, "10-20 Days", M2701&gt;=0, "0-10 Days")</f>
        <v>0-10 Days</v>
      </c>
    </row>
    <row r="2702" spans="1:14">
      <c r="A2702">
        <v>2701</v>
      </c>
      <c r="B2702" t="s">
        <v>28</v>
      </c>
      <c r="C2702" s="5">
        <v>45265</v>
      </c>
      <c r="D2702" s="8">
        <v>45265</v>
      </c>
      <c r="E2702" s="8">
        <f>IF(B2702="Inactive", EDATE(D2702,K2702), "")</f>
        <v>45327</v>
      </c>
      <c r="F2702" t="s">
        <v>12</v>
      </c>
      <c r="G2702">
        <v>15.9</v>
      </c>
      <c r="H2702" t="str" cm="1">
        <f t="array" ref="H2702">_xlfn.IFS(G2702&gt;=20,"20-25", G2702&gt;=15,"15-20", G2702&gt;=10,"10-15", G2702&gt;=5,"5-10", G2702&gt;=1,"1-5", G2702&lt;1,"Less than 1")</f>
        <v>15-20</v>
      </c>
      <c r="I2702">
        <v>2</v>
      </c>
      <c r="J2702">
        <v>1</v>
      </c>
      <c r="K2702" s="6">
        <v>2</v>
      </c>
      <c r="L2702" s="2">
        <v>1.99</v>
      </c>
      <c r="M2702" s="6">
        <v>50</v>
      </c>
      <c r="N2702" t="str" cm="1">
        <f t="array" ref="N2702">_xlfn.IFS(M2702&gt;=50,"50-60 Days", M2702&gt;=40,"40-50 Days", M2702&gt;=30, "30-40 Days", M2702&gt;=20, "20-30 Days", M2702&gt;=10, "10-20 Days", M2702&gt;=0, "0-10 Days")</f>
        <v>50-60 Days</v>
      </c>
    </row>
    <row r="2703" spans="1:14">
      <c r="A2703">
        <v>2702</v>
      </c>
      <c r="B2703" t="s">
        <v>29</v>
      </c>
      <c r="C2703" s="5">
        <v>45358</v>
      </c>
      <c r="D2703" s="8">
        <v>45358</v>
      </c>
      <c r="E2703" s="8" t="str">
        <f>IF(B2703="Inactive", EDATE(D2703,K2703), "")</f>
        <v/>
      </c>
      <c r="F2703" t="s">
        <v>12</v>
      </c>
      <c r="G2703">
        <v>0.9</v>
      </c>
      <c r="H2703" t="str" cm="1">
        <f t="array" ref="H2703">_xlfn.IFS(G2703&gt;=20,"20-25", G2703&gt;=15,"15-20", G2703&gt;=10,"10-15", G2703&gt;=5,"5-10", G2703&gt;=1,"1-5", G2703&lt;1,"Less than 1")</f>
        <v>Less than 1</v>
      </c>
      <c r="I2703">
        <v>0</v>
      </c>
      <c r="J2703">
        <v>4</v>
      </c>
      <c r="K2703" s="6">
        <v>2</v>
      </c>
      <c r="L2703" s="2">
        <v>1.99</v>
      </c>
      <c r="M2703" s="6">
        <v>2</v>
      </c>
      <c r="N2703" t="str" cm="1">
        <f t="array" ref="N2703">_xlfn.IFS(M2703&gt;=50,"50-60 Days", M2703&gt;=40,"40-50 Days", M2703&gt;=30, "30-40 Days", M2703&gt;=20, "20-30 Days", M2703&gt;=10, "10-20 Days", M2703&gt;=0, "0-10 Days")</f>
        <v>0-10 Days</v>
      </c>
    </row>
    <row r="2704" spans="1:14">
      <c r="A2704">
        <v>2703</v>
      </c>
      <c r="B2704" t="s">
        <v>29</v>
      </c>
      <c r="C2704" s="5">
        <v>45496</v>
      </c>
      <c r="D2704" s="8">
        <v>45496</v>
      </c>
      <c r="E2704" s="8" t="str">
        <f>IF(B2704="Inactive", EDATE(D2704,K2704), "")</f>
        <v/>
      </c>
      <c r="F2704" t="s">
        <v>10</v>
      </c>
      <c r="G2704">
        <v>9.1999999999999993</v>
      </c>
      <c r="H2704" t="str" cm="1">
        <f t="array" ref="H2704">_xlfn.IFS(G2704&gt;=20,"20-25", G2704&gt;=15,"15-20", G2704&gt;=10,"10-15", G2704&gt;=5,"5-10", G2704&gt;=1,"1-5", G2704&lt;1,"Less than 1")</f>
        <v>5-10</v>
      </c>
      <c r="I2704">
        <v>0</v>
      </c>
      <c r="J2704">
        <v>5</v>
      </c>
      <c r="K2704" s="6">
        <v>1</v>
      </c>
      <c r="L2704" s="2">
        <v>6.99</v>
      </c>
      <c r="M2704" s="6">
        <v>48</v>
      </c>
      <c r="N2704" t="str" cm="1">
        <f t="array" ref="N2704">_xlfn.IFS(M2704&gt;=50,"50-60 Days", M2704&gt;=40,"40-50 Days", M2704&gt;=30, "30-40 Days", M2704&gt;=20, "20-30 Days", M2704&gt;=10, "10-20 Days", M2704&gt;=0, "0-10 Days")</f>
        <v>40-50 Days</v>
      </c>
    </row>
    <row r="2705" spans="1:14">
      <c r="A2705">
        <v>2704</v>
      </c>
      <c r="B2705" t="s">
        <v>29</v>
      </c>
      <c r="C2705" s="5">
        <v>45017</v>
      </c>
      <c r="D2705" s="8">
        <v>45017</v>
      </c>
      <c r="E2705" s="8" t="str">
        <f>IF(B2705="Inactive", EDATE(D2705,K2705), "")</f>
        <v/>
      </c>
      <c r="F2705" t="s">
        <v>14</v>
      </c>
      <c r="G2705">
        <v>6.7</v>
      </c>
      <c r="H2705" t="str" cm="1">
        <f t="array" ref="H2705">_xlfn.IFS(G2705&gt;=20,"20-25", G2705&gt;=15,"15-20", G2705&gt;=10,"10-15", G2705&gt;=5,"5-10", G2705&gt;=1,"1-5", G2705&lt;1,"Less than 1")</f>
        <v>5-10</v>
      </c>
      <c r="I2705">
        <v>0</v>
      </c>
      <c r="J2705">
        <v>1</v>
      </c>
      <c r="K2705" s="6">
        <v>11</v>
      </c>
      <c r="L2705" s="2">
        <v>3.99</v>
      </c>
      <c r="M2705" s="6">
        <v>56</v>
      </c>
      <c r="N2705" t="str" cm="1">
        <f t="array" ref="N2705">_xlfn.IFS(M2705&gt;=50,"50-60 Days", M2705&gt;=40,"40-50 Days", M2705&gt;=30, "30-40 Days", M2705&gt;=20, "20-30 Days", M2705&gt;=10, "10-20 Days", M2705&gt;=0, "0-10 Days")</f>
        <v>50-60 Days</v>
      </c>
    </row>
    <row r="2706" spans="1:14">
      <c r="A2706">
        <v>2705</v>
      </c>
      <c r="B2706" t="s">
        <v>28</v>
      </c>
      <c r="C2706" s="5">
        <v>45621</v>
      </c>
      <c r="D2706" s="8">
        <v>45621</v>
      </c>
      <c r="E2706" s="8">
        <f>IF(B2706="Inactive", EDATE(D2706,K2706), "")</f>
        <v>45894</v>
      </c>
      <c r="F2706" t="s">
        <v>14</v>
      </c>
      <c r="G2706">
        <v>11.4</v>
      </c>
      <c r="H2706" t="str" cm="1">
        <f t="array" ref="H2706">_xlfn.IFS(G2706&gt;=20,"20-25", G2706&gt;=15,"15-20", G2706&gt;=10,"10-15", G2706&gt;=5,"5-10", G2706&gt;=1,"1-5", G2706&lt;1,"Less than 1")</f>
        <v>10-15</v>
      </c>
      <c r="I2706">
        <v>2</v>
      </c>
      <c r="J2706">
        <v>4</v>
      </c>
      <c r="K2706" s="6">
        <v>9</v>
      </c>
      <c r="L2706" s="2">
        <v>3.99</v>
      </c>
      <c r="M2706" s="6">
        <v>59</v>
      </c>
      <c r="N2706" t="str" cm="1">
        <f t="array" ref="N2706">_xlfn.IFS(M2706&gt;=50,"50-60 Days", M2706&gt;=40,"40-50 Days", M2706&gt;=30, "30-40 Days", M2706&gt;=20, "20-30 Days", M2706&gt;=10, "10-20 Days", M2706&gt;=0, "0-10 Days")</f>
        <v>50-60 Days</v>
      </c>
    </row>
    <row r="2707" spans="1:14">
      <c r="A2707">
        <v>2706</v>
      </c>
      <c r="B2707" t="s">
        <v>28</v>
      </c>
      <c r="C2707" s="5">
        <v>45506</v>
      </c>
      <c r="D2707" s="8">
        <v>45506</v>
      </c>
      <c r="E2707" s="8">
        <f>IF(B2707="Inactive", EDATE(D2707,K2707), "")</f>
        <v>45810</v>
      </c>
      <c r="F2707" t="s">
        <v>14</v>
      </c>
      <c r="G2707">
        <v>8.6999999999999993</v>
      </c>
      <c r="H2707" t="str" cm="1">
        <f t="array" ref="H2707">_xlfn.IFS(G2707&gt;=20,"20-25", G2707&gt;=15,"15-20", G2707&gt;=10,"10-15", G2707&gt;=5,"5-10", G2707&gt;=1,"1-5", G2707&lt;1,"Less than 1")</f>
        <v>5-10</v>
      </c>
      <c r="I2707">
        <v>8</v>
      </c>
      <c r="J2707">
        <v>4</v>
      </c>
      <c r="K2707" s="6">
        <v>10</v>
      </c>
      <c r="L2707" s="2">
        <v>3.99</v>
      </c>
      <c r="M2707" s="6">
        <v>28</v>
      </c>
      <c r="N2707" t="str" cm="1">
        <f t="array" ref="N2707">_xlfn.IFS(M2707&gt;=50,"50-60 Days", M2707&gt;=40,"40-50 Days", M2707&gt;=30, "30-40 Days", M2707&gt;=20, "20-30 Days", M2707&gt;=10, "10-20 Days", M2707&gt;=0, "0-10 Days")</f>
        <v>20-30 Days</v>
      </c>
    </row>
    <row r="2708" spans="1:14">
      <c r="A2708">
        <v>2707</v>
      </c>
      <c r="B2708" t="s">
        <v>28</v>
      </c>
      <c r="C2708" s="5">
        <v>45163</v>
      </c>
      <c r="D2708" s="8">
        <v>45163</v>
      </c>
      <c r="E2708" s="8">
        <f>IF(B2708="Inactive", EDATE(D2708,K2708), "")</f>
        <v>45224</v>
      </c>
      <c r="F2708" t="s">
        <v>12</v>
      </c>
      <c r="G2708">
        <v>4.7</v>
      </c>
      <c r="H2708" t="str" cm="1">
        <f t="array" ref="H2708">_xlfn.IFS(G2708&gt;=20,"20-25", G2708&gt;=15,"15-20", G2708&gt;=10,"10-15", G2708&gt;=5,"5-10", G2708&gt;=1,"1-5", G2708&lt;1,"Less than 1")</f>
        <v>1-5</v>
      </c>
      <c r="I2708">
        <v>6</v>
      </c>
      <c r="J2708">
        <v>2</v>
      </c>
      <c r="K2708" s="6">
        <v>2</v>
      </c>
      <c r="L2708" s="2">
        <v>1.99</v>
      </c>
      <c r="M2708" s="6">
        <v>10</v>
      </c>
      <c r="N2708" t="str" cm="1">
        <f t="array" ref="N2708">_xlfn.IFS(M2708&gt;=50,"50-60 Days", M2708&gt;=40,"40-50 Days", M2708&gt;=30, "30-40 Days", M2708&gt;=20, "20-30 Days", M2708&gt;=10, "10-20 Days", M2708&gt;=0, "0-10 Days")</f>
        <v>10-20 Days</v>
      </c>
    </row>
    <row r="2709" spans="1:14">
      <c r="A2709">
        <v>2708</v>
      </c>
      <c r="B2709" t="s">
        <v>29</v>
      </c>
      <c r="C2709" s="5">
        <v>45395</v>
      </c>
      <c r="D2709" s="8">
        <v>45395</v>
      </c>
      <c r="E2709" s="8" t="str">
        <f>IF(B2709="Inactive", EDATE(D2709,K2709), "")</f>
        <v/>
      </c>
      <c r="F2709" t="s">
        <v>12</v>
      </c>
      <c r="G2709">
        <v>16.899999999999999</v>
      </c>
      <c r="H2709" t="str" cm="1">
        <f t="array" ref="H2709">_xlfn.IFS(G2709&gt;=20,"20-25", G2709&gt;=15,"15-20", G2709&gt;=10,"10-15", G2709&gt;=5,"5-10", G2709&gt;=1,"1-5", G2709&lt;1,"Less than 1")</f>
        <v>15-20</v>
      </c>
      <c r="I2709">
        <v>2</v>
      </c>
      <c r="J2709">
        <v>0</v>
      </c>
      <c r="K2709" s="6">
        <v>9</v>
      </c>
      <c r="L2709" s="2">
        <v>1.99</v>
      </c>
      <c r="M2709" s="6">
        <v>56</v>
      </c>
      <c r="N2709" t="str" cm="1">
        <f t="array" ref="N2709">_xlfn.IFS(M2709&gt;=50,"50-60 Days", M2709&gt;=40,"40-50 Days", M2709&gt;=30, "30-40 Days", M2709&gt;=20, "20-30 Days", M2709&gt;=10, "10-20 Days", M2709&gt;=0, "0-10 Days")</f>
        <v>50-60 Days</v>
      </c>
    </row>
    <row r="2710" spans="1:14">
      <c r="A2710">
        <v>2709</v>
      </c>
      <c r="B2710" t="s">
        <v>29</v>
      </c>
      <c r="C2710" s="5">
        <v>44952</v>
      </c>
      <c r="D2710" s="8">
        <v>44952</v>
      </c>
      <c r="E2710" s="8" t="str">
        <f>IF(B2710="Inactive", EDATE(D2710,K2710), "")</f>
        <v/>
      </c>
      <c r="F2710" t="s">
        <v>14</v>
      </c>
      <c r="G2710">
        <v>13.3</v>
      </c>
      <c r="H2710" t="str" cm="1">
        <f t="array" ref="H2710">_xlfn.IFS(G2710&gt;=20,"20-25", G2710&gt;=15,"15-20", G2710&gt;=10,"10-15", G2710&gt;=5,"5-10", G2710&gt;=1,"1-5", G2710&lt;1,"Less than 1")</f>
        <v>10-15</v>
      </c>
      <c r="I2710">
        <v>1</v>
      </c>
      <c r="J2710">
        <v>2</v>
      </c>
      <c r="K2710" s="6">
        <v>8</v>
      </c>
      <c r="L2710" s="2">
        <v>3.99</v>
      </c>
      <c r="M2710" s="6">
        <v>29</v>
      </c>
      <c r="N2710" t="str" cm="1">
        <f t="array" ref="N2710">_xlfn.IFS(M2710&gt;=50,"50-60 Days", M2710&gt;=40,"40-50 Days", M2710&gt;=30, "30-40 Days", M2710&gt;=20, "20-30 Days", M2710&gt;=10, "10-20 Days", M2710&gt;=0, "0-10 Days")</f>
        <v>20-30 Days</v>
      </c>
    </row>
    <row r="2711" spans="1:14">
      <c r="A2711">
        <v>2710</v>
      </c>
      <c r="B2711" t="s">
        <v>29</v>
      </c>
      <c r="C2711" s="5">
        <v>45092</v>
      </c>
      <c r="D2711" s="8">
        <v>45092</v>
      </c>
      <c r="E2711" s="8" t="str">
        <f>IF(B2711="Inactive", EDATE(D2711,K2711), "")</f>
        <v/>
      </c>
      <c r="F2711" t="s">
        <v>10</v>
      </c>
      <c r="G2711">
        <v>0.5</v>
      </c>
      <c r="H2711" t="str" cm="1">
        <f t="array" ref="H2711">_xlfn.IFS(G2711&gt;=20,"20-25", G2711&gt;=15,"15-20", G2711&gt;=10,"10-15", G2711&gt;=5,"5-10", G2711&gt;=1,"1-5", G2711&lt;1,"Less than 1")</f>
        <v>Less than 1</v>
      </c>
      <c r="I2711">
        <v>7</v>
      </c>
      <c r="J2711">
        <v>0</v>
      </c>
      <c r="K2711" s="6">
        <v>3</v>
      </c>
      <c r="L2711" s="2">
        <v>6.99</v>
      </c>
      <c r="M2711" s="6">
        <v>5</v>
      </c>
      <c r="N2711" t="str" cm="1">
        <f t="array" ref="N2711">_xlfn.IFS(M2711&gt;=50,"50-60 Days", M2711&gt;=40,"40-50 Days", M2711&gt;=30, "30-40 Days", M2711&gt;=20, "20-30 Days", M2711&gt;=10, "10-20 Days", M2711&gt;=0, "0-10 Days")</f>
        <v>0-10 Days</v>
      </c>
    </row>
    <row r="2712" spans="1:14">
      <c r="A2712">
        <v>2711</v>
      </c>
      <c r="B2712" t="s">
        <v>29</v>
      </c>
      <c r="C2712" s="5">
        <v>45028</v>
      </c>
      <c r="D2712" s="8">
        <v>45028</v>
      </c>
      <c r="E2712" s="8" t="str">
        <f>IF(B2712="Inactive", EDATE(D2712,K2712), "")</f>
        <v/>
      </c>
      <c r="F2712" t="s">
        <v>12</v>
      </c>
      <c r="G2712">
        <v>0.6</v>
      </c>
      <c r="H2712" t="str" cm="1">
        <f t="array" ref="H2712">_xlfn.IFS(G2712&gt;=20,"20-25", G2712&gt;=15,"15-20", G2712&gt;=10,"10-15", G2712&gt;=5,"5-10", G2712&gt;=1,"1-5", G2712&lt;1,"Less than 1")</f>
        <v>Less than 1</v>
      </c>
      <c r="I2712">
        <v>3</v>
      </c>
      <c r="J2712">
        <v>3</v>
      </c>
      <c r="K2712" s="6">
        <v>12</v>
      </c>
      <c r="L2712" s="2">
        <v>1.99</v>
      </c>
      <c r="M2712" s="6">
        <v>44</v>
      </c>
      <c r="N2712" t="str" cm="1">
        <f t="array" ref="N2712">_xlfn.IFS(M2712&gt;=50,"50-60 Days", M2712&gt;=40,"40-50 Days", M2712&gt;=30, "30-40 Days", M2712&gt;=20, "20-30 Days", M2712&gt;=10, "10-20 Days", M2712&gt;=0, "0-10 Days")</f>
        <v>40-50 Days</v>
      </c>
    </row>
    <row r="2713" spans="1:14">
      <c r="A2713">
        <v>2712</v>
      </c>
      <c r="B2713" t="s">
        <v>28</v>
      </c>
      <c r="C2713" s="5">
        <v>45427</v>
      </c>
      <c r="D2713" s="8">
        <v>45427</v>
      </c>
      <c r="E2713" s="8">
        <f>IF(B2713="Inactive", EDATE(D2713,K2713), "")</f>
        <v>45550</v>
      </c>
      <c r="F2713" t="s">
        <v>10</v>
      </c>
      <c r="G2713">
        <v>2.2000000000000002</v>
      </c>
      <c r="H2713" t="str" cm="1">
        <f t="array" ref="H2713">_xlfn.IFS(G2713&gt;=20,"20-25", G2713&gt;=15,"15-20", G2713&gt;=10,"10-15", G2713&gt;=5,"5-10", G2713&gt;=1,"1-5", G2713&lt;1,"Less than 1")</f>
        <v>1-5</v>
      </c>
      <c r="I2713">
        <v>8</v>
      </c>
      <c r="J2713">
        <v>0</v>
      </c>
      <c r="K2713" s="6">
        <v>4</v>
      </c>
      <c r="L2713" s="2">
        <v>6.99</v>
      </c>
      <c r="M2713" s="6">
        <v>33</v>
      </c>
      <c r="N2713" t="str" cm="1">
        <f t="array" ref="N2713">_xlfn.IFS(M2713&gt;=50,"50-60 Days", M2713&gt;=40,"40-50 Days", M2713&gt;=30, "30-40 Days", M2713&gt;=20, "20-30 Days", M2713&gt;=10, "10-20 Days", M2713&gt;=0, "0-10 Days")</f>
        <v>30-40 Days</v>
      </c>
    </row>
    <row r="2714" spans="1:14">
      <c r="A2714">
        <v>2713</v>
      </c>
      <c r="B2714" t="s">
        <v>29</v>
      </c>
      <c r="C2714" s="5">
        <v>45442</v>
      </c>
      <c r="D2714" s="8">
        <v>45442</v>
      </c>
      <c r="E2714" s="8" t="str">
        <f>IF(B2714="Inactive", EDATE(D2714,K2714), "")</f>
        <v/>
      </c>
      <c r="F2714" t="s">
        <v>10</v>
      </c>
      <c r="G2714">
        <v>17.3</v>
      </c>
      <c r="H2714" t="str" cm="1">
        <f t="array" ref="H2714">_xlfn.IFS(G2714&gt;=20,"20-25", G2714&gt;=15,"15-20", G2714&gt;=10,"10-15", G2714&gt;=5,"5-10", G2714&gt;=1,"1-5", G2714&lt;1,"Less than 1")</f>
        <v>15-20</v>
      </c>
      <c r="I2714">
        <v>1</v>
      </c>
      <c r="J2714">
        <v>3</v>
      </c>
      <c r="K2714" s="6">
        <v>1</v>
      </c>
      <c r="L2714" s="2">
        <v>6.99</v>
      </c>
      <c r="M2714" s="6">
        <v>6</v>
      </c>
      <c r="N2714" t="str" cm="1">
        <f t="array" ref="N2714">_xlfn.IFS(M2714&gt;=50,"50-60 Days", M2714&gt;=40,"40-50 Days", M2714&gt;=30, "30-40 Days", M2714&gt;=20, "20-30 Days", M2714&gt;=10, "10-20 Days", M2714&gt;=0, "0-10 Days")</f>
        <v>0-10 Days</v>
      </c>
    </row>
    <row r="2715" spans="1:14">
      <c r="A2715">
        <v>2714</v>
      </c>
      <c r="B2715" t="s">
        <v>28</v>
      </c>
      <c r="C2715" s="5">
        <v>45529</v>
      </c>
      <c r="D2715" s="8">
        <v>45529</v>
      </c>
      <c r="E2715" s="8">
        <f>IF(B2715="Inactive", EDATE(D2715,K2715), "")</f>
        <v>45682</v>
      </c>
      <c r="F2715" t="s">
        <v>14</v>
      </c>
      <c r="G2715">
        <v>13.6</v>
      </c>
      <c r="H2715" t="str" cm="1">
        <f t="array" ref="H2715">_xlfn.IFS(G2715&gt;=20,"20-25", G2715&gt;=15,"15-20", G2715&gt;=10,"10-15", G2715&gt;=5,"5-10", G2715&gt;=1,"1-5", G2715&lt;1,"Less than 1")</f>
        <v>10-15</v>
      </c>
      <c r="I2715">
        <v>5</v>
      </c>
      <c r="J2715">
        <v>4</v>
      </c>
      <c r="K2715" s="6">
        <v>5</v>
      </c>
      <c r="L2715" s="2">
        <v>3.99</v>
      </c>
      <c r="M2715" s="6">
        <v>35</v>
      </c>
      <c r="N2715" t="str" cm="1">
        <f t="array" ref="N2715">_xlfn.IFS(M2715&gt;=50,"50-60 Days", M2715&gt;=40,"40-50 Days", M2715&gt;=30, "30-40 Days", M2715&gt;=20, "20-30 Days", M2715&gt;=10, "10-20 Days", M2715&gt;=0, "0-10 Days")</f>
        <v>30-40 Days</v>
      </c>
    </row>
    <row r="2716" spans="1:14">
      <c r="A2716">
        <v>2715</v>
      </c>
      <c r="B2716" t="s">
        <v>29</v>
      </c>
      <c r="C2716" s="5">
        <v>45317</v>
      </c>
      <c r="D2716" s="8">
        <v>45317</v>
      </c>
      <c r="E2716" s="8" t="str">
        <f>IF(B2716="Inactive", EDATE(D2716,K2716), "")</f>
        <v/>
      </c>
      <c r="F2716" t="s">
        <v>14</v>
      </c>
      <c r="G2716">
        <v>17.399999999999999</v>
      </c>
      <c r="H2716" t="str" cm="1">
        <f t="array" ref="H2716">_xlfn.IFS(G2716&gt;=20,"20-25", G2716&gt;=15,"15-20", G2716&gt;=10,"10-15", G2716&gt;=5,"5-10", G2716&gt;=1,"1-5", G2716&lt;1,"Less than 1")</f>
        <v>15-20</v>
      </c>
      <c r="I2716">
        <v>7</v>
      </c>
      <c r="J2716">
        <v>1</v>
      </c>
      <c r="K2716" s="6">
        <v>10</v>
      </c>
      <c r="L2716" s="2">
        <v>3.99</v>
      </c>
      <c r="M2716" s="6">
        <v>45</v>
      </c>
      <c r="N2716" t="str" cm="1">
        <f t="array" ref="N2716">_xlfn.IFS(M2716&gt;=50,"50-60 Days", M2716&gt;=40,"40-50 Days", M2716&gt;=30, "30-40 Days", M2716&gt;=20, "20-30 Days", M2716&gt;=10, "10-20 Days", M2716&gt;=0, "0-10 Days")</f>
        <v>40-50 Days</v>
      </c>
    </row>
    <row r="2717" spans="1:14">
      <c r="A2717">
        <v>2716</v>
      </c>
      <c r="B2717" t="s">
        <v>28</v>
      </c>
      <c r="C2717" s="5">
        <v>45474</v>
      </c>
      <c r="D2717" s="8">
        <v>45474</v>
      </c>
      <c r="E2717" s="8">
        <f>IF(B2717="Inactive", EDATE(D2717,K2717), "")</f>
        <v>45839</v>
      </c>
      <c r="F2717" t="s">
        <v>10</v>
      </c>
      <c r="G2717">
        <v>1.6</v>
      </c>
      <c r="H2717" t="str" cm="1">
        <f t="array" ref="H2717">_xlfn.IFS(G2717&gt;=20,"20-25", G2717&gt;=15,"15-20", G2717&gt;=10,"10-15", G2717&gt;=5,"5-10", G2717&gt;=1,"1-5", G2717&lt;1,"Less than 1")</f>
        <v>1-5</v>
      </c>
      <c r="I2717">
        <v>0</v>
      </c>
      <c r="J2717">
        <v>2</v>
      </c>
      <c r="K2717" s="6">
        <v>12</v>
      </c>
      <c r="L2717" s="2">
        <v>6.99</v>
      </c>
      <c r="M2717" s="6">
        <v>58</v>
      </c>
      <c r="N2717" t="str" cm="1">
        <f t="array" ref="N2717">_xlfn.IFS(M2717&gt;=50,"50-60 Days", M2717&gt;=40,"40-50 Days", M2717&gt;=30, "30-40 Days", M2717&gt;=20, "20-30 Days", M2717&gt;=10, "10-20 Days", M2717&gt;=0, "0-10 Days")</f>
        <v>50-60 Days</v>
      </c>
    </row>
    <row r="2718" spans="1:14">
      <c r="A2718">
        <v>2717</v>
      </c>
      <c r="B2718" t="s">
        <v>28</v>
      </c>
      <c r="C2718" s="5">
        <v>45522</v>
      </c>
      <c r="D2718" s="8">
        <v>45522</v>
      </c>
      <c r="E2718" s="8">
        <f>IF(B2718="Inactive", EDATE(D2718,K2718), "")</f>
        <v>45675</v>
      </c>
      <c r="F2718" t="s">
        <v>10</v>
      </c>
      <c r="G2718">
        <v>2.1</v>
      </c>
      <c r="H2718" t="str" cm="1">
        <f t="array" ref="H2718">_xlfn.IFS(G2718&gt;=20,"20-25", G2718&gt;=15,"15-20", G2718&gt;=10,"10-15", G2718&gt;=5,"5-10", G2718&gt;=1,"1-5", G2718&lt;1,"Less than 1")</f>
        <v>1-5</v>
      </c>
      <c r="I2718">
        <v>6</v>
      </c>
      <c r="J2718">
        <v>4</v>
      </c>
      <c r="K2718" s="6">
        <v>5</v>
      </c>
      <c r="L2718" s="2">
        <v>6.99</v>
      </c>
      <c r="M2718" s="6">
        <v>60</v>
      </c>
      <c r="N2718" t="str" cm="1">
        <f t="array" ref="N2718">_xlfn.IFS(M2718&gt;=50,"50-60 Days", M2718&gt;=40,"40-50 Days", M2718&gt;=30, "30-40 Days", M2718&gt;=20, "20-30 Days", M2718&gt;=10, "10-20 Days", M2718&gt;=0, "0-10 Days")</f>
        <v>50-60 Days</v>
      </c>
    </row>
    <row r="2719" spans="1:14">
      <c r="A2719">
        <v>2718</v>
      </c>
      <c r="B2719" t="s">
        <v>28</v>
      </c>
      <c r="C2719" s="5">
        <v>44981</v>
      </c>
      <c r="D2719" s="8">
        <v>44981</v>
      </c>
      <c r="E2719" s="8">
        <f>IF(B2719="Inactive", EDATE(D2719,K2719), "")</f>
        <v>45101</v>
      </c>
      <c r="F2719" t="s">
        <v>14</v>
      </c>
      <c r="G2719">
        <v>20.2</v>
      </c>
      <c r="H2719" t="str" cm="1">
        <f t="array" ref="H2719">_xlfn.IFS(G2719&gt;=20,"20-25", G2719&gt;=15,"15-20", G2719&gt;=10,"10-15", G2719&gt;=5,"5-10", G2719&gt;=1,"1-5", G2719&lt;1,"Less than 1")</f>
        <v>20-25</v>
      </c>
      <c r="I2719">
        <v>4</v>
      </c>
      <c r="J2719">
        <v>2</v>
      </c>
      <c r="K2719" s="6">
        <v>4</v>
      </c>
      <c r="L2719" s="2">
        <v>3.99</v>
      </c>
      <c r="M2719" s="6">
        <v>56</v>
      </c>
      <c r="N2719" t="str" cm="1">
        <f t="array" ref="N2719">_xlfn.IFS(M2719&gt;=50,"50-60 Days", M2719&gt;=40,"40-50 Days", M2719&gt;=30, "30-40 Days", M2719&gt;=20, "20-30 Days", M2719&gt;=10, "10-20 Days", M2719&gt;=0, "0-10 Days")</f>
        <v>50-60 Days</v>
      </c>
    </row>
    <row r="2720" spans="1:14">
      <c r="A2720">
        <v>2719</v>
      </c>
      <c r="B2720" t="s">
        <v>29</v>
      </c>
      <c r="C2720" s="5">
        <v>45093</v>
      </c>
      <c r="D2720" s="8">
        <v>45093</v>
      </c>
      <c r="E2720" s="8" t="str">
        <f>IF(B2720="Inactive", EDATE(D2720,K2720), "")</f>
        <v/>
      </c>
      <c r="F2720" t="s">
        <v>10</v>
      </c>
      <c r="G2720">
        <v>24.9</v>
      </c>
      <c r="H2720" t="str" cm="1">
        <f t="array" ref="H2720">_xlfn.IFS(G2720&gt;=20,"20-25", G2720&gt;=15,"15-20", G2720&gt;=10,"10-15", G2720&gt;=5,"5-10", G2720&gt;=1,"1-5", G2720&lt;1,"Less than 1")</f>
        <v>20-25</v>
      </c>
      <c r="I2720">
        <v>2</v>
      </c>
      <c r="J2720">
        <v>1</v>
      </c>
      <c r="K2720" s="6">
        <v>3</v>
      </c>
      <c r="L2720" s="2">
        <v>6.99</v>
      </c>
      <c r="M2720" s="6">
        <v>46</v>
      </c>
      <c r="N2720" t="str" cm="1">
        <f t="array" ref="N2720">_xlfn.IFS(M2720&gt;=50,"50-60 Days", M2720&gt;=40,"40-50 Days", M2720&gt;=30, "30-40 Days", M2720&gt;=20, "20-30 Days", M2720&gt;=10, "10-20 Days", M2720&gt;=0, "0-10 Days")</f>
        <v>40-50 Days</v>
      </c>
    </row>
    <row r="2721" spans="1:14">
      <c r="A2721">
        <v>2720</v>
      </c>
      <c r="B2721" t="s">
        <v>28</v>
      </c>
      <c r="C2721" s="5">
        <v>45567</v>
      </c>
      <c r="D2721" s="8">
        <v>45567</v>
      </c>
      <c r="E2721" s="8">
        <f>IF(B2721="Inactive", EDATE(D2721,K2721), "")</f>
        <v>45628</v>
      </c>
      <c r="F2721" t="s">
        <v>12</v>
      </c>
      <c r="G2721">
        <v>4.9000000000000004</v>
      </c>
      <c r="H2721" t="str" cm="1">
        <f t="array" ref="H2721">_xlfn.IFS(G2721&gt;=20,"20-25", G2721&gt;=15,"15-20", G2721&gt;=10,"10-15", G2721&gt;=5,"5-10", G2721&gt;=1,"1-5", G2721&lt;1,"Less than 1")</f>
        <v>1-5</v>
      </c>
      <c r="I2721">
        <v>3</v>
      </c>
      <c r="J2721">
        <v>4</v>
      </c>
      <c r="K2721" s="6">
        <v>2</v>
      </c>
      <c r="L2721" s="2">
        <v>1.99</v>
      </c>
      <c r="M2721" s="6">
        <v>18</v>
      </c>
      <c r="N2721" t="str" cm="1">
        <f t="array" ref="N2721">_xlfn.IFS(M2721&gt;=50,"50-60 Days", M2721&gt;=40,"40-50 Days", M2721&gt;=30, "30-40 Days", M2721&gt;=20, "20-30 Days", M2721&gt;=10, "10-20 Days", M2721&gt;=0, "0-10 Days")</f>
        <v>10-20 Days</v>
      </c>
    </row>
    <row r="2722" spans="1:14">
      <c r="A2722">
        <v>2721</v>
      </c>
      <c r="B2722" t="s">
        <v>28</v>
      </c>
      <c r="C2722" s="5">
        <v>45212</v>
      </c>
      <c r="D2722" s="8">
        <v>45212</v>
      </c>
      <c r="E2722" s="8">
        <f>IF(B2722="Inactive", EDATE(D2722,K2722), "")</f>
        <v>45304</v>
      </c>
      <c r="F2722" t="s">
        <v>12</v>
      </c>
      <c r="G2722">
        <v>16.7</v>
      </c>
      <c r="H2722" t="str" cm="1">
        <f t="array" ref="H2722">_xlfn.IFS(G2722&gt;=20,"20-25", G2722&gt;=15,"15-20", G2722&gt;=10,"10-15", G2722&gt;=5,"5-10", G2722&gt;=1,"1-5", G2722&lt;1,"Less than 1")</f>
        <v>15-20</v>
      </c>
      <c r="I2722">
        <v>2</v>
      </c>
      <c r="J2722">
        <v>0</v>
      </c>
      <c r="K2722" s="6">
        <v>3</v>
      </c>
      <c r="L2722" s="2">
        <v>1.99</v>
      </c>
      <c r="M2722" s="6">
        <v>16</v>
      </c>
      <c r="N2722" t="str" cm="1">
        <f t="array" ref="N2722">_xlfn.IFS(M2722&gt;=50,"50-60 Days", M2722&gt;=40,"40-50 Days", M2722&gt;=30, "30-40 Days", M2722&gt;=20, "20-30 Days", M2722&gt;=10, "10-20 Days", M2722&gt;=0, "0-10 Days")</f>
        <v>10-20 Days</v>
      </c>
    </row>
    <row r="2723" spans="1:14">
      <c r="A2723">
        <v>2722</v>
      </c>
      <c r="B2723" t="s">
        <v>28</v>
      </c>
      <c r="C2723" s="5">
        <v>45039</v>
      </c>
      <c r="D2723" s="8">
        <v>45039</v>
      </c>
      <c r="E2723" s="8">
        <f>IF(B2723="Inactive", EDATE(D2723,K2723), "")</f>
        <v>45222</v>
      </c>
      <c r="F2723" t="s">
        <v>14</v>
      </c>
      <c r="G2723">
        <v>16.5</v>
      </c>
      <c r="H2723" t="str" cm="1">
        <f t="array" ref="H2723">_xlfn.IFS(G2723&gt;=20,"20-25", G2723&gt;=15,"15-20", G2723&gt;=10,"10-15", G2723&gt;=5,"5-10", G2723&gt;=1,"1-5", G2723&lt;1,"Less than 1")</f>
        <v>15-20</v>
      </c>
      <c r="I2723">
        <v>2</v>
      </c>
      <c r="J2723">
        <v>5</v>
      </c>
      <c r="K2723" s="6">
        <v>6</v>
      </c>
      <c r="L2723" s="2">
        <v>3.99</v>
      </c>
      <c r="M2723" s="6">
        <v>55</v>
      </c>
      <c r="N2723" t="str" cm="1">
        <f t="array" ref="N2723">_xlfn.IFS(M2723&gt;=50,"50-60 Days", M2723&gt;=40,"40-50 Days", M2723&gt;=30, "30-40 Days", M2723&gt;=20, "20-30 Days", M2723&gt;=10, "10-20 Days", M2723&gt;=0, "0-10 Days")</f>
        <v>50-60 Days</v>
      </c>
    </row>
    <row r="2724" spans="1:14">
      <c r="A2724">
        <v>2723</v>
      </c>
      <c r="B2724" t="s">
        <v>28</v>
      </c>
      <c r="C2724" s="5">
        <v>45644</v>
      </c>
      <c r="D2724" s="8">
        <v>45644</v>
      </c>
      <c r="E2724" s="8">
        <f>IF(B2724="Inactive", EDATE(D2724,K2724), "")</f>
        <v>45918</v>
      </c>
      <c r="F2724" t="s">
        <v>12</v>
      </c>
      <c r="G2724">
        <v>24.4</v>
      </c>
      <c r="H2724" t="str" cm="1">
        <f t="array" ref="H2724">_xlfn.IFS(G2724&gt;=20,"20-25", G2724&gt;=15,"15-20", G2724&gt;=10,"10-15", G2724&gt;=5,"5-10", G2724&gt;=1,"1-5", G2724&lt;1,"Less than 1")</f>
        <v>20-25</v>
      </c>
      <c r="I2724">
        <v>5</v>
      </c>
      <c r="J2724">
        <v>4</v>
      </c>
      <c r="K2724" s="6">
        <v>9</v>
      </c>
      <c r="L2724" s="2">
        <v>1.99</v>
      </c>
      <c r="M2724" s="6">
        <v>38</v>
      </c>
      <c r="N2724" t="str" cm="1">
        <f t="array" ref="N2724">_xlfn.IFS(M2724&gt;=50,"50-60 Days", M2724&gt;=40,"40-50 Days", M2724&gt;=30, "30-40 Days", M2724&gt;=20, "20-30 Days", M2724&gt;=10, "10-20 Days", M2724&gt;=0, "0-10 Days")</f>
        <v>30-40 Days</v>
      </c>
    </row>
    <row r="2725" spans="1:14">
      <c r="A2725">
        <v>2724</v>
      </c>
      <c r="B2725" t="s">
        <v>29</v>
      </c>
      <c r="C2725" s="5">
        <v>44978</v>
      </c>
      <c r="D2725" s="8">
        <v>44978</v>
      </c>
      <c r="E2725" s="8" t="str">
        <f>IF(B2725="Inactive", EDATE(D2725,K2725), "")</f>
        <v/>
      </c>
      <c r="F2725" t="s">
        <v>12</v>
      </c>
      <c r="G2725">
        <v>18.5</v>
      </c>
      <c r="H2725" t="str" cm="1">
        <f t="array" ref="H2725">_xlfn.IFS(G2725&gt;=20,"20-25", G2725&gt;=15,"15-20", G2725&gt;=10,"10-15", G2725&gt;=5,"5-10", G2725&gt;=1,"1-5", G2725&lt;1,"Less than 1")</f>
        <v>15-20</v>
      </c>
      <c r="I2725">
        <v>0</v>
      </c>
      <c r="J2725">
        <v>1</v>
      </c>
      <c r="K2725" s="6">
        <v>3</v>
      </c>
      <c r="L2725" s="2">
        <v>1.99</v>
      </c>
      <c r="M2725" s="6">
        <v>2</v>
      </c>
      <c r="N2725" t="str" cm="1">
        <f t="array" ref="N2725">_xlfn.IFS(M2725&gt;=50,"50-60 Days", M2725&gt;=40,"40-50 Days", M2725&gt;=30, "30-40 Days", M2725&gt;=20, "20-30 Days", M2725&gt;=10, "10-20 Days", M2725&gt;=0, "0-10 Days")</f>
        <v>0-10 Days</v>
      </c>
    </row>
    <row r="2726" spans="1:14">
      <c r="A2726">
        <v>2725</v>
      </c>
      <c r="B2726" t="s">
        <v>29</v>
      </c>
      <c r="C2726" s="5">
        <v>45294</v>
      </c>
      <c r="D2726" s="8">
        <v>45294</v>
      </c>
      <c r="E2726" s="8" t="str">
        <f>IF(B2726="Inactive", EDATE(D2726,K2726), "")</f>
        <v/>
      </c>
      <c r="F2726" t="s">
        <v>14</v>
      </c>
      <c r="G2726">
        <v>5.9</v>
      </c>
      <c r="H2726" t="str" cm="1">
        <f t="array" ref="H2726">_xlfn.IFS(G2726&gt;=20,"20-25", G2726&gt;=15,"15-20", G2726&gt;=10,"10-15", G2726&gt;=5,"5-10", G2726&gt;=1,"1-5", G2726&lt;1,"Less than 1")</f>
        <v>5-10</v>
      </c>
      <c r="I2726">
        <v>2</v>
      </c>
      <c r="J2726">
        <v>1</v>
      </c>
      <c r="K2726" s="6">
        <v>4</v>
      </c>
      <c r="L2726" s="2">
        <v>3.99</v>
      </c>
      <c r="M2726" s="6">
        <v>45</v>
      </c>
      <c r="N2726" t="str" cm="1">
        <f t="array" ref="N2726">_xlfn.IFS(M2726&gt;=50,"50-60 Days", M2726&gt;=40,"40-50 Days", M2726&gt;=30, "30-40 Days", M2726&gt;=20, "20-30 Days", M2726&gt;=10, "10-20 Days", M2726&gt;=0, "0-10 Days")</f>
        <v>40-50 Days</v>
      </c>
    </row>
    <row r="2727" spans="1:14">
      <c r="A2727">
        <v>2726</v>
      </c>
      <c r="B2727" t="s">
        <v>29</v>
      </c>
      <c r="C2727" s="5">
        <v>45060</v>
      </c>
      <c r="D2727" s="8">
        <v>45060</v>
      </c>
      <c r="E2727" s="8" t="str">
        <f>IF(B2727="Inactive", EDATE(D2727,K2727), "")</f>
        <v/>
      </c>
      <c r="F2727" t="s">
        <v>12</v>
      </c>
      <c r="G2727">
        <v>6.5</v>
      </c>
      <c r="H2727" t="str" cm="1">
        <f t="array" ref="H2727">_xlfn.IFS(G2727&gt;=20,"20-25", G2727&gt;=15,"15-20", G2727&gt;=10,"10-15", G2727&gt;=5,"5-10", G2727&gt;=1,"1-5", G2727&lt;1,"Less than 1")</f>
        <v>5-10</v>
      </c>
      <c r="I2727">
        <v>3</v>
      </c>
      <c r="J2727">
        <v>0</v>
      </c>
      <c r="K2727" s="6">
        <v>3</v>
      </c>
      <c r="L2727" s="2">
        <v>1.99</v>
      </c>
      <c r="M2727" s="6">
        <v>57</v>
      </c>
      <c r="N2727" t="str" cm="1">
        <f t="array" ref="N2727">_xlfn.IFS(M2727&gt;=50,"50-60 Days", M2727&gt;=40,"40-50 Days", M2727&gt;=30, "30-40 Days", M2727&gt;=20, "20-30 Days", M2727&gt;=10, "10-20 Days", M2727&gt;=0, "0-10 Days")</f>
        <v>50-60 Days</v>
      </c>
    </row>
    <row r="2728" spans="1:14">
      <c r="A2728">
        <v>2727</v>
      </c>
      <c r="B2728" t="s">
        <v>29</v>
      </c>
      <c r="C2728" s="5">
        <v>44929</v>
      </c>
      <c r="D2728" s="8">
        <v>44929</v>
      </c>
      <c r="E2728" s="8" t="str">
        <f>IF(B2728="Inactive", EDATE(D2728,K2728), "")</f>
        <v/>
      </c>
      <c r="F2728" t="s">
        <v>10</v>
      </c>
      <c r="G2728">
        <v>10.7</v>
      </c>
      <c r="H2728" t="str" cm="1">
        <f t="array" ref="H2728">_xlfn.IFS(G2728&gt;=20,"20-25", G2728&gt;=15,"15-20", G2728&gt;=10,"10-15", G2728&gt;=5,"5-10", G2728&gt;=1,"1-5", G2728&lt;1,"Less than 1")</f>
        <v>10-15</v>
      </c>
      <c r="I2728">
        <v>0</v>
      </c>
      <c r="J2728">
        <v>3</v>
      </c>
      <c r="K2728" s="6">
        <v>2</v>
      </c>
      <c r="L2728" s="2">
        <v>6.99</v>
      </c>
      <c r="M2728" s="6">
        <v>16</v>
      </c>
      <c r="N2728" t="str" cm="1">
        <f t="array" ref="N2728">_xlfn.IFS(M2728&gt;=50,"50-60 Days", M2728&gt;=40,"40-50 Days", M2728&gt;=30, "30-40 Days", M2728&gt;=20, "20-30 Days", M2728&gt;=10, "10-20 Days", M2728&gt;=0, "0-10 Days")</f>
        <v>10-20 Days</v>
      </c>
    </row>
    <row r="2729" spans="1:14">
      <c r="A2729">
        <v>2728</v>
      </c>
      <c r="B2729" t="s">
        <v>28</v>
      </c>
      <c r="C2729" s="5">
        <v>45334</v>
      </c>
      <c r="D2729" s="8">
        <v>45334</v>
      </c>
      <c r="E2729" s="8">
        <f>IF(B2729="Inactive", EDATE(D2729,K2729), "")</f>
        <v>45394</v>
      </c>
      <c r="F2729" t="s">
        <v>10</v>
      </c>
      <c r="G2729">
        <v>8.9</v>
      </c>
      <c r="H2729" t="str" cm="1">
        <f t="array" ref="H2729">_xlfn.IFS(G2729&gt;=20,"20-25", G2729&gt;=15,"15-20", G2729&gt;=10,"10-15", G2729&gt;=5,"5-10", G2729&gt;=1,"1-5", G2729&lt;1,"Less than 1")</f>
        <v>5-10</v>
      </c>
      <c r="I2729">
        <v>3</v>
      </c>
      <c r="J2729">
        <v>3</v>
      </c>
      <c r="K2729" s="6">
        <v>2</v>
      </c>
      <c r="L2729" s="2">
        <v>6.99</v>
      </c>
      <c r="M2729" s="6">
        <v>29</v>
      </c>
      <c r="N2729" t="str" cm="1">
        <f t="array" ref="N2729">_xlfn.IFS(M2729&gt;=50,"50-60 Days", M2729&gt;=40,"40-50 Days", M2729&gt;=30, "30-40 Days", M2729&gt;=20, "20-30 Days", M2729&gt;=10, "10-20 Days", M2729&gt;=0, "0-10 Days")</f>
        <v>20-30 Days</v>
      </c>
    </row>
    <row r="2730" spans="1:14">
      <c r="A2730">
        <v>2729</v>
      </c>
      <c r="B2730" t="s">
        <v>28</v>
      </c>
      <c r="C2730" s="5">
        <v>44950</v>
      </c>
      <c r="D2730" s="8">
        <v>44950</v>
      </c>
      <c r="E2730" s="8">
        <f>IF(B2730="Inactive", EDATE(D2730,K2730), "")</f>
        <v>45040</v>
      </c>
      <c r="F2730" t="s">
        <v>10</v>
      </c>
      <c r="G2730">
        <v>15.5</v>
      </c>
      <c r="H2730" t="str" cm="1">
        <f t="array" ref="H2730">_xlfn.IFS(G2730&gt;=20,"20-25", G2730&gt;=15,"15-20", G2730&gt;=10,"10-15", G2730&gt;=5,"5-10", G2730&gt;=1,"1-5", G2730&lt;1,"Less than 1")</f>
        <v>15-20</v>
      </c>
      <c r="I2730">
        <v>3</v>
      </c>
      <c r="J2730">
        <v>1</v>
      </c>
      <c r="K2730" s="6">
        <v>3</v>
      </c>
      <c r="L2730" s="2">
        <v>6.99</v>
      </c>
      <c r="M2730" s="6">
        <v>49</v>
      </c>
      <c r="N2730" t="str" cm="1">
        <f t="array" ref="N2730">_xlfn.IFS(M2730&gt;=50,"50-60 Days", M2730&gt;=40,"40-50 Days", M2730&gt;=30, "30-40 Days", M2730&gt;=20, "20-30 Days", M2730&gt;=10, "10-20 Days", M2730&gt;=0, "0-10 Days")</f>
        <v>40-50 Days</v>
      </c>
    </row>
    <row r="2731" spans="1:14">
      <c r="A2731">
        <v>2730</v>
      </c>
      <c r="B2731" t="s">
        <v>29</v>
      </c>
      <c r="C2731" s="5">
        <v>45629</v>
      </c>
      <c r="D2731" s="8">
        <v>45629</v>
      </c>
      <c r="E2731" s="8" t="str">
        <f>IF(B2731="Inactive", EDATE(D2731,K2731), "")</f>
        <v/>
      </c>
      <c r="F2731" t="s">
        <v>10</v>
      </c>
      <c r="G2731">
        <v>24.8</v>
      </c>
      <c r="H2731" t="str" cm="1">
        <f t="array" ref="H2731">_xlfn.IFS(G2731&gt;=20,"20-25", G2731&gt;=15,"15-20", G2731&gt;=10,"10-15", G2731&gt;=5,"5-10", G2731&gt;=1,"1-5", G2731&lt;1,"Less than 1")</f>
        <v>20-25</v>
      </c>
      <c r="I2731">
        <v>1</v>
      </c>
      <c r="J2731">
        <v>3</v>
      </c>
      <c r="K2731" s="6">
        <v>4</v>
      </c>
      <c r="L2731" s="2">
        <v>6.99</v>
      </c>
      <c r="M2731" s="6">
        <v>43</v>
      </c>
      <c r="N2731" t="str" cm="1">
        <f t="array" ref="N2731">_xlfn.IFS(M2731&gt;=50,"50-60 Days", M2731&gt;=40,"40-50 Days", M2731&gt;=30, "30-40 Days", M2731&gt;=20, "20-30 Days", M2731&gt;=10, "10-20 Days", M2731&gt;=0, "0-10 Days")</f>
        <v>40-50 Days</v>
      </c>
    </row>
    <row r="2732" spans="1:14">
      <c r="A2732">
        <v>2731</v>
      </c>
      <c r="B2732" t="s">
        <v>29</v>
      </c>
      <c r="C2732" s="5">
        <v>45089</v>
      </c>
      <c r="D2732" s="8">
        <v>45089</v>
      </c>
      <c r="E2732" s="8" t="str">
        <f>IF(B2732="Inactive", EDATE(D2732,K2732), "")</f>
        <v/>
      </c>
      <c r="F2732" t="s">
        <v>10</v>
      </c>
      <c r="G2732">
        <v>12</v>
      </c>
      <c r="H2732" t="str" cm="1">
        <f t="array" ref="H2732">_xlfn.IFS(G2732&gt;=20,"20-25", G2732&gt;=15,"15-20", G2732&gt;=10,"10-15", G2732&gt;=5,"5-10", G2732&gt;=1,"1-5", G2732&lt;1,"Less than 1")</f>
        <v>10-15</v>
      </c>
      <c r="I2732">
        <v>6</v>
      </c>
      <c r="J2732">
        <v>4</v>
      </c>
      <c r="K2732" s="6">
        <v>2</v>
      </c>
      <c r="L2732" s="2">
        <v>6.99</v>
      </c>
      <c r="M2732" s="6">
        <v>2</v>
      </c>
      <c r="N2732" t="str" cm="1">
        <f t="array" ref="N2732">_xlfn.IFS(M2732&gt;=50,"50-60 Days", M2732&gt;=40,"40-50 Days", M2732&gt;=30, "30-40 Days", M2732&gt;=20, "20-30 Days", M2732&gt;=10, "10-20 Days", M2732&gt;=0, "0-10 Days")</f>
        <v>0-10 Days</v>
      </c>
    </row>
    <row r="2733" spans="1:14">
      <c r="A2733">
        <v>2732</v>
      </c>
      <c r="B2733" t="s">
        <v>29</v>
      </c>
      <c r="C2733" s="5">
        <v>45481</v>
      </c>
      <c r="D2733" s="8">
        <v>45481</v>
      </c>
      <c r="E2733" s="8" t="str">
        <f>IF(B2733="Inactive", EDATE(D2733,K2733), "")</f>
        <v/>
      </c>
      <c r="F2733" t="s">
        <v>10</v>
      </c>
      <c r="G2733">
        <v>5.8</v>
      </c>
      <c r="H2733" t="str" cm="1">
        <f t="array" ref="H2733">_xlfn.IFS(G2733&gt;=20,"20-25", G2733&gt;=15,"15-20", G2733&gt;=10,"10-15", G2733&gt;=5,"5-10", G2733&gt;=1,"1-5", G2733&lt;1,"Less than 1")</f>
        <v>5-10</v>
      </c>
      <c r="I2733">
        <v>0</v>
      </c>
      <c r="J2733">
        <v>2</v>
      </c>
      <c r="K2733" s="6">
        <v>12</v>
      </c>
      <c r="L2733" s="2">
        <v>6.99</v>
      </c>
      <c r="M2733" s="6">
        <v>15</v>
      </c>
      <c r="N2733" t="str" cm="1">
        <f t="array" ref="N2733">_xlfn.IFS(M2733&gt;=50,"50-60 Days", M2733&gt;=40,"40-50 Days", M2733&gt;=30, "30-40 Days", M2733&gt;=20, "20-30 Days", M2733&gt;=10, "10-20 Days", M2733&gt;=0, "0-10 Days")</f>
        <v>10-20 Days</v>
      </c>
    </row>
    <row r="2734" spans="1:14">
      <c r="A2734">
        <v>2733</v>
      </c>
      <c r="B2734" t="s">
        <v>29</v>
      </c>
      <c r="C2734" s="5">
        <v>45134</v>
      </c>
      <c r="D2734" s="8">
        <v>45134</v>
      </c>
      <c r="E2734" s="8" t="str">
        <f>IF(B2734="Inactive", EDATE(D2734,K2734), "")</f>
        <v/>
      </c>
      <c r="F2734" t="s">
        <v>14</v>
      </c>
      <c r="G2734">
        <v>15.7</v>
      </c>
      <c r="H2734" t="str" cm="1">
        <f t="array" ref="H2734">_xlfn.IFS(G2734&gt;=20,"20-25", G2734&gt;=15,"15-20", G2734&gt;=10,"10-15", G2734&gt;=5,"5-10", G2734&gt;=1,"1-5", G2734&lt;1,"Less than 1")</f>
        <v>15-20</v>
      </c>
      <c r="I2734">
        <v>6</v>
      </c>
      <c r="J2734">
        <v>1</v>
      </c>
      <c r="K2734" s="6">
        <v>2</v>
      </c>
      <c r="L2734" s="2">
        <v>3.99</v>
      </c>
      <c r="M2734" s="6">
        <v>9</v>
      </c>
      <c r="N2734" t="str" cm="1">
        <f t="array" ref="N2734">_xlfn.IFS(M2734&gt;=50,"50-60 Days", M2734&gt;=40,"40-50 Days", M2734&gt;=30, "30-40 Days", M2734&gt;=20, "20-30 Days", M2734&gt;=10, "10-20 Days", M2734&gt;=0, "0-10 Days")</f>
        <v>0-10 Days</v>
      </c>
    </row>
    <row r="2735" spans="1:14">
      <c r="A2735">
        <v>2734</v>
      </c>
      <c r="B2735" t="s">
        <v>28</v>
      </c>
      <c r="C2735" s="5">
        <v>45304</v>
      </c>
      <c r="D2735" s="8">
        <v>45304</v>
      </c>
      <c r="E2735" s="8">
        <f>IF(B2735="Inactive", EDATE(D2735,K2735), "")</f>
        <v>45578</v>
      </c>
      <c r="F2735" t="s">
        <v>12</v>
      </c>
      <c r="G2735">
        <v>12.4</v>
      </c>
      <c r="H2735" t="str" cm="1">
        <f t="array" ref="H2735">_xlfn.IFS(G2735&gt;=20,"20-25", G2735&gt;=15,"15-20", G2735&gt;=10,"10-15", G2735&gt;=5,"5-10", G2735&gt;=1,"1-5", G2735&lt;1,"Less than 1")</f>
        <v>10-15</v>
      </c>
      <c r="I2735">
        <v>8</v>
      </c>
      <c r="J2735">
        <v>0</v>
      </c>
      <c r="K2735" s="6">
        <v>9</v>
      </c>
      <c r="L2735" s="2">
        <v>1.99</v>
      </c>
      <c r="M2735" s="6">
        <v>23</v>
      </c>
      <c r="N2735" t="str" cm="1">
        <f t="array" ref="N2735">_xlfn.IFS(M2735&gt;=50,"50-60 Days", M2735&gt;=40,"40-50 Days", M2735&gt;=30, "30-40 Days", M2735&gt;=20, "20-30 Days", M2735&gt;=10, "10-20 Days", M2735&gt;=0, "0-10 Days")</f>
        <v>20-30 Days</v>
      </c>
    </row>
    <row r="2736" spans="1:14">
      <c r="A2736">
        <v>2735</v>
      </c>
      <c r="B2736" t="s">
        <v>29</v>
      </c>
      <c r="C2736" s="5">
        <v>45083</v>
      </c>
      <c r="D2736" s="8">
        <v>45083</v>
      </c>
      <c r="E2736" s="8" t="str">
        <f>IF(B2736="Inactive", EDATE(D2736,K2736), "")</f>
        <v/>
      </c>
      <c r="F2736" t="s">
        <v>14</v>
      </c>
      <c r="G2736">
        <v>11.8</v>
      </c>
      <c r="H2736" t="str" cm="1">
        <f t="array" ref="H2736">_xlfn.IFS(G2736&gt;=20,"20-25", G2736&gt;=15,"15-20", G2736&gt;=10,"10-15", G2736&gt;=5,"5-10", G2736&gt;=1,"1-5", G2736&lt;1,"Less than 1")</f>
        <v>10-15</v>
      </c>
      <c r="I2736">
        <v>0</v>
      </c>
      <c r="J2736">
        <v>3</v>
      </c>
      <c r="K2736" s="6">
        <v>9</v>
      </c>
      <c r="L2736" s="2">
        <v>3.99</v>
      </c>
      <c r="M2736" s="6">
        <v>14</v>
      </c>
      <c r="N2736" t="str" cm="1">
        <f t="array" ref="N2736">_xlfn.IFS(M2736&gt;=50,"50-60 Days", M2736&gt;=40,"40-50 Days", M2736&gt;=30, "30-40 Days", M2736&gt;=20, "20-30 Days", M2736&gt;=10, "10-20 Days", M2736&gt;=0, "0-10 Days")</f>
        <v>10-20 Days</v>
      </c>
    </row>
    <row r="2737" spans="1:14">
      <c r="A2737">
        <v>2736</v>
      </c>
      <c r="B2737" t="s">
        <v>28</v>
      </c>
      <c r="C2737" s="5">
        <v>45220</v>
      </c>
      <c r="D2737" s="8">
        <v>45220</v>
      </c>
      <c r="E2737" s="8">
        <f>IF(B2737="Inactive", EDATE(D2737,K2737), "")</f>
        <v>45556</v>
      </c>
      <c r="F2737" t="s">
        <v>12</v>
      </c>
      <c r="G2737">
        <v>20.2</v>
      </c>
      <c r="H2737" t="str" cm="1">
        <f t="array" ref="H2737">_xlfn.IFS(G2737&gt;=20,"20-25", G2737&gt;=15,"15-20", G2737&gt;=10,"10-15", G2737&gt;=5,"5-10", G2737&gt;=1,"1-5", G2737&lt;1,"Less than 1")</f>
        <v>20-25</v>
      </c>
      <c r="I2737">
        <v>5</v>
      </c>
      <c r="J2737">
        <v>2</v>
      </c>
      <c r="K2737" s="6">
        <v>11</v>
      </c>
      <c r="L2737" s="2">
        <v>1.99</v>
      </c>
      <c r="M2737" s="6">
        <v>3</v>
      </c>
      <c r="N2737" t="str" cm="1">
        <f t="array" ref="N2737">_xlfn.IFS(M2737&gt;=50,"50-60 Days", M2737&gt;=40,"40-50 Days", M2737&gt;=30, "30-40 Days", M2737&gt;=20, "20-30 Days", M2737&gt;=10, "10-20 Days", M2737&gt;=0, "0-10 Days")</f>
        <v>0-10 Days</v>
      </c>
    </row>
    <row r="2738" spans="1:14">
      <c r="A2738">
        <v>2737</v>
      </c>
      <c r="B2738" t="s">
        <v>29</v>
      </c>
      <c r="C2738" s="5">
        <v>45628</v>
      </c>
      <c r="D2738" s="8">
        <v>45628</v>
      </c>
      <c r="E2738" s="8" t="str">
        <f>IF(B2738="Inactive", EDATE(D2738,K2738), "")</f>
        <v/>
      </c>
      <c r="F2738" t="s">
        <v>14</v>
      </c>
      <c r="G2738">
        <v>16.600000000000001</v>
      </c>
      <c r="H2738" t="str" cm="1">
        <f t="array" ref="H2738">_xlfn.IFS(G2738&gt;=20,"20-25", G2738&gt;=15,"15-20", G2738&gt;=10,"10-15", G2738&gt;=5,"5-10", G2738&gt;=1,"1-5", G2738&lt;1,"Less than 1")</f>
        <v>15-20</v>
      </c>
      <c r="I2738">
        <v>7</v>
      </c>
      <c r="J2738">
        <v>3</v>
      </c>
      <c r="K2738" s="6">
        <v>7</v>
      </c>
      <c r="L2738" s="2">
        <v>3.99</v>
      </c>
      <c r="M2738" s="6">
        <v>25</v>
      </c>
      <c r="N2738" t="str" cm="1">
        <f t="array" ref="N2738">_xlfn.IFS(M2738&gt;=50,"50-60 Days", M2738&gt;=40,"40-50 Days", M2738&gt;=30, "30-40 Days", M2738&gt;=20, "20-30 Days", M2738&gt;=10, "10-20 Days", M2738&gt;=0, "0-10 Days")</f>
        <v>20-30 Days</v>
      </c>
    </row>
    <row r="2739" spans="1:14">
      <c r="A2739">
        <v>2738</v>
      </c>
      <c r="B2739" t="s">
        <v>28</v>
      </c>
      <c r="C2739" s="5">
        <v>45546</v>
      </c>
      <c r="D2739" s="8">
        <v>45546</v>
      </c>
      <c r="E2739" s="8">
        <f>IF(B2739="Inactive", EDATE(D2739,K2739), "")</f>
        <v>45699</v>
      </c>
      <c r="F2739" t="s">
        <v>14</v>
      </c>
      <c r="G2739">
        <v>18.100000000000001</v>
      </c>
      <c r="H2739" t="str" cm="1">
        <f t="array" ref="H2739">_xlfn.IFS(G2739&gt;=20,"20-25", G2739&gt;=15,"15-20", G2739&gt;=10,"10-15", G2739&gt;=5,"5-10", G2739&gt;=1,"1-5", G2739&lt;1,"Less than 1")</f>
        <v>15-20</v>
      </c>
      <c r="I2739">
        <v>6</v>
      </c>
      <c r="J2739">
        <v>2</v>
      </c>
      <c r="K2739" s="6">
        <v>5</v>
      </c>
      <c r="L2739" s="2">
        <v>3.99</v>
      </c>
      <c r="M2739" s="6">
        <v>0</v>
      </c>
      <c r="N2739" t="str" cm="1">
        <f t="array" ref="N2739">_xlfn.IFS(M2739&gt;=50,"50-60 Days", M2739&gt;=40,"40-50 Days", M2739&gt;=30, "30-40 Days", M2739&gt;=20, "20-30 Days", M2739&gt;=10, "10-20 Days", M2739&gt;=0, "0-10 Days")</f>
        <v>0-10 Days</v>
      </c>
    </row>
    <row r="2740" spans="1:14">
      <c r="A2740">
        <v>2739</v>
      </c>
      <c r="B2740" t="s">
        <v>28</v>
      </c>
      <c r="C2740" s="5">
        <v>45047</v>
      </c>
      <c r="D2740" s="8">
        <v>45047</v>
      </c>
      <c r="E2740" s="8">
        <f>IF(B2740="Inactive", EDATE(D2740,K2740), "")</f>
        <v>45170</v>
      </c>
      <c r="F2740" t="s">
        <v>14</v>
      </c>
      <c r="G2740">
        <v>11.6</v>
      </c>
      <c r="H2740" t="str" cm="1">
        <f t="array" ref="H2740">_xlfn.IFS(G2740&gt;=20,"20-25", G2740&gt;=15,"15-20", G2740&gt;=10,"10-15", G2740&gt;=5,"5-10", G2740&gt;=1,"1-5", G2740&lt;1,"Less than 1")</f>
        <v>10-15</v>
      </c>
      <c r="I2740">
        <v>2</v>
      </c>
      <c r="J2740">
        <v>1</v>
      </c>
      <c r="K2740" s="6">
        <v>4</v>
      </c>
      <c r="L2740" s="2">
        <v>3.99</v>
      </c>
      <c r="M2740" s="6">
        <v>24</v>
      </c>
      <c r="N2740" t="str" cm="1">
        <f t="array" ref="N2740">_xlfn.IFS(M2740&gt;=50,"50-60 Days", M2740&gt;=40,"40-50 Days", M2740&gt;=30, "30-40 Days", M2740&gt;=20, "20-30 Days", M2740&gt;=10, "10-20 Days", M2740&gt;=0, "0-10 Days")</f>
        <v>20-30 Days</v>
      </c>
    </row>
    <row r="2741" spans="1:14">
      <c r="A2741">
        <v>2740</v>
      </c>
      <c r="B2741" t="s">
        <v>28</v>
      </c>
      <c r="C2741" s="5">
        <v>45067</v>
      </c>
      <c r="D2741" s="8">
        <v>45067</v>
      </c>
      <c r="E2741" s="8">
        <f>IF(B2741="Inactive", EDATE(D2741,K2741), "")</f>
        <v>45281</v>
      </c>
      <c r="F2741" t="s">
        <v>12</v>
      </c>
      <c r="G2741">
        <v>24.2</v>
      </c>
      <c r="H2741" t="str" cm="1">
        <f t="array" ref="H2741">_xlfn.IFS(G2741&gt;=20,"20-25", G2741&gt;=15,"15-20", G2741&gt;=10,"10-15", G2741&gt;=5,"5-10", G2741&gt;=1,"1-5", G2741&lt;1,"Less than 1")</f>
        <v>20-25</v>
      </c>
      <c r="I2741">
        <v>4</v>
      </c>
      <c r="J2741">
        <v>1</v>
      </c>
      <c r="K2741" s="6">
        <v>7</v>
      </c>
      <c r="L2741" s="2">
        <v>1.99</v>
      </c>
      <c r="M2741" s="6">
        <v>50</v>
      </c>
      <c r="N2741" t="str" cm="1">
        <f t="array" ref="N2741">_xlfn.IFS(M2741&gt;=50,"50-60 Days", M2741&gt;=40,"40-50 Days", M2741&gt;=30, "30-40 Days", M2741&gt;=20, "20-30 Days", M2741&gt;=10, "10-20 Days", M2741&gt;=0, "0-10 Days")</f>
        <v>50-60 Days</v>
      </c>
    </row>
    <row r="2742" spans="1:14">
      <c r="A2742">
        <v>2741</v>
      </c>
      <c r="B2742" t="s">
        <v>28</v>
      </c>
      <c r="C2742" s="5">
        <v>45081</v>
      </c>
      <c r="D2742" s="8">
        <v>45081</v>
      </c>
      <c r="E2742" s="8">
        <f>IF(B2742="Inactive", EDATE(D2742,K2742), "")</f>
        <v>45326</v>
      </c>
      <c r="F2742" t="s">
        <v>10</v>
      </c>
      <c r="G2742">
        <v>23.6</v>
      </c>
      <c r="H2742" t="str" cm="1">
        <f t="array" ref="H2742">_xlfn.IFS(G2742&gt;=20,"20-25", G2742&gt;=15,"15-20", G2742&gt;=10,"10-15", G2742&gt;=5,"5-10", G2742&gt;=1,"1-5", G2742&lt;1,"Less than 1")</f>
        <v>20-25</v>
      </c>
      <c r="I2742">
        <v>8</v>
      </c>
      <c r="J2742">
        <v>5</v>
      </c>
      <c r="K2742" s="6">
        <v>8</v>
      </c>
      <c r="L2742" s="2">
        <v>6.99</v>
      </c>
      <c r="M2742" s="6">
        <v>20</v>
      </c>
      <c r="N2742" t="str" cm="1">
        <f t="array" ref="N2742">_xlfn.IFS(M2742&gt;=50,"50-60 Days", M2742&gt;=40,"40-50 Days", M2742&gt;=30, "30-40 Days", M2742&gt;=20, "20-30 Days", M2742&gt;=10, "10-20 Days", M2742&gt;=0, "0-10 Days")</f>
        <v>20-30 Days</v>
      </c>
    </row>
    <row r="2743" spans="1:14">
      <c r="A2743">
        <v>2742</v>
      </c>
      <c r="B2743" t="s">
        <v>28</v>
      </c>
      <c r="C2743" s="5">
        <v>45535</v>
      </c>
      <c r="D2743" s="8">
        <v>45535</v>
      </c>
      <c r="E2743" s="8">
        <f>IF(B2743="Inactive", EDATE(D2743,K2743), "")</f>
        <v>45869</v>
      </c>
      <c r="F2743" t="s">
        <v>12</v>
      </c>
      <c r="G2743">
        <v>21.3</v>
      </c>
      <c r="H2743" t="str" cm="1">
        <f t="array" ref="H2743">_xlfn.IFS(G2743&gt;=20,"20-25", G2743&gt;=15,"15-20", G2743&gt;=10,"10-15", G2743&gt;=5,"5-10", G2743&gt;=1,"1-5", G2743&lt;1,"Less than 1")</f>
        <v>20-25</v>
      </c>
      <c r="I2743">
        <v>0</v>
      </c>
      <c r="J2743">
        <v>4</v>
      </c>
      <c r="K2743" s="6">
        <v>11</v>
      </c>
      <c r="L2743" s="2">
        <v>1.99</v>
      </c>
      <c r="M2743" s="6">
        <v>47</v>
      </c>
      <c r="N2743" t="str" cm="1">
        <f t="array" ref="N2743">_xlfn.IFS(M2743&gt;=50,"50-60 Days", M2743&gt;=40,"40-50 Days", M2743&gt;=30, "30-40 Days", M2743&gt;=20, "20-30 Days", M2743&gt;=10, "10-20 Days", M2743&gt;=0, "0-10 Days")</f>
        <v>40-50 Days</v>
      </c>
    </row>
    <row r="2744" spans="1:14">
      <c r="A2744">
        <v>2743</v>
      </c>
      <c r="B2744" t="s">
        <v>28</v>
      </c>
      <c r="C2744" s="5">
        <v>45245</v>
      </c>
      <c r="D2744" s="8">
        <v>45245</v>
      </c>
      <c r="E2744" s="8">
        <f>IF(B2744="Inactive", EDATE(D2744,K2744), "")</f>
        <v>45337</v>
      </c>
      <c r="F2744" t="s">
        <v>10</v>
      </c>
      <c r="G2744">
        <v>18.600000000000001</v>
      </c>
      <c r="H2744" t="str" cm="1">
        <f t="array" ref="H2744">_xlfn.IFS(G2744&gt;=20,"20-25", G2744&gt;=15,"15-20", G2744&gt;=10,"10-15", G2744&gt;=5,"5-10", G2744&gt;=1,"1-5", G2744&lt;1,"Less than 1")</f>
        <v>15-20</v>
      </c>
      <c r="I2744">
        <v>6</v>
      </c>
      <c r="J2744">
        <v>1</v>
      </c>
      <c r="K2744" s="6">
        <v>3</v>
      </c>
      <c r="L2744" s="2">
        <v>6.99</v>
      </c>
      <c r="M2744" s="6">
        <v>40</v>
      </c>
      <c r="N2744" t="str" cm="1">
        <f t="array" ref="N2744">_xlfn.IFS(M2744&gt;=50,"50-60 Days", M2744&gt;=40,"40-50 Days", M2744&gt;=30, "30-40 Days", M2744&gt;=20, "20-30 Days", M2744&gt;=10, "10-20 Days", M2744&gt;=0, "0-10 Days")</f>
        <v>40-50 Days</v>
      </c>
    </row>
    <row r="2745" spans="1:14">
      <c r="A2745">
        <v>2744</v>
      </c>
      <c r="B2745" t="s">
        <v>28</v>
      </c>
      <c r="C2745" s="5">
        <v>45273</v>
      </c>
      <c r="D2745" s="8">
        <v>45273</v>
      </c>
      <c r="E2745" s="8">
        <f>IF(B2745="Inactive", EDATE(D2745,K2745), "")</f>
        <v>45335</v>
      </c>
      <c r="F2745" t="s">
        <v>10</v>
      </c>
      <c r="G2745">
        <v>16.600000000000001</v>
      </c>
      <c r="H2745" t="str" cm="1">
        <f t="array" ref="H2745">_xlfn.IFS(G2745&gt;=20,"20-25", G2745&gt;=15,"15-20", G2745&gt;=10,"10-15", G2745&gt;=5,"5-10", G2745&gt;=1,"1-5", G2745&lt;1,"Less than 1")</f>
        <v>15-20</v>
      </c>
      <c r="I2745">
        <v>6</v>
      </c>
      <c r="J2745">
        <v>2</v>
      </c>
      <c r="K2745" s="6">
        <v>2</v>
      </c>
      <c r="L2745" s="2">
        <v>6.99</v>
      </c>
      <c r="M2745" s="6">
        <v>14</v>
      </c>
      <c r="N2745" t="str" cm="1">
        <f t="array" ref="N2745">_xlfn.IFS(M2745&gt;=50,"50-60 Days", M2745&gt;=40,"40-50 Days", M2745&gt;=30, "30-40 Days", M2745&gt;=20, "20-30 Days", M2745&gt;=10, "10-20 Days", M2745&gt;=0, "0-10 Days")</f>
        <v>10-20 Days</v>
      </c>
    </row>
    <row r="2746" spans="1:14">
      <c r="A2746">
        <v>2745</v>
      </c>
      <c r="B2746" t="s">
        <v>29</v>
      </c>
      <c r="C2746" s="5">
        <v>45609</v>
      </c>
      <c r="D2746" s="8">
        <v>45609</v>
      </c>
      <c r="E2746" s="8" t="str">
        <f>IF(B2746="Inactive", EDATE(D2746,K2746), "")</f>
        <v/>
      </c>
      <c r="F2746" t="s">
        <v>12</v>
      </c>
      <c r="G2746">
        <v>18.100000000000001</v>
      </c>
      <c r="H2746" t="str" cm="1">
        <f t="array" ref="H2746">_xlfn.IFS(G2746&gt;=20,"20-25", G2746&gt;=15,"15-20", G2746&gt;=10,"10-15", G2746&gt;=5,"5-10", G2746&gt;=1,"1-5", G2746&lt;1,"Less than 1")</f>
        <v>15-20</v>
      </c>
      <c r="I2746">
        <v>4</v>
      </c>
      <c r="J2746">
        <v>3</v>
      </c>
      <c r="K2746" s="6">
        <v>3</v>
      </c>
      <c r="L2746" s="2">
        <v>1.99</v>
      </c>
      <c r="M2746" s="6">
        <v>11</v>
      </c>
      <c r="N2746" t="str" cm="1">
        <f t="array" ref="N2746">_xlfn.IFS(M2746&gt;=50,"50-60 Days", M2746&gt;=40,"40-50 Days", M2746&gt;=30, "30-40 Days", M2746&gt;=20, "20-30 Days", M2746&gt;=10, "10-20 Days", M2746&gt;=0, "0-10 Days")</f>
        <v>10-20 Days</v>
      </c>
    </row>
    <row r="2747" spans="1:14">
      <c r="A2747">
        <v>2746</v>
      </c>
      <c r="B2747" t="s">
        <v>29</v>
      </c>
      <c r="C2747" s="5">
        <v>44962</v>
      </c>
      <c r="D2747" s="8">
        <v>44962</v>
      </c>
      <c r="E2747" s="8" t="str">
        <f>IF(B2747="Inactive", EDATE(D2747,K2747), "")</f>
        <v/>
      </c>
      <c r="F2747" t="s">
        <v>12</v>
      </c>
      <c r="G2747">
        <v>13.5</v>
      </c>
      <c r="H2747" t="str" cm="1">
        <f t="array" ref="H2747">_xlfn.IFS(G2747&gt;=20,"20-25", G2747&gt;=15,"15-20", G2747&gt;=10,"10-15", G2747&gt;=5,"5-10", G2747&gt;=1,"1-5", G2747&lt;1,"Less than 1")</f>
        <v>10-15</v>
      </c>
      <c r="I2747">
        <v>3</v>
      </c>
      <c r="J2747">
        <v>1</v>
      </c>
      <c r="K2747" s="6">
        <v>8</v>
      </c>
      <c r="L2747" s="2">
        <v>1.99</v>
      </c>
      <c r="M2747" s="6">
        <v>16</v>
      </c>
      <c r="N2747" t="str" cm="1">
        <f t="array" ref="N2747">_xlfn.IFS(M2747&gt;=50,"50-60 Days", M2747&gt;=40,"40-50 Days", M2747&gt;=30, "30-40 Days", M2747&gt;=20, "20-30 Days", M2747&gt;=10, "10-20 Days", M2747&gt;=0, "0-10 Days")</f>
        <v>10-20 Days</v>
      </c>
    </row>
    <row r="2748" spans="1:14">
      <c r="A2748">
        <v>2747</v>
      </c>
      <c r="B2748" t="s">
        <v>28</v>
      </c>
      <c r="C2748" s="5">
        <v>44955</v>
      </c>
      <c r="D2748" s="8">
        <v>44955</v>
      </c>
      <c r="E2748" s="8">
        <f>IF(B2748="Inactive", EDATE(D2748,K2748), "")</f>
        <v>45136</v>
      </c>
      <c r="F2748" t="s">
        <v>10</v>
      </c>
      <c r="G2748">
        <v>2.4</v>
      </c>
      <c r="H2748" t="str" cm="1">
        <f t="array" ref="H2748">_xlfn.IFS(G2748&gt;=20,"20-25", G2748&gt;=15,"15-20", G2748&gt;=10,"10-15", G2748&gt;=5,"5-10", G2748&gt;=1,"1-5", G2748&lt;1,"Less than 1")</f>
        <v>1-5</v>
      </c>
      <c r="I2748">
        <v>5</v>
      </c>
      <c r="J2748">
        <v>5</v>
      </c>
      <c r="K2748" s="6">
        <v>6</v>
      </c>
      <c r="L2748" s="2">
        <v>6.99</v>
      </c>
      <c r="M2748" s="6">
        <v>33</v>
      </c>
      <c r="N2748" t="str" cm="1">
        <f t="array" ref="N2748">_xlfn.IFS(M2748&gt;=50,"50-60 Days", M2748&gt;=40,"40-50 Days", M2748&gt;=30, "30-40 Days", M2748&gt;=20, "20-30 Days", M2748&gt;=10, "10-20 Days", M2748&gt;=0, "0-10 Days")</f>
        <v>30-40 Days</v>
      </c>
    </row>
    <row r="2749" spans="1:14">
      <c r="A2749">
        <v>2748</v>
      </c>
      <c r="B2749" t="s">
        <v>29</v>
      </c>
      <c r="C2749" s="5">
        <v>45504</v>
      </c>
      <c r="D2749" s="8">
        <v>45504</v>
      </c>
      <c r="E2749" s="8" t="str">
        <f>IF(B2749="Inactive", EDATE(D2749,K2749), "")</f>
        <v/>
      </c>
      <c r="F2749" t="s">
        <v>14</v>
      </c>
      <c r="G2749">
        <v>9.6</v>
      </c>
      <c r="H2749" t="str" cm="1">
        <f t="array" ref="H2749">_xlfn.IFS(G2749&gt;=20,"20-25", G2749&gt;=15,"15-20", G2749&gt;=10,"10-15", G2749&gt;=5,"5-10", G2749&gt;=1,"1-5", G2749&lt;1,"Less than 1")</f>
        <v>5-10</v>
      </c>
      <c r="I2749">
        <v>7</v>
      </c>
      <c r="J2749">
        <v>5</v>
      </c>
      <c r="K2749" s="6">
        <v>6</v>
      </c>
      <c r="L2749" s="2">
        <v>3.99</v>
      </c>
      <c r="M2749" s="6">
        <v>24</v>
      </c>
      <c r="N2749" t="str" cm="1">
        <f t="array" ref="N2749">_xlfn.IFS(M2749&gt;=50,"50-60 Days", M2749&gt;=40,"40-50 Days", M2749&gt;=30, "30-40 Days", M2749&gt;=20, "20-30 Days", M2749&gt;=10, "10-20 Days", M2749&gt;=0, "0-10 Days")</f>
        <v>20-30 Days</v>
      </c>
    </row>
    <row r="2750" spans="1:14">
      <c r="A2750">
        <v>2749</v>
      </c>
      <c r="B2750" t="s">
        <v>28</v>
      </c>
      <c r="C2750" s="5">
        <v>45201</v>
      </c>
      <c r="D2750" s="8">
        <v>45201</v>
      </c>
      <c r="E2750" s="8">
        <f>IF(B2750="Inactive", EDATE(D2750,K2750), "")</f>
        <v>45384</v>
      </c>
      <c r="F2750" t="s">
        <v>10</v>
      </c>
      <c r="G2750">
        <v>12.7</v>
      </c>
      <c r="H2750" t="str" cm="1">
        <f t="array" ref="H2750">_xlfn.IFS(G2750&gt;=20,"20-25", G2750&gt;=15,"15-20", G2750&gt;=10,"10-15", G2750&gt;=5,"5-10", G2750&gt;=1,"1-5", G2750&lt;1,"Less than 1")</f>
        <v>10-15</v>
      </c>
      <c r="I2750">
        <v>7</v>
      </c>
      <c r="J2750">
        <v>3</v>
      </c>
      <c r="K2750" s="6">
        <v>6</v>
      </c>
      <c r="L2750" s="2">
        <v>6.99</v>
      </c>
      <c r="M2750" s="6">
        <v>37</v>
      </c>
      <c r="N2750" t="str" cm="1">
        <f t="array" ref="N2750">_xlfn.IFS(M2750&gt;=50,"50-60 Days", M2750&gt;=40,"40-50 Days", M2750&gt;=30, "30-40 Days", M2750&gt;=20, "20-30 Days", M2750&gt;=10, "10-20 Days", M2750&gt;=0, "0-10 Days")</f>
        <v>30-40 Days</v>
      </c>
    </row>
    <row r="2751" spans="1:14">
      <c r="A2751">
        <v>2750</v>
      </c>
      <c r="B2751" t="s">
        <v>28</v>
      </c>
      <c r="C2751" s="5">
        <v>45410</v>
      </c>
      <c r="D2751" s="8">
        <v>45410</v>
      </c>
      <c r="E2751" s="8">
        <f>IF(B2751="Inactive", EDATE(D2751,K2751), "")</f>
        <v>45654</v>
      </c>
      <c r="F2751" t="s">
        <v>10</v>
      </c>
      <c r="G2751">
        <v>23.7</v>
      </c>
      <c r="H2751" t="str" cm="1">
        <f t="array" ref="H2751">_xlfn.IFS(G2751&gt;=20,"20-25", G2751&gt;=15,"15-20", G2751&gt;=10,"10-15", G2751&gt;=5,"5-10", G2751&gt;=1,"1-5", G2751&lt;1,"Less than 1")</f>
        <v>20-25</v>
      </c>
      <c r="I2751">
        <v>5</v>
      </c>
      <c r="J2751">
        <v>1</v>
      </c>
      <c r="K2751" s="6">
        <v>8</v>
      </c>
      <c r="L2751" s="2">
        <v>6.99</v>
      </c>
      <c r="M2751" s="6">
        <v>27</v>
      </c>
      <c r="N2751" t="str" cm="1">
        <f t="array" ref="N2751">_xlfn.IFS(M2751&gt;=50,"50-60 Days", M2751&gt;=40,"40-50 Days", M2751&gt;=30, "30-40 Days", M2751&gt;=20, "20-30 Days", M2751&gt;=10, "10-20 Days", M2751&gt;=0, "0-10 Days")</f>
        <v>20-30 Days</v>
      </c>
    </row>
    <row r="2752" spans="1:14">
      <c r="A2752">
        <v>2751</v>
      </c>
      <c r="B2752" t="s">
        <v>28</v>
      </c>
      <c r="C2752" s="5">
        <v>45140</v>
      </c>
      <c r="D2752" s="8">
        <v>45140</v>
      </c>
      <c r="E2752" s="8">
        <f>IF(B2752="Inactive", EDATE(D2752,K2752), "")</f>
        <v>45414</v>
      </c>
      <c r="F2752" t="s">
        <v>14</v>
      </c>
      <c r="G2752">
        <v>10</v>
      </c>
      <c r="H2752" t="str" cm="1">
        <f t="array" ref="H2752">_xlfn.IFS(G2752&gt;=20,"20-25", G2752&gt;=15,"15-20", G2752&gt;=10,"10-15", G2752&gt;=5,"5-10", G2752&gt;=1,"1-5", G2752&lt;1,"Less than 1")</f>
        <v>10-15</v>
      </c>
      <c r="I2752">
        <v>8</v>
      </c>
      <c r="J2752">
        <v>3</v>
      </c>
      <c r="K2752" s="6">
        <v>9</v>
      </c>
      <c r="L2752" s="2">
        <v>3.99</v>
      </c>
      <c r="M2752" s="6">
        <v>51</v>
      </c>
      <c r="N2752" t="str" cm="1">
        <f t="array" ref="N2752">_xlfn.IFS(M2752&gt;=50,"50-60 Days", M2752&gt;=40,"40-50 Days", M2752&gt;=30, "30-40 Days", M2752&gt;=20, "20-30 Days", M2752&gt;=10, "10-20 Days", M2752&gt;=0, "0-10 Days")</f>
        <v>50-60 Days</v>
      </c>
    </row>
    <row r="2753" spans="1:14">
      <c r="A2753">
        <v>2752</v>
      </c>
      <c r="B2753" t="s">
        <v>28</v>
      </c>
      <c r="C2753" s="5">
        <v>45641</v>
      </c>
      <c r="D2753" s="8">
        <v>45641</v>
      </c>
      <c r="E2753" s="8">
        <f>IF(B2753="Inactive", EDATE(D2753,K2753), "")</f>
        <v>45731</v>
      </c>
      <c r="F2753" t="s">
        <v>14</v>
      </c>
      <c r="G2753">
        <v>2.4</v>
      </c>
      <c r="H2753" t="str" cm="1">
        <f t="array" ref="H2753">_xlfn.IFS(G2753&gt;=20,"20-25", G2753&gt;=15,"15-20", G2753&gt;=10,"10-15", G2753&gt;=5,"5-10", G2753&gt;=1,"1-5", G2753&lt;1,"Less than 1")</f>
        <v>1-5</v>
      </c>
      <c r="I2753">
        <v>5</v>
      </c>
      <c r="J2753">
        <v>2</v>
      </c>
      <c r="K2753" s="6">
        <v>3</v>
      </c>
      <c r="L2753" s="2">
        <v>3.99</v>
      </c>
      <c r="M2753" s="6">
        <v>23</v>
      </c>
      <c r="N2753" t="str" cm="1">
        <f t="array" ref="N2753">_xlfn.IFS(M2753&gt;=50,"50-60 Days", M2753&gt;=40,"40-50 Days", M2753&gt;=30, "30-40 Days", M2753&gt;=20, "20-30 Days", M2753&gt;=10, "10-20 Days", M2753&gt;=0, "0-10 Days")</f>
        <v>20-30 Days</v>
      </c>
    </row>
    <row r="2754" spans="1:14">
      <c r="A2754">
        <v>2753</v>
      </c>
      <c r="B2754" t="s">
        <v>29</v>
      </c>
      <c r="C2754" s="5">
        <v>45116</v>
      </c>
      <c r="D2754" s="8">
        <v>45116</v>
      </c>
      <c r="E2754" s="8" t="str">
        <f>IF(B2754="Inactive", EDATE(D2754,K2754), "")</f>
        <v/>
      </c>
      <c r="F2754" t="s">
        <v>12</v>
      </c>
      <c r="G2754">
        <v>23.2</v>
      </c>
      <c r="H2754" t="str" cm="1">
        <f t="array" ref="H2754">_xlfn.IFS(G2754&gt;=20,"20-25", G2754&gt;=15,"15-20", G2754&gt;=10,"10-15", G2754&gt;=5,"5-10", G2754&gt;=1,"1-5", G2754&lt;1,"Less than 1")</f>
        <v>20-25</v>
      </c>
      <c r="I2754">
        <v>4</v>
      </c>
      <c r="J2754">
        <v>4</v>
      </c>
      <c r="K2754" s="6">
        <v>8</v>
      </c>
      <c r="L2754" s="2">
        <v>1.99</v>
      </c>
      <c r="M2754" s="6">
        <v>5</v>
      </c>
      <c r="N2754" t="str" cm="1">
        <f t="array" ref="N2754">_xlfn.IFS(M2754&gt;=50,"50-60 Days", M2754&gt;=40,"40-50 Days", M2754&gt;=30, "30-40 Days", M2754&gt;=20, "20-30 Days", M2754&gt;=10, "10-20 Days", M2754&gt;=0, "0-10 Days")</f>
        <v>0-10 Days</v>
      </c>
    </row>
    <row r="2755" spans="1:14">
      <c r="A2755">
        <v>2754</v>
      </c>
      <c r="B2755" t="s">
        <v>28</v>
      </c>
      <c r="C2755" s="5">
        <v>45384</v>
      </c>
      <c r="D2755" s="8">
        <v>45384</v>
      </c>
      <c r="E2755" s="8">
        <f>IF(B2755="Inactive", EDATE(D2755,K2755), "")</f>
        <v>45506</v>
      </c>
      <c r="F2755" t="s">
        <v>14</v>
      </c>
      <c r="G2755">
        <v>8.4</v>
      </c>
      <c r="H2755" t="str" cm="1">
        <f t="array" ref="H2755">_xlfn.IFS(G2755&gt;=20,"20-25", G2755&gt;=15,"15-20", G2755&gt;=10,"10-15", G2755&gt;=5,"5-10", G2755&gt;=1,"1-5", G2755&lt;1,"Less than 1")</f>
        <v>5-10</v>
      </c>
      <c r="I2755">
        <v>5</v>
      </c>
      <c r="J2755">
        <v>4</v>
      </c>
      <c r="K2755" s="6">
        <v>4</v>
      </c>
      <c r="L2755" s="2">
        <v>3.99</v>
      </c>
      <c r="M2755" s="6">
        <v>24</v>
      </c>
      <c r="N2755" t="str" cm="1">
        <f t="array" ref="N2755">_xlfn.IFS(M2755&gt;=50,"50-60 Days", M2755&gt;=40,"40-50 Days", M2755&gt;=30, "30-40 Days", M2755&gt;=20, "20-30 Days", M2755&gt;=10, "10-20 Days", M2755&gt;=0, "0-10 Days")</f>
        <v>20-30 Days</v>
      </c>
    </row>
    <row r="2756" spans="1:14">
      <c r="A2756">
        <v>2755</v>
      </c>
      <c r="B2756" t="s">
        <v>29</v>
      </c>
      <c r="C2756" s="5">
        <v>45209</v>
      </c>
      <c r="D2756" s="8">
        <v>45209</v>
      </c>
      <c r="E2756" s="8" t="str">
        <f>IF(B2756="Inactive", EDATE(D2756,K2756), "")</f>
        <v/>
      </c>
      <c r="F2756" t="s">
        <v>12</v>
      </c>
      <c r="G2756">
        <v>21.4</v>
      </c>
      <c r="H2756" t="str" cm="1">
        <f t="array" ref="H2756">_xlfn.IFS(G2756&gt;=20,"20-25", G2756&gt;=15,"15-20", G2756&gt;=10,"10-15", G2756&gt;=5,"5-10", G2756&gt;=1,"1-5", G2756&lt;1,"Less than 1")</f>
        <v>20-25</v>
      </c>
      <c r="I2756">
        <v>3</v>
      </c>
      <c r="J2756">
        <v>0</v>
      </c>
      <c r="K2756" s="6">
        <v>3</v>
      </c>
      <c r="L2756" s="2">
        <v>1.99</v>
      </c>
      <c r="M2756" s="6">
        <v>29</v>
      </c>
      <c r="N2756" t="str" cm="1">
        <f t="array" ref="N2756">_xlfn.IFS(M2756&gt;=50,"50-60 Days", M2756&gt;=40,"40-50 Days", M2756&gt;=30, "30-40 Days", M2756&gt;=20, "20-30 Days", M2756&gt;=10, "10-20 Days", M2756&gt;=0, "0-10 Days")</f>
        <v>20-30 Days</v>
      </c>
    </row>
    <row r="2757" spans="1:14">
      <c r="A2757">
        <v>2756</v>
      </c>
      <c r="B2757" t="s">
        <v>29</v>
      </c>
      <c r="C2757" s="5">
        <v>45219</v>
      </c>
      <c r="D2757" s="8">
        <v>45219</v>
      </c>
      <c r="E2757" s="8" t="str">
        <f>IF(B2757="Inactive", EDATE(D2757,K2757), "")</f>
        <v/>
      </c>
      <c r="F2757" t="s">
        <v>12</v>
      </c>
      <c r="G2757">
        <v>9.5</v>
      </c>
      <c r="H2757" t="str" cm="1">
        <f t="array" ref="H2757">_xlfn.IFS(G2757&gt;=20,"20-25", G2757&gt;=15,"15-20", G2757&gt;=10,"10-15", G2757&gt;=5,"5-10", G2757&gt;=1,"1-5", G2757&lt;1,"Less than 1")</f>
        <v>5-10</v>
      </c>
      <c r="I2757">
        <v>1</v>
      </c>
      <c r="J2757">
        <v>2</v>
      </c>
      <c r="K2757" s="6">
        <v>6</v>
      </c>
      <c r="L2757" s="2">
        <v>1.99</v>
      </c>
      <c r="M2757" s="6">
        <v>11</v>
      </c>
      <c r="N2757" t="str" cm="1">
        <f t="array" ref="N2757">_xlfn.IFS(M2757&gt;=50,"50-60 Days", M2757&gt;=40,"40-50 Days", M2757&gt;=30, "30-40 Days", M2757&gt;=20, "20-30 Days", M2757&gt;=10, "10-20 Days", M2757&gt;=0, "0-10 Days")</f>
        <v>10-20 Days</v>
      </c>
    </row>
    <row r="2758" spans="1:14">
      <c r="A2758">
        <v>2757</v>
      </c>
      <c r="B2758" t="s">
        <v>29</v>
      </c>
      <c r="C2758" s="5">
        <v>45352</v>
      </c>
      <c r="D2758" s="8">
        <v>45352</v>
      </c>
      <c r="E2758" s="8" t="str">
        <f>IF(B2758="Inactive", EDATE(D2758,K2758), "")</f>
        <v/>
      </c>
      <c r="F2758" t="s">
        <v>12</v>
      </c>
      <c r="G2758">
        <v>16.399999999999999</v>
      </c>
      <c r="H2758" t="str" cm="1">
        <f t="array" ref="H2758">_xlfn.IFS(G2758&gt;=20,"20-25", G2758&gt;=15,"15-20", G2758&gt;=10,"10-15", G2758&gt;=5,"5-10", G2758&gt;=1,"1-5", G2758&lt;1,"Less than 1")</f>
        <v>15-20</v>
      </c>
      <c r="I2758">
        <v>3</v>
      </c>
      <c r="J2758">
        <v>1</v>
      </c>
      <c r="K2758" s="6">
        <v>6</v>
      </c>
      <c r="L2758" s="2">
        <v>1.99</v>
      </c>
      <c r="M2758" s="6">
        <v>50</v>
      </c>
      <c r="N2758" t="str" cm="1">
        <f t="array" ref="N2758">_xlfn.IFS(M2758&gt;=50,"50-60 Days", M2758&gt;=40,"40-50 Days", M2758&gt;=30, "30-40 Days", M2758&gt;=20, "20-30 Days", M2758&gt;=10, "10-20 Days", M2758&gt;=0, "0-10 Days")</f>
        <v>50-60 Days</v>
      </c>
    </row>
    <row r="2759" spans="1:14">
      <c r="A2759">
        <v>2758</v>
      </c>
      <c r="B2759" t="s">
        <v>29</v>
      </c>
      <c r="C2759" s="5">
        <v>45390</v>
      </c>
      <c r="D2759" s="8">
        <v>45390</v>
      </c>
      <c r="E2759" s="8" t="str">
        <f>IF(B2759="Inactive", EDATE(D2759,K2759), "")</f>
        <v/>
      </c>
      <c r="F2759" t="s">
        <v>12</v>
      </c>
      <c r="G2759">
        <v>19.5</v>
      </c>
      <c r="H2759" t="str" cm="1">
        <f t="array" ref="H2759">_xlfn.IFS(G2759&gt;=20,"20-25", G2759&gt;=15,"15-20", G2759&gt;=10,"10-15", G2759&gt;=5,"5-10", G2759&gt;=1,"1-5", G2759&lt;1,"Less than 1")</f>
        <v>15-20</v>
      </c>
      <c r="I2759">
        <v>4</v>
      </c>
      <c r="J2759">
        <v>1</v>
      </c>
      <c r="K2759" s="6">
        <v>7</v>
      </c>
      <c r="L2759" s="2">
        <v>1.99</v>
      </c>
      <c r="M2759" s="6">
        <v>45</v>
      </c>
      <c r="N2759" t="str" cm="1">
        <f t="array" ref="N2759">_xlfn.IFS(M2759&gt;=50,"50-60 Days", M2759&gt;=40,"40-50 Days", M2759&gt;=30, "30-40 Days", M2759&gt;=20, "20-30 Days", M2759&gt;=10, "10-20 Days", M2759&gt;=0, "0-10 Days")</f>
        <v>40-50 Days</v>
      </c>
    </row>
    <row r="2760" spans="1:14">
      <c r="A2760">
        <v>2759</v>
      </c>
      <c r="B2760" t="s">
        <v>29</v>
      </c>
      <c r="C2760" s="5">
        <v>45624</v>
      </c>
      <c r="D2760" s="8">
        <v>45624</v>
      </c>
      <c r="E2760" s="8" t="str">
        <f>IF(B2760="Inactive", EDATE(D2760,K2760), "")</f>
        <v/>
      </c>
      <c r="F2760" t="s">
        <v>10</v>
      </c>
      <c r="G2760">
        <v>5.9</v>
      </c>
      <c r="H2760" t="str" cm="1">
        <f t="array" ref="H2760">_xlfn.IFS(G2760&gt;=20,"20-25", G2760&gt;=15,"15-20", G2760&gt;=10,"10-15", G2760&gt;=5,"5-10", G2760&gt;=1,"1-5", G2760&lt;1,"Less than 1")</f>
        <v>5-10</v>
      </c>
      <c r="I2760">
        <v>7</v>
      </c>
      <c r="J2760">
        <v>1</v>
      </c>
      <c r="K2760" s="6">
        <v>9</v>
      </c>
      <c r="L2760" s="2">
        <v>6.99</v>
      </c>
      <c r="M2760" s="6">
        <v>6</v>
      </c>
      <c r="N2760" t="str" cm="1">
        <f t="array" ref="N2760">_xlfn.IFS(M2760&gt;=50,"50-60 Days", M2760&gt;=40,"40-50 Days", M2760&gt;=30, "30-40 Days", M2760&gt;=20, "20-30 Days", M2760&gt;=10, "10-20 Days", M2760&gt;=0, "0-10 Days")</f>
        <v>0-10 Days</v>
      </c>
    </row>
    <row r="2761" spans="1:14">
      <c r="A2761">
        <v>2760</v>
      </c>
      <c r="B2761" t="s">
        <v>28</v>
      </c>
      <c r="C2761" s="5">
        <v>45291</v>
      </c>
      <c r="D2761" s="8">
        <v>45291</v>
      </c>
      <c r="E2761" s="8">
        <f>IF(B2761="Inactive", EDATE(D2761,K2761), "")</f>
        <v>45322</v>
      </c>
      <c r="F2761" t="s">
        <v>12</v>
      </c>
      <c r="G2761">
        <v>13.6</v>
      </c>
      <c r="H2761" t="str" cm="1">
        <f t="array" ref="H2761">_xlfn.IFS(G2761&gt;=20,"20-25", G2761&gt;=15,"15-20", G2761&gt;=10,"10-15", G2761&gt;=5,"5-10", G2761&gt;=1,"1-5", G2761&lt;1,"Less than 1")</f>
        <v>10-15</v>
      </c>
      <c r="I2761">
        <v>1</v>
      </c>
      <c r="J2761">
        <v>3</v>
      </c>
      <c r="K2761" s="6">
        <v>1</v>
      </c>
      <c r="L2761" s="2">
        <v>1.99</v>
      </c>
      <c r="M2761" s="6">
        <v>60</v>
      </c>
      <c r="N2761" t="str" cm="1">
        <f t="array" ref="N2761">_xlfn.IFS(M2761&gt;=50,"50-60 Days", M2761&gt;=40,"40-50 Days", M2761&gt;=30, "30-40 Days", M2761&gt;=20, "20-30 Days", M2761&gt;=10, "10-20 Days", M2761&gt;=0, "0-10 Days")</f>
        <v>50-60 Days</v>
      </c>
    </row>
    <row r="2762" spans="1:14">
      <c r="A2762">
        <v>2761</v>
      </c>
      <c r="B2762" t="s">
        <v>28</v>
      </c>
      <c r="C2762" s="5">
        <v>45021</v>
      </c>
      <c r="D2762" s="8">
        <v>45021</v>
      </c>
      <c r="E2762" s="8">
        <f>IF(B2762="Inactive", EDATE(D2762,K2762), "")</f>
        <v>45143</v>
      </c>
      <c r="F2762" t="s">
        <v>12</v>
      </c>
      <c r="G2762">
        <v>23.3</v>
      </c>
      <c r="H2762" t="str" cm="1">
        <f t="array" ref="H2762">_xlfn.IFS(G2762&gt;=20,"20-25", G2762&gt;=15,"15-20", G2762&gt;=10,"10-15", G2762&gt;=5,"5-10", G2762&gt;=1,"1-5", G2762&lt;1,"Less than 1")</f>
        <v>20-25</v>
      </c>
      <c r="I2762">
        <v>1</v>
      </c>
      <c r="J2762">
        <v>2</v>
      </c>
      <c r="K2762" s="6">
        <v>4</v>
      </c>
      <c r="L2762" s="2">
        <v>1.99</v>
      </c>
      <c r="M2762" s="6">
        <v>46</v>
      </c>
      <c r="N2762" t="str" cm="1">
        <f t="array" ref="N2762">_xlfn.IFS(M2762&gt;=50,"50-60 Days", M2762&gt;=40,"40-50 Days", M2762&gt;=30, "30-40 Days", M2762&gt;=20, "20-30 Days", M2762&gt;=10, "10-20 Days", M2762&gt;=0, "0-10 Days")</f>
        <v>40-50 Days</v>
      </c>
    </row>
    <row r="2763" spans="1:14">
      <c r="A2763">
        <v>2762</v>
      </c>
      <c r="B2763" t="s">
        <v>29</v>
      </c>
      <c r="C2763" s="5">
        <v>45213</v>
      </c>
      <c r="D2763" s="8">
        <v>45213</v>
      </c>
      <c r="E2763" s="8" t="str">
        <f>IF(B2763="Inactive", EDATE(D2763,K2763), "")</f>
        <v/>
      </c>
      <c r="F2763" t="s">
        <v>10</v>
      </c>
      <c r="G2763">
        <v>8.3000000000000007</v>
      </c>
      <c r="H2763" t="str" cm="1">
        <f t="array" ref="H2763">_xlfn.IFS(G2763&gt;=20,"20-25", G2763&gt;=15,"15-20", G2763&gt;=10,"10-15", G2763&gt;=5,"5-10", G2763&gt;=1,"1-5", G2763&lt;1,"Less than 1")</f>
        <v>5-10</v>
      </c>
      <c r="I2763">
        <v>3</v>
      </c>
      <c r="J2763">
        <v>2</v>
      </c>
      <c r="K2763" s="6">
        <v>6</v>
      </c>
      <c r="L2763" s="2">
        <v>6.99</v>
      </c>
      <c r="M2763" s="6">
        <v>52</v>
      </c>
      <c r="N2763" t="str" cm="1">
        <f t="array" ref="N2763">_xlfn.IFS(M2763&gt;=50,"50-60 Days", M2763&gt;=40,"40-50 Days", M2763&gt;=30, "30-40 Days", M2763&gt;=20, "20-30 Days", M2763&gt;=10, "10-20 Days", M2763&gt;=0, "0-10 Days")</f>
        <v>50-60 Days</v>
      </c>
    </row>
    <row r="2764" spans="1:14">
      <c r="A2764">
        <v>2763</v>
      </c>
      <c r="B2764" t="s">
        <v>28</v>
      </c>
      <c r="C2764" s="5">
        <v>45623</v>
      </c>
      <c r="D2764" s="8">
        <v>45623</v>
      </c>
      <c r="E2764" s="8">
        <f>IF(B2764="Inactive", EDATE(D2764,K2764), "")</f>
        <v>45743</v>
      </c>
      <c r="F2764" t="s">
        <v>10</v>
      </c>
      <c r="G2764">
        <v>11.1</v>
      </c>
      <c r="H2764" t="str" cm="1">
        <f t="array" ref="H2764">_xlfn.IFS(G2764&gt;=20,"20-25", G2764&gt;=15,"15-20", G2764&gt;=10,"10-15", G2764&gt;=5,"5-10", G2764&gt;=1,"1-5", G2764&lt;1,"Less than 1")</f>
        <v>10-15</v>
      </c>
      <c r="I2764">
        <v>8</v>
      </c>
      <c r="J2764">
        <v>3</v>
      </c>
      <c r="K2764" s="6">
        <v>4</v>
      </c>
      <c r="L2764" s="2">
        <v>6.99</v>
      </c>
      <c r="M2764" s="6">
        <v>16</v>
      </c>
      <c r="N2764" t="str" cm="1">
        <f t="array" ref="N2764">_xlfn.IFS(M2764&gt;=50,"50-60 Days", M2764&gt;=40,"40-50 Days", M2764&gt;=30, "30-40 Days", M2764&gt;=20, "20-30 Days", M2764&gt;=10, "10-20 Days", M2764&gt;=0, "0-10 Days")</f>
        <v>10-20 Days</v>
      </c>
    </row>
    <row r="2765" spans="1:14">
      <c r="A2765">
        <v>2764</v>
      </c>
      <c r="B2765" t="s">
        <v>29</v>
      </c>
      <c r="C2765" s="5">
        <v>45590</v>
      </c>
      <c r="D2765" s="8">
        <v>45590</v>
      </c>
      <c r="E2765" s="8" t="str">
        <f>IF(B2765="Inactive", EDATE(D2765,K2765), "")</f>
        <v/>
      </c>
      <c r="F2765" t="s">
        <v>10</v>
      </c>
      <c r="G2765">
        <v>1.7</v>
      </c>
      <c r="H2765" t="str" cm="1">
        <f t="array" ref="H2765">_xlfn.IFS(G2765&gt;=20,"20-25", G2765&gt;=15,"15-20", G2765&gt;=10,"10-15", G2765&gt;=5,"5-10", G2765&gt;=1,"1-5", G2765&lt;1,"Less than 1")</f>
        <v>1-5</v>
      </c>
      <c r="I2765">
        <v>7</v>
      </c>
      <c r="J2765">
        <v>1</v>
      </c>
      <c r="K2765" s="6">
        <v>11</v>
      </c>
      <c r="L2765" s="2">
        <v>6.99</v>
      </c>
      <c r="M2765" s="6">
        <v>41</v>
      </c>
      <c r="N2765" t="str" cm="1">
        <f t="array" ref="N2765">_xlfn.IFS(M2765&gt;=50,"50-60 Days", M2765&gt;=40,"40-50 Days", M2765&gt;=30, "30-40 Days", M2765&gt;=20, "20-30 Days", M2765&gt;=10, "10-20 Days", M2765&gt;=0, "0-10 Days")</f>
        <v>40-50 Days</v>
      </c>
    </row>
    <row r="2766" spans="1:14">
      <c r="A2766">
        <v>2765</v>
      </c>
      <c r="B2766" t="s">
        <v>28</v>
      </c>
      <c r="C2766" s="5">
        <v>45078</v>
      </c>
      <c r="D2766" s="8">
        <v>45078</v>
      </c>
      <c r="E2766" s="8">
        <f>IF(B2766="Inactive", EDATE(D2766,K2766), "")</f>
        <v>45108</v>
      </c>
      <c r="F2766" t="s">
        <v>10</v>
      </c>
      <c r="G2766">
        <v>17.399999999999999</v>
      </c>
      <c r="H2766" t="str" cm="1">
        <f t="array" ref="H2766">_xlfn.IFS(G2766&gt;=20,"20-25", G2766&gt;=15,"15-20", G2766&gt;=10,"10-15", G2766&gt;=5,"5-10", G2766&gt;=1,"1-5", G2766&lt;1,"Less than 1")</f>
        <v>15-20</v>
      </c>
      <c r="I2766">
        <v>6</v>
      </c>
      <c r="J2766">
        <v>2</v>
      </c>
      <c r="K2766" s="6">
        <v>1</v>
      </c>
      <c r="L2766" s="2">
        <v>6.99</v>
      </c>
      <c r="M2766" s="6">
        <v>56</v>
      </c>
      <c r="N2766" t="str" cm="1">
        <f t="array" ref="N2766">_xlfn.IFS(M2766&gt;=50,"50-60 Days", M2766&gt;=40,"40-50 Days", M2766&gt;=30, "30-40 Days", M2766&gt;=20, "20-30 Days", M2766&gt;=10, "10-20 Days", M2766&gt;=0, "0-10 Days")</f>
        <v>50-60 Days</v>
      </c>
    </row>
    <row r="2767" spans="1:14">
      <c r="A2767">
        <v>2766</v>
      </c>
      <c r="B2767" t="s">
        <v>28</v>
      </c>
      <c r="C2767" s="5">
        <v>45258</v>
      </c>
      <c r="D2767" s="8">
        <v>45258</v>
      </c>
      <c r="E2767" s="8">
        <f>IF(B2767="Inactive", EDATE(D2767,K2767), "")</f>
        <v>45563</v>
      </c>
      <c r="F2767" t="s">
        <v>12</v>
      </c>
      <c r="G2767">
        <v>11.8</v>
      </c>
      <c r="H2767" t="str" cm="1">
        <f t="array" ref="H2767">_xlfn.IFS(G2767&gt;=20,"20-25", G2767&gt;=15,"15-20", G2767&gt;=10,"10-15", G2767&gt;=5,"5-10", G2767&gt;=1,"1-5", G2767&lt;1,"Less than 1")</f>
        <v>10-15</v>
      </c>
      <c r="I2767">
        <v>2</v>
      </c>
      <c r="J2767">
        <v>4</v>
      </c>
      <c r="K2767" s="6">
        <v>10</v>
      </c>
      <c r="L2767" s="2">
        <v>1.99</v>
      </c>
      <c r="M2767" s="6">
        <v>27</v>
      </c>
      <c r="N2767" t="str" cm="1">
        <f t="array" ref="N2767">_xlfn.IFS(M2767&gt;=50,"50-60 Days", M2767&gt;=40,"40-50 Days", M2767&gt;=30, "30-40 Days", M2767&gt;=20, "20-30 Days", M2767&gt;=10, "10-20 Days", M2767&gt;=0, "0-10 Days")</f>
        <v>20-30 Days</v>
      </c>
    </row>
    <row r="2768" spans="1:14">
      <c r="A2768">
        <v>2767</v>
      </c>
      <c r="B2768" t="s">
        <v>29</v>
      </c>
      <c r="C2768" s="5">
        <v>45588</v>
      </c>
      <c r="D2768" s="8">
        <v>45588</v>
      </c>
      <c r="E2768" s="8" t="str">
        <f>IF(B2768="Inactive", EDATE(D2768,K2768), "")</f>
        <v/>
      </c>
      <c r="F2768" t="s">
        <v>14</v>
      </c>
      <c r="G2768">
        <v>5.3</v>
      </c>
      <c r="H2768" t="str" cm="1">
        <f t="array" ref="H2768">_xlfn.IFS(G2768&gt;=20,"20-25", G2768&gt;=15,"15-20", G2768&gt;=10,"10-15", G2768&gt;=5,"5-10", G2768&gt;=1,"1-5", G2768&lt;1,"Less than 1")</f>
        <v>5-10</v>
      </c>
      <c r="I2768">
        <v>0</v>
      </c>
      <c r="J2768">
        <v>0</v>
      </c>
      <c r="K2768" s="6">
        <v>5</v>
      </c>
      <c r="L2768" s="2">
        <v>3.99</v>
      </c>
      <c r="M2768" s="6">
        <v>17</v>
      </c>
      <c r="N2768" t="str" cm="1">
        <f t="array" ref="N2768">_xlfn.IFS(M2768&gt;=50,"50-60 Days", M2768&gt;=40,"40-50 Days", M2768&gt;=30, "30-40 Days", M2768&gt;=20, "20-30 Days", M2768&gt;=10, "10-20 Days", M2768&gt;=0, "0-10 Days")</f>
        <v>10-20 Days</v>
      </c>
    </row>
    <row r="2769" spans="1:14">
      <c r="A2769">
        <v>2768</v>
      </c>
      <c r="B2769" t="s">
        <v>28</v>
      </c>
      <c r="C2769" s="5">
        <v>45303</v>
      </c>
      <c r="D2769" s="8">
        <v>45303</v>
      </c>
      <c r="E2769" s="8">
        <f>IF(B2769="Inactive", EDATE(D2769,K2769), "")</f>
        <v>45547</v>
      </c>
      <c r="F2769" t="s">
        <v>12</v>
      </c>
      <c r="G2769">
        <v>20.5</v>
      </c>
      <c r="H2769" t="str" cm="1">
        <f t="array" ref="H2769">_xlfn.IFS(G2769&gt;=20,"20-25", G2769&gt;=15,"15-20", G2769&gt;=10,"10-15", G2769&gt;=5,"5-10", G2769&gt;=1,"1-5", G2769&lt;1,"Less than 1")</f>
        <v>20-25</v>
      </c>
      <c r="I2769">
        <v>7</v>
      </c>
      <c r="J2769">
        <v>4</v>
      </c>
      <c r="K2769" s="6">
        <v>8</v>
      </c>
      <c r="L2769" s="2">
        <v>1.99</v>
      </c>
      <c r="M2769" s="6">
        <v>4</v>
      </c>
      <c r="N2769" t="str" cm="1">
        <f t="array" ref="N2769">_xlfn.IFS(M2769&gt;=50,"50-60 Days", M2769&gt;=40,"40-50 Days", M2769&gt;=30, "30-40 Days", M2769&gt;=20, "20-30 Days", M2769&gt;=10, "10-20 Days", M2769&gt;=0, "0-10 Days")</f>
        <v>0-10 Days</v>
      </c>
    </row>
    <row r="2770" spans="1:14">
      <c r="A2770">
        <v>2769</v>
      </c>
      <c r="B2770" t="s">
        <v>29</v>
      </c>
      <c r="C2770" s="5">
        <v>45422</v>
      </c>
      <c r="D2770" s="8">
        <v>45422</v>
      </c>
      <c r="E2770" s="8" t="str">
        <f>IF(B2770="Inactive", EDATE(D2770,K2770), "")</f>
        <v/>
      </c>
      <c r="F2770" t="s">
        <v>14</v>
      </c>
      <c r="G2770">
        <v>16.600000000000001</v>
      </c>
      <c r="H2770" t="str" cm="1">
        <f t="array" ref="H2770">_xlfn.IFS(G2770&gt;=20,"20-25", G2770&gt;=15,"15-20", G2770&gt;=10,"10-15", G2770&gt;=5,"5-10", G2770&gt;=1,"1-5", G2770&lt;1,"Less than 1")</f>
        <v>15-20</v>
      </c>
      <c r="I2770">
        <v>0</v>
      </c>
      <c r="J2770">
        <v>0</v>
      </c>
      <c r="K2770" s="6">
        <v>12</v>
      </c>
      <c r="L2770" s="2">
        <v>3.99</v>
      </c>
      <c r="M2770" s="6">
        <v>1</v>
      </c>
      <c r="N2770" t="str" cm="1">
        <f t="array" ref="N2770">_xlfn.IFS(M2770&gt;=50,"50-60 Days", M2770&gt;=40,"40-50 Days", M2770&gt;=30, "30-40 Days", M2770&gt;=20, "20-30 Days", M2770&gt;=10, "10-20 Days", M2770&gt;=0, "0-10 Days")</f>
        <v>0-10 Days</v>
      </c>
    </row>
    <row r="2771" spans="1:14">
      <c r="A2771">
        <v>2770</v>
      </c>
      <c r="B2771" t="s">
        <v>28</v>
      </c>
      <c r="C2771" s="5">
        <v>45605</v>
      </c>
      <c r="D2771" s="8">
        <v>45605</v>
      </c>
      <c r="E2771" s="8">
        <f>IF(B2771="Inactive", EDATE(D2771,K2771), "")</f>
        <v>45725</v>
      </c>
      <c r="F2771" t="s">
        <v>10</v>
      </c>
      <c r="G2771">
        <v>18.399999999999999</v>
      </c>
      <c r="H2771" t="str" cm="1">
        <f t="array" ref="H2771">_xlfn.IFS(G2771&gt;=20,"20-25", G2771&gt;=15,"15-20", G2771&gt;=10,"10-15", G2771&gt;=5,"5-10", G2771&gt;=1,"1-5", G2771&lt;1,"Less than 1")</f>
        <v>15-20</v>
      </c>
      <c r="I2771">
        <v>1</v>
      </c>
      <c r="J2771">
        <v>2</v>
      </c>
      <c r="K2771" s="6">
        <v>4</v>
      </c>
      <c r="L2771" s="2">
        <v>6.99</v>
      </c>
      <c r="M2771" s="6">
        <v>11</v>
      </c>
      <c r="N2771" t="str" cm="1">
        <f t="array" ref="N2771">_xlfn.IFS(M2771&gt;=50,"50-60 Days", M2771&gt;=40,"40-50 Days", M2771&gt;=30, "30-40 Days", M2771&gt;=20, "20-30 Days", M2771&gt;=10, "10-20 Days", M2771&gt;=0, "0-10 Days")</f>
        <v>10-20 Days</v>
      </c>
    </row>
    <row r="2772" spans="1:14">
      <c r="A2772">
        <v>2771</v>
      </c>
      <c r="B2772" t="s">
        <v>29</v>
      </c>
      <c r="C2772" s="5">
        <v>45053</v>
      </c>
      <c r="D2772" s="8">
        <v>45053</v>
      </c>
      <c r="E2772" s="8" t="str">
        <f>IF(B2772="Inactive", EDATE(D2772,K2772), "")</f>
        <v/>
      </c>
      <c r="F2772" t="s">
        <v>12</v>
      </c>
      <c r="G2772">
        <v>10.9</v>
      </c>
      <c r="H2772" t="str" cm="1">
        <f t="array" ref="H2772">_xlfn.IFS(G2772&gt;=20,"20-25", G2772&gt;=15,"15-20", G2772&gt;=10,"10-15", G2772&gt;=5,"5-10", G2772&gt;=1,"1-5", G2772&lt;1,"Less than 1")</f>
        <v>10-15</v>
      </c>
      <c r="I2772">
        <v>4</v>
      </c>
      <c r="J2772">
        <v>1</v>
      </c>
      <c r="K2772" s="6">
        <v>3</v>
      </c>
      <c r="L2772" s="2">
        <v>1.99</v>
      </c>
      <c r="M2772" s="6">
        <v>36</v>
      </c>
      <c r="N2772" t="str" cm="1">
        <f t="array" ref="N2772">_xlfn.IFS(M2772&gt;=50,"50-60 Days", M2772&gt;=40,"40-50 Days", M2772&gt;=30, "30-40 Days", M2772&gt;=20, "20-30 Days", M2772&gt;=10, "10-20 Days", M2772&gt;=0, "0-10 Days")</f>
        <v>30-40 Days</v>
      </c>
    </row>
    <row r="2773" spans="1:14">
      <c r="A2773">
        <v>2772</v>
      </c>
      <c r="B2773" t="s">
        <v>29</v>
      </c>
      <c r="C2773" s="5">
        <v>45130</v>
      </c>
      <c r="D2773" s="8">
        <v>45130</v>
      </c>
      <c r="E2773" s="8" t="str">
        <f>IF(B2773="Inactive", EDATE(D2773,K2773), "")</f>
        <v/>
      </c>
      <c r="F2773" t="s">
        <v>12</v>
      </c>
      <c r="G2773">
        <v>13.5</v>
      </c>
      <c r="H2773" t="str" cm="1">
        <f t="array" ref="H2773">_xlfn.IFS(G2773&gt;=20,"20-25", G2773&gt;=15,"15-20", G2773&gt;=10,"10-15", G2773&gt;=5,"5-10", G2773&gt;=1,"1-5", G2773&lt;1,"Less than 1")</f>
        <v>10-15</v>
      </c>
      <c r="I2773">
        <v>1</v>
      </c>
      <c r="J2773">
        <v>3</v>
      </c>
      <c r="K2773" s="6">
        <v>9</v>
      </c>
      <c r="L2773" s="2">
        <v>1.99</v>
      </c>
      <c r="M2773" s="6">
        <v>10</v>
      </c>
      <c r="N2773" t="str" cm="1">
        <f t="array" ref="N2773">_xlfn.IFS(M2773&gt;=50,"50-60 Days", M2773&gt;=40,"40-50 Days", M2773&gt;=30, "30-40 Days", M2773&gt;=20, "20-30 Days", M2773&gt;=10, "10-20 Days", M2773&gt;=0, "0-10 Days")</f>
        <v>10-20 Days</v>
      </c>
    </row>
    <row r="2774" spans="1:14">
      <c r="A2774">
        <v>2773</v>
      </c>
      <c r="B2774" t="s">
        <v>28</v>
      </c>
      <c r="C2774" s="5">
        <v>45327</v>
      </c>
      <c r="D2774" s="8">
        <v>45327</v>
      </c>
      <c r="E2774" s="8">
        <f>IF(B2774="Inactive", EDATE(D2774,K2774), "")</f>
        <v>45478</v>
      </c>
      <c r="F2774" t="s">
        <v>12</v>
      </c>
      <c r="G2774">
        <v>9.8000000000000007</v>
      </c>
      <c r="H2774" t="str" cm="1">
        <f t="array" ref="H2774">_xlfn.IFS(G2774&gt;=20,"20-25", G2774&gt;=15,"15-20", G2774&gt;=10,"10-15", G2774&gt;=5,"5-10", G2774&gt;=1,"1-5", G2774&lt;1,"Less than 1")</f>
        <v>5-10</v>
      </c>
      <c r="I2774">
        <v>5</v>
      </c>
      <c r="J2774">
        <v>2</v>
      </c>
      <c r="K2774" s="6">
        <v>5</v>
      </c>
      <c r="L2774" s="2">
        <v>1.99</v>
      </c>
      <c r="M2774" s="6">
        <v>45</v>
      </c>
      <c r="N2774" t="str" cm="1">
        <f t="array" ref="N2774">_xlfn.IFS(M2774&gt;=50,"50-60 Days", M2774&gt;=40,"40-50 Days", M2774&gt;=30, "30-40 Days", M2774&gt;=20, "20-30 Days", M2774&gt;=10, "10-20 Days", M2774&gt;=0, "0-10 Days")</f>
        <v>40-50 Days</v>
      </c>
    </row>
    <row r="2775" spans="1:14">
      <c r="A2775">
        <v>2774</v>
      </c>
      <c r="B2775" t="s">
        <v>29</v>
      </c>
      <c r="C2775" s="5">
        <v>45423</v>
      </c>
      <c r="D2775" s="8">
        <v>45423</v>
      </c>
      <c r="E2775" s="8" t="str">
        <f>IF(B2775="Inactive", EDATE(D2775,K2775), "")</f>
        <v/>
      </c>
      <c r="F2775" t="s">
        <v>12</v>
      </c>
      <c r="G2775">
        <v>15.2</v>
      </c>
      <c r="H2775" t="str" cm="1">
        <f t="array" ref="H2775">_xlfn.IFS(G2775&gt;=20,"20-25", G2775&gt;=15,"15-20", G2775&gt;=10,"10-15", G2775&gt;=5,"5-10", G2775&gt;=1,"1-5", G2775&lt;1,"Less than 1")</f>
        <v>15-20</v>
      </c>
      <c r="I2775">
        <v>2</v>
      </c>
      <c r="J2775">
        <v>4</v>
      </c>
      <c r="K2775" s="6">
        <v>1</v>
      </c>
      <c r="L2775" s="2">
        <v>1.99</v>
      </c>
      <c r="M2775" s="6">
        <v>46</v>
      </c>
      <c r="N2775" t="str" cm="1">
        <f t="array" ref="N2775">_xlfn.IFS(M2775&gt;=50,"50-60 Days", M2775&gt;=40,"40-50 Days", M2775&gt;=30, "30-40 Days", M2775&gt;=20, "20-30 Days", M2775&gt;=10, "10-20 Days", M2775&gt;=0, "0-10 Days")</f>
        <v>40-50 Days</v>
      </c>
    </row>
    <row r="2776" spans="1:14">
      <c r="A2776">
        <v>2775</v>
      </c>
      <c r="B2776" t="s">
        <v>28</v>
      </c>
      <c r="C2776" s="5">
        <v>45602</v>
      </c>
      <c r="D2776" s="8">
        <v>45602</v>
      </c>
      <c r="E2776" s="8">
        <f>IF(B2776="Inactive", EDATE(D2776,K2776), "")</f>
        <v>45844</v>
      </c>
      <c r="F2776" t="s">
        <v>12</v>
      </c>
      <c r="G2776">
        <v>3.6</v>
      </c>
      <c r="H2776" t="str" cm="1">
        <f t="array" ref="H2776">_xlfn.IFS(G2776&gt;=20,"20-25", G2776&gt;=15,"15-20", G2776&gt;=10,"10-15", G2776&gt;=5,"5-10", G2776&gt;=1,"1-5", G2776&lt;1,"Less than 1")</f>
        <v>1-5</v>
      </c>
      <c r="I2776">
        <v>5</v>
      </c>
      <c r="J2776">
        <v>4</v>
      </c>
      <c r="K2776" s="6">
        <v>8</v>
      </c>
      <c r="L2776" s="2">
        <v>1.99</v>
      </c>
      <c r="M2776" s="6">
        <v>22</v>
      </c>
      <c r="N2776" t="str" cm="1">
        <f t="array" ref="N2776">_xlfn.IFS(M2776&gt;=50,"50-60 Days", M2776&gt;=40,"40-50 Days", M2776&gt;=30, "30-40 Days", M2776&gt;=20, "20-30 Days", M2776&gt;=10, "10-20 Days", M2776&gt;=0, "0-10 Days")</f>
        <v>20-30 Days</v>
      </c>
    </row>
    <row r="2777" spans="1:14">
      <c r="A2777">
        <v>2776</v>
      </c>
      <c r="B2777" t="s">
        <v>29</v>
      </c>
      <c r="C2777" s="5">
        <v>45380</v>
      </c>
      <c r="D2777" s="8">
        <v>45380</v>
      </c>
      <c r="E2777" s="8" t="str">
        <f>IF(B2777="Inactive", EDATE(D2777,K2777), "")</f>
        <v/>
      </c>
      <c r="F2777" t="s">
        <v>10</v>
      </c>
      <c r="G2777">
        <v>22.8</v>
      </c>
      <c r="H2777" t="str" cm="1">
        <f t="array" ref="H2777">_xlfn.IFS(G2777&gt;=20,"20-25", G2777&gt;=15,"15-20", G2777&gt;=10,"10-15", G2777&gt;=5,"5-10", G2777&gt;=1,"1-5", G2777&lt;1,"Less than 1")</f>
        <v>20-25</v>
      </c>
      <c r="I2777">
        <v>2</v>
      </c>
      <c r="J2777">
        <v>1</v>
      </c>
      <c r="K2777" s="6">
        <v>5</v>
      </c>
      <c r="L2777" s="2">
        <v>6.99</v>
      </c>
      <c r="M2777" s="6">
        <v>9</v>
      </c>
      <c r="N2777" t="str" cm="1">
        <f t="array" ref="N2777">_xlfn.IFS(M2777&gt;=50,"50-60 Days", M2777&gt;=40,"40-50 Days", M2777&gt;=30, "30-40 Days", M2777&gt;=20, "20-30 Days", M2777&gt;=10, "10-20 Days", M2777&gt;=0, "0-10 Days")</f>
        <v>0-10 Days</v>
      </c>
    </row>
    <row r="2778" spans="1:14">
      <c r="A2778">
        <v>2777</v>
      </c>
      <c r="B2778" t="s">
        <v>29</v>
      </c>
      <c r="C2778" s="5">
        <v>45412</v>
      </c>
      <c r="D2778" s="8">
        <v>45412</v>
      </c>
      <c r="E2778" s="8" t="str">
        <f>IF(B2778="Inactive", EDATE(D2778,K2778), "")</f>
        <v/>
      </c>
      <c r="F2778" t="s">
        <v>12</v>
      </c>
      <c r="G2778">
        <v>22.4</v>
      </c>
      <c r="H2778" t="str" cm="1">
        <f t="array" ref="H2778">_xlfn.IFS(G2778&gt;=20,"20-25", G2778&gt;=15,"15-20", G2778&gt;=10,"10-15", G2778&gt;=5,"5-10", G2778&gt;=1,"1-5", G2778&lt;1,"Less than 1")</f>
        <v>20-25</v>
      </c>
      <c r="I2778">
        <v>2</v>
      </c>
      <c r="J2778">
        <v>0</v>
      </c>
      <c r="K2778" s="6">
        <v>5</v>
      </c>
      <c r="L2778" s="2">
        <v>1.99</v>
      </c>
      <c r="M2778" s="6">
        <v>18</v>
      </c>
      <c r="N2778" t="str" cm="1">
        <f t="array" ref="N2778">_xlfn.IFS(M2778&gt;=50,"50-60 Days", M2778&gt;=40,"40-50 Days", M2778&gt;=30, "30-40 Days", M2778&gt;=20, "20-30 Days", M2778&gt;=10, "10-20 Days", M2778&gt;=0, "0-10 Days")</f>
        <v>10-20 Days</v>
      </c>
    </row>
    <row r="2779" spans="1:14">
      <c r="A2779">
        <v>2778</v>
      </c>
      <c r="B2779" t="s">
        <v>29</v>
      </c>
      <c r="C2779" s="5">
        <v>45016</v>
      </c>
      <c r="D2779" s="8">
        <v>45016</v>
      </c>
      <c r="E2779" s="8" t="str">
        <f>IF(B2779="Inactive", EDATE(D2779,K2779), "")</f>
        <v/>
      </c>
      <c r="F2779" t="s">
        <v>10</v>
      </c>
      <c r="G2779">
        <v>19.7</v>
      </c>
      <c r="H2779" t="str" cm="1">
        <f t="array" ref="H2779">_xlfn.IFS(G2779&gt;=20,"20-25", G2779&gt;=15,"15-20", G2779&gt;=10,"10-15", G2779&gt;=5,"5-10", G2779&gt;=1,"1-5", G2779&lt;1,"Less than 1")</f>
        <v>15-20</v>
      </c>
      <c r="I2779">
        <v>3</v>
      </c>
      <c r="J2779">
        <v>1</v>
      </c>
      <c r="K2779" s="6">
        <v>5</v>
      </c>
      <c r="L2779" s="2">
        <v>6.99</v>
      </c>
      <c r="M2779" s="6">
        <v>14</v>
      </c>
      <c r="N2779" t="str" cm="1">
        <f t="array" ref="N2779">_xlfn.IFS(M2779&gt;=50,"50-60 Days", M2779&gt;=40,"40-50 Days", M2779&gt;=30, "30-40 Days", M2779&gt;=20, "20-30 Days", M2779&gt;=10, "10-20 Days", M2779&gt;=0, "0-10 Days")</f>
        <v>10-20 Days</v>
      </c>
    </row>
    <row r="2780" spans="1:14">
      <c r="A2780">
        <v>2779</v>
      </c>
      <c r="B2780" t="s">
        <v>29</v>
      </c>
      <c r="C2780" s="5">
        <v>45491</v>
      </c>
      <c r="D2780" s="8">
        <v>45491</v>
      </c>
      <c r="E2780" s="8" t="str">
        <f>IF(B2780="Inactive", EDATE(D2780,K2780), "")</f>
        <v/>
      </c>
      <c r="F2780" t="s">
        <v>10</v>
      </c>
      <c r="G2780">
        <v>24.3</v>
      </c>
      <c r="H2780" t="str" cm="1">
        <f t="array" ref="H2780">_xlfn.IFS(G2780&gt;=20,"20-25", G2780&gt;=15,"15-20", G2780&gt;=10,"10-15", G2780&gt;=5,"5-10", G2780&gt;=1,"1-5", G2780&lt;1,"Less than 1")</f>
        <v>20-25</v>
      </c>
      <c r="I2780">
        <v>7</v>
      </c>
      <c r="J2780">
        <v>3</v>
      </c>
      <c r="K2780" s="6">
        <v>8</v>
      </c>
      <c r="L2780" s="2">
        <v>6.99</v>
      </c>
      <c r="M2780" s="6">
        <v>5</v>
      </c>
      <c r="N2780" t="str" cm="1">
        <f t="array" ref="N2780">_xlfn.IFS(M2780&gt;=50,"50-60 Days", M2780&gt;=40,"40-50 Days", M2780&gt;=30, "30-40 Days", M2780&gt;=20, "20-30 Days", M2780&gt;=10, "10-20 Days", M2780&gt;=0, "0-10 Days")</f>
        <v>0-10 Days</v>
      </c>
    </row>
    <row r="2781" spans="1:14">
      <c r="A2781">
        <v>2780</v>
      </c>
      <c r="B2781" t="s">
        <v>29</v>
      </c>
      <c r="C2781" s="5">
        <v>45050</v>
      </c>
      <c r="D2781" s="8">
        <v>45050</v>
      </c>
      <c r="E2781" s="8" t="str">
        <f>IF(B2781="Inactive", EDATE(D2781,K2781), "")</f>
        <v/>
      </c>
      <c r="F2781" t="s">
        <v>14</v>
      </c>
      <c r="G2781">
        <v>13</v>
      </c>
      <c r="H2781" t="str" cm="1">
        <f t="array" ref="H2781">_xlfn.IFS(G2781&gt;=20,"20-25", G2781&gt;=15,"15-20", G2781&gt;=10,"10-15", G2781&gt;=5,"5-10", G2781&gt;=1,"1-5", G2781&lt;1,"Less than 1")</f>
        <v>10-15</v>
      </c>
      <c r="I2781">
        <v>6</v>
      </c>
      <c r="J2781">
        <v>4</v>
      </c>
      <c r="K2781" s="6">
        <v>1</v>
      </c>
      <c r="L2781" s="2">
        <v>3.99</v>
      </c>
      <c r="M2781" s="6">
        <v>31</v>
      </c>
      <c r="N2781" t="str" cm="1">
        <f t="array" ref="N2781">_xlfn.IFS(M2781&gt;=50,"50-60 Days", M2781&gt;=40,"40-50 Days", M2781&gt;=30, "30-40 Days", M2781&gt;=20, "20-30 Days", M2781&gt;=10, "10-20 Days", M2781&gt;=0, "0-10 Days")</f>
        <v>30-40 Days</v>
      </c>
    </row>
    <row r="2782" spans="1:14">
      <c r="A2782">
        <v>2781</v>
      </c>
      <c r="B2782" t="s">
        <v>28</v>
      </c>
      <c r="C2782" s="5">
        <v>45430</v>
      </c>
      <c r="D2782" s="8">
        <v>45430</v>
      </c>
      <c r="E2782" s="8">
        <f>IF(B2782="Inactive", EDATE(D2782,K2782), "")</f>
        <v>45553</v>
      </c>
      <c r="F2782" t="s">
        <v>10</v>
      </c>
      <c r="G2782">
        <v>20.8</v>
      </c>
      <c r="H2782" t="str" cm="1">
        <f t="array" ref="H2782">_xlfn.IFS(G2782&gt;=20,"20-25", G2782&gt;=15,"15-20", G2782&gt;=10,"10-15", G2782&gt;=5,"5-10", G2782&gt;=1,"1-5", G2782&lt;1,"Less than 1")</f>
        <v>20-25</v>
      </c>
      <c r="I2782">
        <v>3</v>
      </c>
      <c r="J2782">
        <v>3</v>
      </c>
      <c r="K2782" s="6">
        <v>4</v>
      </c>
      <c r="L2782" s="2">
        <v>6.99</v>
      </c>
      <c r="M2782" s="6">
        <v>2</v>
      </c>
      <c r="N2782" t="str" cm="1">
        <f t="array" ref="N2782">_xlfn.IFS(M2782&gt;=50,"50-60 Days", M2782&gt;=40,"40-50 Days", M2782&gt;=30, "30-40 Days", M2782&gt;=20, "20-30 Days", M2782&gt;=10, "10-20 Days", M2782&gt;=0, "0-10 Days")</f>
        <v>0-10 Days</v>
      </c>
    </row>
    <row r="2783" spans="1:14">
      <c r="A2783">
        <v>2782</v>
      </c>
      <c r="B2783" t="s">
        <v>29</v>
      </c>
      <c r="C2783" s="5">
        <v>45493</v>
      </c>
      <c r="D2783" s="8">
        <v>45493</v>
      </c>
      <c r="E2783" s="8" t="str">
        <f>IF(B2783="Inactive", EDATE(D2783,K2783), "")</f>
        <v/>
      </c>
      <c r="F2783" t="s">
        <v>12</v>
      </c>
      <c r="G2783">
        <v>10.199999999999999</v>
      </c>
      <c r="H2783" t="str" cm="1">
        <f t="array" ref="H2783">_xlfn.IFS(G2783&gt;=20,"20-25", G2783&gt;=15,"15-20", G2783&gt;=10,"10-15", G2783&gt;=5,"5-10", G2783&gt;=1,"1-5", G2783&lt;1,"Less than 1")</f>
        <v>10-15</v>
      </c>
      <c r="I2783">
        <v>5</v>
      </c>
      <c r="J2783">
        <v>5</v>
      </c>
      <c r="K2783" s="6">
        <v>4</v>
      </c>
      <c r="L2783" s="2">
        <v>1.99</v>
      </c>
      <c r="M2783" s="6">
        <v>54</v>
      </c>
      <c r="N2783" t="str" cm="1">
        <f t="array" ref="N2783">_xlfn.IFS(M2783&gt;=50,"50-60 Days", M2783&gt;=40,"40-50 Days", M2783&gt;=30, "30-40 Days", M2783&gt;=20, "20-30 Days", M2783&gt;=10, "10-20 Days", M2783&gt;=0, "0-10 Days")</f>
        <v>50-60 Days</v>
      </c>
    </row>
    <row r="2784" spans="1:14">
      <c r="A2784">
        <v>2783</v>
      </c>
      <c r="B2784" t="s">
        <v>29</v>
      </c>
      <c r="C2784" s="5">
        <v>45431</v>
      </c>
      <c r="D2784" s="8">
        <v>45431</v>
      </c>
      <c r="E2784" s="8" t="str">
        <f>IF(B2784="Inactive", EDATE(D2784,K2784), "")</f>
        <v/>
      </c>
      <c r="F2784" t="s">
        <v>12</v>
      </c>
      <c r="G2784">
        <v>17.100000000000001</v>
      </c>
      <c r="H2784" t="str" cm="1">
        <f t="array" ref="H2784">_xlfn.IFS(G2784&gt;=20,"20-25", G2784&gt;=15,"15-20", G2784&gt;=10,"10-15", G2784&gt;=5,"5-10", G2784&gt;=1,"1-5", G2784&lt;1,"Less than 1")</f>
        <v>15-20</v>
      </c>
      <c r="I2784">
        <v>2</v>
      </c>
      <c r="J2784">
        <v>5</v>
      </c>
      <c r="K2784" s="6">
        <v>12</v>
      </c>
      <c r="L2784" s="2">
        <v>1.99</v>
      </c>
      <c r="M2784" s="6">
        <v>5</v>
      </c>
      <c r="N2784" t="str" cm="1">
        <f t="array" ref="N2784">_xlfn.IFS(M2784&gt;=50,"50-60 Days", M2784&gt;=40,"40-50 Days", M2784&gt;=30, "30-40 Days", M2784&gt;=20, "20-30 Days", M2784&gt;=10, "10-20 Days", M2784&gt;=0, "0-10 Days")</f>
        <v>0-10 Days</v>
      </c>
    </row>
    <row r="2785" spans="1:14">
      <c r="A2785">
        <v>2784</v>
      </c>
      <c r="B2785" t="s">
        <v>28</v>
      </c>
      <c r="C2785" s="5">
        <v>45339</v>
      </c>
      <c r="D2785" s="8">
        <v>45339</v>
      </c>
      <c r="E2785" s="8">
        <f>IF(B2785="Inactive", EDATE(D2785,K2785), "")</f>
        <v>45643</v>
      </c>
      <c r="F2785" t="s">
        <v>10</v>
      </c>
      <c r="G2785">
        <v>23.1</v>
      </c>
      <c r="H2785" t="str" cm="1">
        <f t="array" ref="H2785">_xlfn.IFS(G2785&gt;=20,"20-25", G2785&gt;=15,"15-20", G2785&gt;=10,"10-15", G2785&gt;=5,"5-10", G2785&gt;=1,"1-5", G2785&lt;1,"Less than 1")</f>
        <v>20-25</v>
      </c>
      <c r="I2785">
        <v>4</v>
      </c>
      <c r="J2785">
        <v>4</v>
      </c>
      <c r="K2785" s="6">
        <v>10</v>
      </c>
      <c r="L2785" s="2">
        <v>6.99</v>
      </c>
      <c r="M2785" s="6">
        <v>55</v>
      </c>
      <c r="N2785" t="str" cm="1">
        <f t="array" ref="N2785">_xlfn.IFS(M2785&gt;=50,"50-60 Days", M2785&gt;=40,"40-50 Days", M2785&gt;=30, "30-40 Days", M2785&gt;=20, "20-30 Days", M2785&gt;=10, "10-20 Days", M2785&gt;=0, "0-10 Days")</f>
        <v>50-60 Days</v>
      </c>
    </row>
    <row r="2786" spans="1:14">
      <c r="A2786">
        <v>2785</v>
      </c>
      <c r="B2786" t="s">
        <v>28</v>
      </c>
      <c r="C2786" s="5">
        <v>45148</v>
      </c>
      <c r="D2786" s="8">
        <v>45148</v>
      </c>
      <c r="E2786" s="8">
        <f>IF(B2786="Inactive", EDATE(D2786,K2786), "")</f>
        <v>45301</v>
      </c>
      <c r="F2786" t="s">
        <v>14</v>
      </c>
      <c r="G2786">
        <v>8.4</v>
      </c>
      <c r="H2786" t="str" cm="1">
        <f t="array" ref="H2786">_xlfn.IFS(G2786&gt;=20,"20-25", G2786&gt;=15,"15-20", G2786&gt;=10,"10-15", G2786&gt;=5,"5-10", G2786&gt;=1,"1-5", G2786&lt;1,"Less than 1")</f>
        <v>5-10</v>
      </c>
      <c r="I2786">
        <v>4</v>
      </c>
      <c r="J2786">
        <v>1</v>
      </c>
      <c r="K2786" s="6">
        <v>5</v>
      </c>
      <c r="L2786" s="2">
        <v>3.99</v>
      </c>
      <c r="M2786" s="6">
        <v>9</v>
      </c>
      <c r="N2786" t="str" cm="1">
        <f t="array" ref="N2786">_xlfn.IFS(M2786&gt;=50,"50-60 Days", M2786&gt;=40,"40-50 Days", M2786&gt;=30, "30-40 Days", M2786&gt;=20, "20-30 Days", M2786&gt;=10, "10-20 Days", M2786&gt;=0, "0-10 Days")</f>
        <v>0-10 Days</v>
      </c>
    </row>
    <row r="2787" spans="1:14">
      <c r="A2787">
        <v>2786</v>
      </c>
      <c r="B2787" t="s">
        <v>28</v>
      </c>
      <c r="C2787" s="5">
        <v>45035</v>
      </c>
      <c r="D2787" s="8">
        <v>45035</v>
      </c>
      <c r="E2787" s="8">
        <f>IF(B2787="Inactive", EDATE(D2787,K2787), "")</f>
        <v>45157</v>
      </c>
      <c r="F2787" t="s">
        <v>10</v>
      </c>
      <c r="G2787">
        <v>4</v>
      </c>
      <c r="H2787" t="str" cm="1">
        <f t="array" ref="H2787">_xlfn.IFS(G2787&gt;=20,"20-25", G2787&gt;=15,"15-20", G2787&gt;=10,"10-15", G2787&gt;=5,"5-10", G2787&gt;=1,"1-5", G2787&lt;1,"Less than 1")</f>
        <v>1-5</v>
      </c>
      <c r="I2787">
        <v>2</v>
      </c>
      <c r="J2787">
        <v>5</v>
      </c>
      <c r="K2787" s="6">
        <v>4</v>
      </c>
      <c r="L2787" s="2">
        <v>6.99</v>
      </c>
      <c r="M2787" s="6">
        <v>32</v>
      </c>
      <c r="N2787" t="str" cm="1">
        <f t="array" ref="N2787">_xlfn.IFS(M2787&gt;=50,"50-60 Days", M2787&gt;=40,"40-50 Days", M2787&gt;=30, "30-40 Days", M2787&gt;=20, "20-30 Days", M2787&gt;=10, "10-20 Days", M2787&gt;=0, "0-10 Days")</f>
        <v>30-40 Days</v>
      </c>
    </row>
    <row r="2788" spans="1:14">
      <c r="A2788">
        <v>2787</v>
      </c>
      <c r="B2788" t="s">
        <v>29</v>
      </c>
      <c r="C2788" s="5">
        <v>45506</v>
      </c>
      <c r="D2788" s="8">
        <v>45506</v>
      </c>
      <c r="E2788" s="8" t="str">
        <f>IF(B2788="Inactive", EDATE(D2788,K2788), "")</f>
        <v/>
      </c>
      <c r="F2788" t="s">
        <v>10</v>
      </c>
      <c r="G2788">
        <v>6.7</v>
      </c>
      <c r="H2788" t="str" cm="1">
        <f t="array" ref="H2788">_xlfn.IFS(G2788&gt;=20,"20-25", G2788&gt;=15,"15-20", G2788&gt;=10,"10-15", G2788&gt;=5,"5-10", G2788&gt;=1,"1-5", G2788&lt;1,"Less than 1")</f>
        <v>5-10</v>
      </c>
      <c r="I2788">
        <v>2</v>
      </c>
      <c r="J2788">
        <v>2</v>
      </c>
      <c r="K2788" s="6">
        <v>7</v>
      </c>
      <c r="L2788" s="2">
        <v>6.99</v>
      </c>
      <c r="M2788" s="6">
        <v>35</v>
      </c>
      <c r="N2788" t="str" cm="1">
        <f t="array" ref="N2788">_xlfn.IFS(M2788&gt;=50,"50-60 Days", M2788&gt;=40,"40-50 Days", M2788&gt;=30, "30-40 Days", M2788&gt;=20, "20-30 Days", M2788&gt;=10, "10-20 Days", M2788&gt;=0, "0-10 Days")</f>
        <v>30-40 Days</v>
      </c>
    </row>
    <row r="2789" spans="1:14">
      <c r="A2789">
        <v>2788</v>
      </c>
      <c r="B2789" t="s">
        <v>28</v>
      </c>
      <c r="C2789" s="5">
        <v>45559</v>
      </c>
      <c r="D2789" s="8">
        <v>45559</v>
      </c>
      <c r="E2789" s="8">
        <f>IF(B2789="Inactive", EDATE(D2789,K2789), "")</f>
        <v>45681</v>
      </c>
      <c r="F2789" t="s">
        <v>12</v>
      </c>
      <c r="G2789">
        <v>4.9000000000000004</v>
      </c>
      <c r="H2789" t="str" cm="1">
        <f t="array" ref="H2789">_xlfn.IFS(G2789&gt;=20,"20-25", G2789&gt;=15,"15-20", G2789&gt;=10,"10-15", G2789&gt;=5,"5-10", G2789&gt;=1,"1-5", G2789&lt;1,"Less than 1")</f>
        <v>1-5</v>
      </c>
      <c r="I2789">
        <v>5</v>
      </c>
      <c r="J2789">
        <v>3</v>
      </c>
      <c r="K2789" s="6">
        <v>4</v>
      </c>
      <c r="L2789" s="2">
        <v>1.99</v>
      </c>
      <c r="M2789" s="6">
        <v>3</v>
      </c>
      <c r="N2789" t="str" cm="1">
        <f t="array" ref="N2789">_xlfn.IFS(M2789&gt;=50,"50-60 Days", M2789&gt;=40,"40-50 Days", M2789&gt;=30, "30-40 Days", M2789&gt;=20, "20-30 Days", M2789&gt;=10, "10-20 Days", M2789&gt;=0, "0-10 Days")</f>
        <v>0-10 Days</v>
      </c>
    </row>
    <row r="2790" spans="1:14">
      <c r="A2790">
        <v>2789</v>
      </c>
      <c r="B2790" t="s">
        <v>29</v>
      </c>
      <c r="C2790" s="5">
        <v>45577</v>
      </c>
      <c r="D2790" s="8">
        <v>45577</v>
      </c>
      <c r="E2790" s="8" t="str">
        <f>IF(B2790="Inactive", EDATE(D2790,K2790), "")</f>
        <v/>
      </c>
      <c r="F2790" t="s">
        <v>14</v>
      </c>
      <c r="G2790">
        <v>9.6</v>
      </c>
      <c r="H2790" t="str" cm="1">
        <f t="array" ref="H2790">_xlfn.IFS(G2790&gt;=20,"20-25", G2790&gt;=15,"15-20", G2790&gt;=10,"10-15", G2790&gt;=5,"5-10", G2790&gt;=1,"1-5", G2790&lt;1,"Less than 1")</f>
        <v>5-10</v>
      </c>
      <c r="I2790">
        <v>0</v>
      </c>
      <c r="J2790">
        <v>3</v>
      </c>
      <c r="K2790" s="6">
        <v>5</v>
      </c>
      <c r="L2790" s="2">
        <v>3.99</v>
      </c>
      <c r="M2790" s="6">
        <v>15</v>
      </c>
      <c r="N2790" t="str" cm="1">
        <f t="array" ref="N2790">_xlfn.IFS(M2790&gt;=50,"50-60 Days", M2790&gt;=40,"40-50 Days", M2790&gt;=30, "30-40 Days", M2790&gt;=20, "20-30 Days", M2790&gt;=10, "10-20 Days", M2790&gt;=0, "0-10 Days")</f>
        <v>10-20 Days</v>
      </c>
    </row>
    <row r="2791" spans="1:14">
      <c r="A2791">
        <v>2790</v>
      </c>
      <c r="B2791" t="s">
        <v>29</v>
      </c>
      <c r="C2791" s="5">
        <v>45471</v>
      </c>
      <c r="D2791" s="8">
        <v>45471</v>
      </c>
      <c r="E2791" s="8" t="str">
        <f>IF(B2791="Inactive", EDATE(D2791,K2791), "")</f>
        <v/>
      </c>
      <c r="F2791" t="s">
        <v>10</v>
      </c>
      <c r="G2791">
        <v>21.7</v>
      </c>
      <c r="H2791" t="str" cm="1">
        <f t="array" ref="H2791">_xlfn.IFS(G2791&gt;=20,"20-25", G2791&gt;=15,"15-20", G2791&gt;=10,"10-15", G2791&gt;=5,"5-10", G2791&gt;=1,"1-5", G2791&lt;1,"Less than 1")</f>
        <v>20-25</v>
      </c>
      <c r="I2791">
        <v>3</v>
      </c>
      <c r="J2791">
        <v>0</v>
      </c>
      <c r="K2791" s="6">
        <v>11</v>
      </c>
      <c r="L2791" s="2">
        <v>6.99</v>
      </c>
      <c r="M2791" s="6">
        <v>54</v>
      </c>
      <c r="N2791" t="str" cm="1">
        <f t="array" ref="N2791">_xlfn.IFS(M2791&gt;=50,"50-60 Days", M2791&gt;=40,"40-50 Days", M2791&gt;=30, "30-40 Days", M2791&gt;=20, "20-30 Days", M2791&gt;=10, "10-20 Days", M2791&gt;=0, "0-10 Days")</f>
        <v>50-60 Days</v>
      </c>
    </row>
    <row r="2792" spans="1:14">
      <c r="A2792">
        <v>2791</v>
      </c>
      <c r="B2792" t="s">
        <v>29</v>
      </c>
      <c r="C2792" s="5">
        <v>44933</v>
      </c>
      <c r="D2792" s="8">
        <v>44933</v>
      </c>
      <c r="E2792" s="8" t="str">
        <f>IF(B2792="Inactive", EDATE(D2792,K2792), "")</f>
        <v/>
      </c>
      <c r="F2792" t="s">
        <v>12</v>
      </c>
      <c r="G2792">
        <v>10.199999999999999</v>
      </c>
      <c r="H2792" t="str" cm="1">
        <f t="array" ref="H2792">_xlfn.IFS(G2792&gt;=20,"20-25", G2792&gt;=15,"15-20", G2792&gt;=10,"10-15", G2792&gt;=5,"5-10", G2792&gt;=1,"1-5", G2792&lt;1,"Less than 1")</f>
        <v>10-15</v>
      </c>
      <c r="I2792">
        <v>7</v>
      </c>
      <c r="J2792">
        <v>2</v>
      </c>
      <c r="K2792" s="6">
        <v>6</v>
      </c>
      <c r="L2792" s="2">
        <v>1.99</v>
      </c>
      <c r="M2792" s="6">
        <v>6</v>
      </c>
      <c r="N2792" t="str" cm="1">
        <f t="array" ref="N2792">_xlfn.IFS(M2792&gt;=50,"50-60 Days", M2792&gt;=40,"40-50 Days", M2792&gt;=30, "30-40 Days", M2792&gt;=20, "20-30 Days", M2792&gt;=10, "10-20 Days", M2792&gt;=0, "0-10 Days")</f>
        <v>0-10 Days</v>
      </c>
    </row>
    <row r="2793" spans="1:14">
      <c r="A2793">
        <v>2792</v>
      </c>
      <c r="B2793" t="s">
        <v>28</v>
      </c>
      <c r="C2793" s="5">
        <v>45502</v>
      </c>
      <c r="D2793" s="8">
        <v>45502</v>
      </c>
      <c r="E2793" s="8">
        <f>IF(B2793="Inactive", EDATE(D2793,K2793), "")</f>
        <v>45716</v>
      </c>
      <c r="F2793" t="s">
        <v>14</v>
      </c>
      <c r="G2793">
        <v>6.1</v>
      </c>
      <c r="H2793" t="str" cm="1">
        <f t="array" ref="H2793">_xlfn.IFS(G2793&gt;=20,"20-25", G2793&gt;=15,"15-20", G2793&gt;=10,"10-15", G2793&gt;=5,"5-10", G2793&gt;=1,"1-5", G2793&lt;1,"Less than 1")</f>
        <v>5-10</v>
      </c>
      <c r="I2793">
        <v>8</v>
      </c>
      <c r="J2793">
        <v>2</v>
      </c>
      <c r="K2793" s="6">
        <v>7</v>
      </c>
      <c r="L2793" s="2">
        <v>3.99</v>
      </c>
      <c r="M2793" s="6">
        <v>49</v>
      </c>
      <c r="N2793" t="str" cm="1">
        <f t="array" ref="N2793">_xlfn.IFS(M2793&gt;=50,"50-60 Days", M2793&gt;=40,"40-50 Days", M2793&gt;=30, "30-40 Days", M2793&gt;=20, "20-30 Days", M2793&gt;=10, "10-20 Days", M2793&gt;=0, "0-10 Days")</f>
        <v>40-50 Days</v>
      </c>
    </row>
    <row r="2794" spans="1:14">
      <c r="A2794">
        <v>2793</v>
      </c>
      <c r="B2794" t="s">
        <v>28</v>
      </c>
      <c r="C2794" s="5">
        <v>45337</v>
      </c>
      <c r="D2794" s="8">
        <v>45337</v>
      </c>
      <c r="E2794" s="8">
        <f>IF(B2794="Inactive", EDATE(D2794,K2794), "")</f>
        <v>45458</v>
      </c>
      <c r="F2794" t="s">
        <v>14</v>
      </c>
      <c r="G2794">
        <v>0.8</v>
      </c>
      <c r="H2794" t="str" cm="1">
        <f t="array" ref="H2794">_xlfn.IFS(G2794&gt;=20,"20-25", G2794&gt;=15,"15-20", G2794&gt;=10,"10-15", G2794&gt;=5,"5-10", G2794&gt;=1,"1-5", G2794&lt;1,"Less than 1")</f>
        <v>Less than 1</v>
      </c>
      <c r="I2794">
        <v>1</v>
      </c>
      <c r="J2794">
        <v>1</v>
      </c>
      <c r="K2794" s="6">
        <v>4</v>
      </c>
      <c r="L2794" s="2">
        <v>3.99</v>
      </c>
      <c r="M2794" s="6">
        <v>49</v>
      </c>
      <c r="N2794" t="str" cm="1">
        <f t="array" ref="N2794">_xlfn.IFS(M2794&gt;=50,"50-60 Days", M2794&gt;=40,"40-50 Days", M2794&gt;=30, "30-40 Days", M2794&gt;=20, "20-30 Days", M2794&gt;=10, "10-20 Days", M2794&gt;=0, "0-10 Days")</f>
        <v>40-50 Days</v>
      </c>
    </row>
    <row r="2795" spans="1:14">
      <c r="A2795">
        <v>2794</v>
      </c>
      <c r="B2795" t="s">
        <v>28</v>
      </c>
      <c r="C2795" s="5">
        <v>45411</v>
      </c>
      <c r="D2795" s="8">
        <v>45411</v>
      </c>
      <c r="E2795" s="8">
        <f>IF(B2795="Inactive", EDATE(D2795,K2795), "")</f>
        <v>45472</v>
      </c>
      <c r="F2795" t="s">
        <v>10</v>
      </c>
      <c r="G2795">
        <v>13</v>
      </c>
      <c r="H2795" t="str" cm="1">
        <f t="array" ref="H2795">_xlfn.IFS(G2795&gt;=20,"20-25", G2795&gt;=15,"15-20", G2795&gt;=10,"10-15", G2795&gt;=5,"5-10", G2795&gt;=1,"1-5", G2795&lt;1,"Less than 1")</f>
        <v>10-15</v>
      </c>
      <c r="I2795">
        <v>4</v>
      </c>
      <c r="J2795">
        <v>5</v>
      </c>
      <c r="K2795" s="6">
        <v>2</v>
      </c>
      <c r="L2795" s="2">
        <v>6.99</v>
      </c>
      <c r="M2795" s="6">
        <v>25</v>
      </c>
      <c r="N2795" t="str" cm="1">
        <f t="array" ref="N2795">_xlfn.IFS(M2795&gt;=50,"50-60 Days", M2795&gt;=40,"40-50 Days", M2795&gt;=30, "30-40 Days", M2795&gt;=20, "20-30 Days", M2795&gt;=10, "10-20 Days", M2795&gt;=0, "0-10 Days")</f>
        <v>20-30 Days</v>
      </c>
    </row>
    <row r="2796" spans="1:14">
      <c r="A2796">
        <v>2795</v>
      </c>
      <c r="B2796" t="s">
        <v>29</v>
      </c>
      <c r="C2796" s="5">
        <v>44973</v>
      </c>
      <c r="D2796" s="8">
        <v>44973</v>
      </c>
      <c r="E2796" s="8" t="str">
        <f>IF(B2796="Inactive", EDATE(D2796,K2796), "")</f>
        <v/>
      </c>
      <c r="F2796" t="s">
        <v>10</v>
      </c>
      <c r="G2796">
        <v>10</v>
      </c>
      <c r="H2796" t="str" cm="1">
        <f t="array" ref="H2796">_xlfn.IFS(G2796&gt;=20,"20-25", G2796&gt;=15,"15-20", G2796&gt;=10,"10-15", G2796&gt;=5,"5-10", G2796&gt;=1,"1-5", G2796&lt;1,"Less than 1")</f>
        <v>10-15</v>
      </c>
      <c r="I2796">
        <v>5</v>
      </c>
      <c r="J2796">
        <v>5</v>
      </c>
      <c r="K2796" s="6">
        <v>8</v>
      </c>
      <c r="L2796" s="2">
        <v>6.99</v>
      </c>
      <c r="M2796" s="6">
        <v>17</v>
      </c>
      <c r="N2796" t="str" cm="1">
        <f t="array" ref="N2796">_xlfn.IFS(M2796&gt;=50,"50-60 Days", M2796&gt;=40,"40-50 Days", M2796&gt;=30, "30-40 Days", M2796&gt;=20, "20-30 Days", M2796&gt;=10, "10-20 Days", M2796&gt;=0, "0-10 Days")</f>
        <v>10-20 Days</v>
      </c>
    </row>
    <row r="2797" spans="1:14">
      <c r="A2797">
        <v>2796</v>
      </c>
      <c r="B2797" t="s">
        <v>29</v>
      </c>
      <c r="C2797" s="5">
        <v>44995</v>
      </c>
      <c r="D2797" s="8">
        <v>44995</v>
      </c>
      <c r="E2797" s="8" t="str">
        <f>IF(B2797="Inactive", EDATE(D2797,K2797), "")</f>
        <v/>
      </c>
      <c r="F2797" t="s">
        <v>14</v>
      </c>
      <c r="G2797">
        <v>6.7</v>
      </c>
      <c r="H2797" t="str" cm="1">
        <f t="array" ref="H2797">_xlfn.IFS(G2797&gt;=20,"20-25", G2797&gt;=15,"15-20", G2797&gt;=10,"10-15", G2797&gt;=5,"5-10", G2797&gt;=1,"1-5", G2797&lt;1,"Less than 1")</f>
        <v>5-10</v>
      </c>
      <c r="I2797">
        <v>1</v>
      </c>
      <c r="J2797">
        <v>1</v>
      </c>
      <c r="K2797" s="6">
        <v>7</v>
      </c>
      <c r="L2797" s="2">
        <v>3.99</v>
      </c>
      <c r="M2797" s="6">
        <v>59</v>
      </c>
      <c r="N2797" t="str" cm="1">
        <f t="array" ref="N2797">_xlfn.IFS(M2797&gt;=50,"50-60 Days", M2797&gt;=40,"40-50 Days", M2797&gt;=30, "30-40 Days", M2797&gt;=20, "20-30 Days", M2797&gt;=10, "10-20 Days", M2797&gt;=0, "0-10 Days")</f>
        <v>50-60 Days</v>
      </c>
    </row>
    <row r="2798" spans="1:14">
      <c r="A2798">
        <v>2797</v>
      </c>
      <c r="B2798" t="s">
        <v>29</v>
      </c>
      <c r="C2798" s="5">
        <v>45616</v>
      </c>
      <c r="D2798" s="8">
        <v>45616</v>
      </c>
      <c r="E2798" s="8" t="str">
        <f>IF(B2798="Inactive", EDATE(D2798,K2798), "")</f>
        <v/>
      </c>
      <c r="F2798" t="s">
        <v>14</v>
      </c>
      <c r="G2798">
        <v>11</v>
      </c>
      <c r="H2798" t="str" cm="1">
        <f t="array" ref="H2798">_xlfn.IFS(G2798&gt;=20,"20-25", G2798&gt;=15,"15-20", G2798&gt;=10,"10-15", G2798&gt;=5,"5-10", G2798&gt;=1,"1-5", G2798&lt;1,"Less than 1")</f>
        <v>10-15</v>
      </c>
      <c r="I2798">
        <v>4</v>
      </c>
      <c r="J2798">
        <v>0</v>
      </c>
      <c r="K2798" s="6">
        <v>2</v>
      </c>
      <c r="L2798" s="2">
        <v>3.99</v>
      </c>
      <c r="M2798" s="6">
        <v>4</v>
      </c>
      <c r="N2798" t="str" cm="1">
        <f t="array" ref="N2798">_xlfn.IFS(M2798&gt;=50,"50-60 Days", M2798&gt;=40,"40-50 Days", M2798&gt;=30, "30-40 Days", M2798&gt;=20, "20-30 Days", M2798&gt;=10, "10-20 Days", M2798&gt;=0, "0-10 Days")</f>
        <v>0-10 Days</v>
      </c>
    </row>
    <row r="2799" spans="1:14">
      <c r="A2799">
        <v>2798</v>
      </c>
      <c r="B2799" t="s">
        <v>29</v>
      </c>
      <c r="C2799" s="5">
        <v>45517</v>
      </c>
      <c r="D2799" s="8">
        <v>45517</v>
      </c>
      <c r="E2799" s="8" t="str">
        <f>IF(B2799="Inactive", EDATE(D2799,K2799), "")</f>
        <v/>
      </c>
      <c r="F2799" t="s">
        <v>14</v>
      </c>
      <c r="G2799">
        <v>11</v>
      </c>
      <c r="H2799" t="str" cm="1">
        <f t="array" ref="H2799">_xlfn.IFS(G2799&gt;=20,"20-25", G2799&gt;=15,"15-20", G2799&gt;=10,"10-15", G2799&gt;=5,"5-10", G2799&gt;=1,"1-5", G2799&lt;1,"Less than 1")</f>
        <v>10-15</v>
      </c>
      <c r="I2799">
        <v>0</v>
      </c>
      <c r="J2799">
        <v>4</v>
      </c>
      <c r="K2799" s="6">
        <v>8</v>
      </c>
      <c r="L2799" s="2">
        <v>3.99</v>
      </c>
      <c r="M2799" s="6">
        <v>59</v>
      </c>
      <c r="N2799" t="str" cm="1">
        <f t="array" ref="N2799">_xlfn.IFS(M2799&gt;=50,"50-60 Days", M2799&gt;=40,"40-50 Days", M2799&gt;=30, "30-40 Days", M2799&gt;=20, "20-30 Days", M2799&gt;=10, "10-20 Days", M2799&gt;=0, "0-10 Days")</f>
        <v>50-60 Days</v>
      </c>
    </row>
    <row r="2800" spans="1:14">
      <c r="A2800">
        <v>2799</v>
      </c>
      <c r="B2800" t="s">
        <v>29</v>
      </c>
      <c r="C2800" s="5">
        <v>45435</v>
      </c>
      <c r="D2800" s="8">
        <v>45435</v>
      </c>
      <c r="E2800" s="8" t="str">
        <f>IF(B2800="Inactive", EDATE(D2800,K2800), "")</f>
        <v/>
      </c>
      <c r="F2800" t="s">
        <v>10</v>
      </c>
      <c r="G2800">
        <v>15</v>
      </c>
      <c r="H2800" t="str" cm="1">
        <f t="array" ref="H2800">_xlfn.IFS(G2800&gt;=20,"20-25", G2800&gt;=15,"15-20", G2800&gt;=10,"10-15", G2800&gt;=5,"5-10", G2800&gt;=1,"1-5", G2800&lt;1,"Less than 1")</f>
        <v>15-20</v>
      </c>
      <c r="I2800">
        <v>3</v>
      </c>
      <c r="J2800">
        <v>4</v>
      </c>
      <c r="K2800" s="6">
        <v>9</v>
      </c>
      <c r="L2800" s="2">
        <v>6.99</v>
      </c>
      <c r="M2800" s="6">
        <v>20</v>
      </c>
      <c r="N2800" t="str" cm="1">
        <f t="array" ref="N2800">_xlfn.IFS(M2800&gt;=50,"50-60 Days", M2800&gt;=40,"40-50 Days", M2800&gt;=30, "30-40 Days", M2800&gt;=20, "20-30 Days", M2800&gt;=10, "10-20 Days", M2800&gt;=0, "0-10 Days")</f>
        <v>20-30 Days</v>
      </c>
    </row>
    <row r="2801" spans="1:14">
      <c r="A2801">
        <v>2800</v>
      </c>
      <c r="B2801" t="s">
        <v>28</v>
      </c>
      <c r="C2801" s="5">
        <v>45372</v>
      </c>
      <c r="D2801" s="8">
        <v>45372</v>
      </c>
      <c r="E2801" s="8">
        <f>IF(B2801="Inactive", EDATE(D2801,K2801), "")</f>
        <v>45494</v>
      </c>
      <c r="F2801" t="s">
        <v>14</v>
      </c>
      <c r="G2801">
        <v>2</v>
      </c>
      <c r="H2801" t="str" cm="1">
        <f t="array" ref="H2801">_xlfn.IFS(G2801&gt;=20,"20-25", G2801&gt;=15,"15-20", G2801&gt;=10,"10-15", G2801&gt;=5,"5-10", G2801&gt;=1,"1-5", G2801&lt;1,"Less than 1")</f>
        <v>1-5</v>
      </c>
      <c r="I2801">
        <v>0</v>
      </c>
      <c r="J2801">
        <v>1</v>
      </c>
      <c r="K2801" s="6">
        <v>4</v>
      </c>
      <c r="L2801" s="2">
        <v>3.99</v>
      </c>
      <c r="M2801" s="6">
        <v>1</v>
      </c>
      <c r="N2801" t="str" cm="1">
        <f t="array" ref="N2801">_xlfn.IFS(M2801&gt;=50,"50-60 Days", M2801&gt;=40,"40-50 Days", M2801&gt;=30, "30-40 Days", M2801&gt;=20, "20-30 Days", M2801&gt;=10, "10-20 Days", M2801&gt;=0, "0-10 Days")</f>
        <v>0-10 Days</v>
      </c>
    </row>
  </sheetData>
  <conditionalFormatting sqref="B2:B2801">
    <cfRule type="containsText" dxfId="15" priority="8" operator="containsText" text="Yes">
      <formula>NOT(ISERROR(SEARCH("Yes",B2)))</formula>
    </cfRule>
  </conditionalFormatting>
  <conditionalFormatting sqref="B2:B2801">
    <cfRule type="containsText" dxfId="14" priority="7" operator="containsText" text="No">
      <formula>NOT(ISERROR(SEARCH("No",B2)))</formula>
    </cfRule>
  </conditionalFormatting>
  <conditionalFormatting sqref="I4:I2793">
    <cfRule type="cellIs" dxfId="13" priority="6" operator="equal">
      <formula>8</formula>
    </cfRule>
  </conditionalFormatting>
  <conditionalFormatting sqref="L2:L2801">
    <cfRule type="containsText" dxfId="12" priority="5" operator="containsText" text="Over 2 Years">
      <formula>NOT(ISERROR(SEARCH("Over 2 Years",L2)))</formula>
    </cfRule>
  </conditionalFormatting>
  <conditionalFormatting sqref="B1:B1048576">
    <cfRule type="containsText" dxfId="11" priority="4" operator="containsText" text="Churned">
      <formula>NOT(ISERROR(SEARCH("Churned",B1)))</formula>
    </cfRule>
  </conditionalFormatting>
  <conditionalFormatting sqref="B1:B1048576">
    <cfRule type="containsText" dxfId="10" priority="3" operator="containsText" text="Retained">
      <formula>NOT(ISERROR(SEARCH("Retained",B1)))</formula>
    </cfRule>
  </conditionalFormatting>
  <conditionalFormatting sqref="B1:B2801">
    <cfRule type="containsText" dxfId="9" priority="2" operator="containsText" text="Inactive">
      <formula>NOT(ISERROR(SEARCH("Inactive",B1)))</formula>
    </cfRule>
  </conditionalFormatting>
  <conditionalFormatting sqref="B1:B2801">
    <cfRule type="beginsWith" dxfId="8" priority="1" operator="beginsWith" text="Active">
      <formula>LEFT(B1,LEN("Active"))="Active"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1ADBF-E03C-4611-B640-2625F7DDF8FB}">
  <dimension ref="A1:A28"/>
  <sheetViews>
    <sheetView showGridLines="0" topLeftCell="A18" workbookViewId="0">
      <selection activeCell="A28" sqref="A28"/>
    </sheetView>
  </sheetViews>
  <sheetFormatPr defaultRowHeight="15"/>
  <cols>
    <col min="1" max="1" width="134.7109375" customWidth="1"/>
  </cols>
  <sheetData>
    <row r="1" spans="1:1">
      <c r="A1" t="s">
        <v>30</v>
      </c>
    </row>
    <row r="3" spans="1:1">
      <c r="A3" t="s">
        <v>31</v>
      </c>
    </row>
    <row r="5" spans="1:1">
      <c r="A5" t="s">
        <v>32</v>
      </c>
    </row>
    <row r="7" spans="1:1">
      <c r="A7" t="s">
        <v>33</v>
      </c>
    </row>
    <row r="9" spans="1:1">
      <c r="A9" t="s">
        <v>34</v>
      </c>
    </row>
    <row r="10" spans="1:1" ht="18.75" customHeight="1"/>
    <row r="11" spans="1:1" ht="34.5" customHeight="1">
      <c r="A11" s="3" t="s">
        <v>35</v>
      </c>
    </row>
    <row r="13" spans="1:1">
      <c r="A13" t="s">
        <v>36</v>
      </c>
    </row>
    <row r="15" spans="1:1">
      <c r="A15" t="s">
        <v>37</v>
      </c>
    </row>
    <row r="17" spans="1:1">
      <c r="A17" t="s">
        <v>38</v>
      </c>
    </row>
    <row r="19" spans="1:1" ht="20.25" customHeight="1">
      <c r="A19" s="3" t="s">
        <v>39</v>
      </c>
    </row>
    <row r="20" spans="1:1">
      <c r="A20" t="s">
        <v>40</v>
      </c>
    </row>
    <row r="22" spans="1:1" ht="30.75">
      <c r="A22" s="3" t="s">
        <v>41</v>
      </c>
    </row>
    <row r="24" spans="1:1" ht="41.25" customHeight="1">
      <c r="A24" s="3" t="s">
        <v>42</v>
      </c>
    </row>
    <row r="26" spans="1:1">
      <c r="A26" t="s">
        <v>43</v>
      </c>
    </row>
    <row r="28" spans="1:1" ht="45.75">
      <c r="A28" s="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2026-02-16T15:17:50Z</dcterms:created>
  <dcterms:modified xsi:type="dcterms:W3CDTF">2026-02-20T23:26:53Z</dcterms:modified>
  <cp:category/>
  <cp:contentStatus/>
</cp:coreProperties>
</file>